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4f31190e3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d2e094de1a4db4"/>
    <x:sheet xmlns:r="http://schemas.openxmlformats.org/officeDocument/2006/relationships" name="Drivers" sheetId="2" r:id="Rfe0d2d46b2c14e30"/>
    <x:sheet xmlns:r="http://schemas.openxmlformats.org/officeDocument/2006/relationships" name="Historical" sheetId="3" r:id="R44dd4005a3194a7c"/>
    <x:sheet xmlns:r="http://schemas.openxmlformats.org/officeDocument/2006/relationships" name="Forecast" sheetId="4" r:id="Rb2dfc691e3ed468c"/>
    <x:sheet xmlns:r="http://schemas.openxmlformats.org/officeDocument/2006/relationships" name="Valuation" sheetId="5" r:id="Rc50b79091bff42de"/>
    <x:sheet xmlns:r="http://schemas.openxmlformats.org/officeDocument/2006/relationships" name="Sensitivity" sheetId="6" r:id="R880b165da9804534"/>
    <x:sheet xmlns:r="http://schemas.openxmlformats.org/officeDocument/2006/relationships" name="Peers" sheetId="7" r:id="R3b70808933cb4ea3"/>
    <x:sheet xmlns:r="http://schemas.openxmlformats.org/officeDocument/2006/relationships" name="Segments" sheetId="8" r:id="R39f414c1d66b4a5d"/>
    <x:sheet xmlns:r="http://schemas.openxmlformats.org/officeDocument/2006/relationships" name="Sources" sheetId="9" r:id="R7acffac9303b46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[Red](#,##0.0);&quot;—&quot;"/>
    <x:numFmt numFmtId="201" formatCode="0.0%;[Red](0.0%);&quot;—&quot;"/>
    <x:numFmt numFmtId="202" formatCode="0"/>
    <x:numFmt numFmtId="203" formatCode="$0.00"/>
  </x:numFmts>
  <x:fonts count="13">
    <x:font>
      <x:sz val="11"/>
      <x:name val="Carlito"/>
    </x:font>
    <x:font>
      <x:sz val="11"/>
      <x:name val="Aptos"/>
    </x:font>
    <x:font>
      <x:sz val="12"/>
      <x:name val="Aptos"/>
    </x:font>
    <x:font>
      <x:sz val="12"/>
      <x:color rgb="FFFFFFFF"/>
      <x:name val="Aptos"/>
    </x:font>
    <x:font>
      <x:sz val="20"/>
      <x:color rgb="FFFFFFFF"/>
      <x:name val="Aptos"/>
    </x:font>
    <x:font>
      <x:sz val="12"/>
      <x:color rgb="FFC62828"/>
      <x:name val="Aptos"/>
    </x:font>
    <x:font>
      <x:b/>
      <x:sz val="12"/>
      <x:name val="Aptos"/>
    </x:font>
    <x:font>
      <x:b/>
      <x:sz val="12"/>
      <x:color rgb="FFC62828"/>
      <x:name val="Aptos"/>
    </x:font>
    <x:font>
      <x:sz val="12"/>
      <x:color rgb="FF111827"/>
      <x:name val="Aptos"/>
    </x:font>
    <x:font>
      <x:b/>
      <x:sz val="12"/>
      <x:color rgb="FF111827"/>
      <x:name val="Aptos"/>
    </x:font>
    <x:font>
      <x:sz val="12"/>
      <x:color rgb="FF0000FF"/>
      <x:name val="Aptos"/>
    </x:font>
    <x:font>
      <x:sz val="12"/>
      <x:color rgb="FF00804A"/>
      <x:name val="Aptos"/>
    </x:font>
    <x:font>
      <x:b/>
      <x:sz val="12"/>
      <x:color rgb="FF00804A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02020"/>
      </x:patternFill>
    </x:fill>
    <x:fill>
      <x:patternFill patternType="solid">
        <x:fgColor rgb="FFE7EE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0" fontId="5" fillId="0" borderId="0" xfId="0" applyNumberFormat="1" applyFont="1" applyFill="1" applyBorder="1"/>
    <x:xf numFmtId="0" fontId="2" fillId="3" borderId="0" xfId="0" applyNumberFormat="1" applyFont="1" applyFill="1" applyBorder="1"/>
    <x:xf numFmtId="200" fontId="5" fillId="3" borderId="0" xfId="0" applyNumberFormat="1" applyFont="1" applyFill="1" applyBorder="1"/>
    <x:xf numFmtId="0" fontId="6" fillId="3" borderId="0" xfId="0" applyNumberFormat="1" applyFont="1" applyFill="1" applyBorder="1"/>
    <x:xf numFmtId="200" fontId="7" fillId="3" borderId="0" xfId="0" applyNumberFormat="1" applyFont="1" applyFill="1" applyBorder="1"/>
    <x:xf numFmtId="200" fontId="2" fillId="3" borderId="0" xfId="0" applyNumberFormat="1" applyFont="1" applyFill="1" applyBorder="1"/>
    <x:xf numFmtId="200" fontId="6" fillId="3" borderId="0" xfId="0" applyNumberFormat="1" applyFont="1" applyFill="1" applyBorder="1"/>
    <x:xf numFmtId="201" fontId="8" fillId="0" borderId="0" xfId="0" applyNumberFormat="1" applyFont="1" applyFill="1" applyBorder="1"/>
    <x:xf numFmtId="200" fontId="9" fillId="3" borderId="0" xfId="0" applyNumberFormat="1" applyFont="1" applyFill="1" applyBorder="1"/>
    <x:xf numFmtId="200" fontId="10" fillId="0" borderId="0" xfId="0" applyNumberFormat="1" applyFont="1" applyFill="1" applyBorder="1"/>
    <x:xf numFmtId="200" fontId="8" fillId="0" borderId="0" xfId="0" applyNumberFormat="1" applyFont="1" applyFill="1" applyBorder="1"/>
    <x:xf numFmtId="200" fontId="11" fillId="0" borderId="0" xfId="0" applyNumberFormat="1" applyFont="1" applyFill="1" applyBorder="1"/>
    <x:xf numFmtId="201" fontId="10" fillId="0" borderId="0" xfId="0" applyNumberFormat="1" applyFont="1" applyFill="1" applyBorder="1"/>
    <x:xf numFmtId="201" fontId="11" fillId="0" borderId="0" xfId="0" applyNumberFormat="1" applyFont="1" applyFill="1" applyBorder="1"/>
    <x:xf numFmtId="202" fontId="10" fillId="0" borderId="0" xfId="0" applyNumberFormat="1" applyFont="1" applyFill="1" applyBorder="1"/>
    <x:xf numFmtId="203" fontId="10" fillId="0" borderId="0" xfId="0" applyNumberFormat="1" applyFont="1" applyFill="1" applyBorder="1"/>
    <x:xf numFmtId="200" fontId="8" fillId="3" borderId="0" xfId="0" applyNumberFormat="1" applyFont="1" applyFill="1" applyBorder="1"/>
    <x:xf numFmtId="200" fontId="11" fillId="3" borderId="0" xfId="0" applyNumberFormat="1" applyFont="1" applyFill="1" applyBorder="1"/>
    <x:xf numFmtId="200" fontId="12" fillId="3" borderId="0" xfId="0" applyNumberFormat="1" applyFont="1" applyFill="1" applyBorder="1"/>
    <x:xf numFmtId="203" fontId="8" fillId="0" borderId="0" xfId="0" applyNumberFormat="1" applyFont="1" applyFill="1" applyBorder="1"/>
    <x:xf numFmtId="203" fontId="11" fillId="0" borderId="0" xfId="0" applyNumberFormat="1" applyFont="1" applyFill="1" applyBorder="1"/>
    <x:xf numFmtId="203" fontId="8" fillId="3" borderId="0" xfId="0" applyNumberFormat="1" applyFont="1" applyFill="1" applyBorder="1"/>
    <x:xf numFmtId="203" fontId="9" fillId="3" borderId="0" xfId="0" applyNumberFormat="1" applyFont="1" applyFill="1" applyBorder="1"/>
    <x:xf numFmtId="0" fontId="11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3" fontId="11" fillId="3" borderId="0" xfId="0" applyNumberFormat="1" applyFont="1" applyFill="1" applyBorder="1"/>
    <x:xf numFmtId="203" fontId="12" fillId="3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/>
    <x:xf numFmtId="202" fontId="6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2870d04ed4047" /><Relationship Type="http://schemas.openxmlformats.org/officeDocument/2006/relationships/theme" Target="/xl/theme/theme1.xml" Id="R905caebb25ec4b17" /><Relationship Type="http://schemas.openxmlformats.org/officeDocument/2006/relationships/sharedStrings" Target="/xl/sharedStrings.xml" Id="Re08421c6f3324094" /><Relationship Type="http://schemas.openxmlformats.org/officeDocument/2006/relationships/worksheet" Target="/xl/worksheets/sheet1.xml" Id="R6ed2e094de1a4db4" /><Relationship Type="http://schemas.openxmlformats.org/officeDocument/2006/relationships/worksheet" Target="/xl/worksheets/sheet2.xml" Id="Rfe0d2d46b2c14e30" /><Relationship Type="http://schemas.openxmlformats.org/officeDocument/2006/relationships/worksheet" Target="/xl/worksheets/sheet3.xml" Id="R44dd4005a3194a7c" /><Relationship Type="http://schemas.openxmlformats.org/officeDocument/2006/relationships/worksheet" Target="/xl/worksheets/sheet4.xml" Id="Rb2dfc691e3ed468c" /><Relationship Type="http://schemas.openxmlformats.org/officeDocument/2006/relationships/worksheet" Target="/xl/worksheets/sheet5.xml" Id="Rc50b79091bff42de" /><Relationship Type="http://schemas.openxmlformats.org/officeDocument/2006/relationships/worksheet" Target="/xl/worksheets/sheet6.xml" Id="R880b165da9804534" /><Relationship Type="http://schemas.openxmlformats.org/officeDocument/2006/relationships/worksheet" Target="/xl/worksheets/sheet7.xml" Id="R3b70808933cb4ea3" /><Relationship Type="http://schemas.openxmlformats.org/officeDocument/2006/relationships/worksheet" Target="/xl/worksheets/sheet8.xml" Id="R39f414c1d66b4a5d" /><Relationship Type="http://schemas.openxmlformats.org/officeDocument/2006/relationships/worksheet" Target="/xl/worksheets/sheet9.xml" Id="R7acffac9303b46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202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NKE | Summary</x:v>
      </x:c>
      <x:c r="B1" s="5"/>
      <x:c r="C1" s="5"/>
      <x:c r="D1" s="5"/>
      <x:c r="E1" s="5"/>
      <x:c r="F1" s="5"/>
    </x:row>
    <x:row r="2" ht="24" customHeight="1">
      <x:c r="A2" s="2"/>
      <x:c r="B2" s="2"/>
      <x:c r="C2" s="2"/>
      <x:c r="D2" s="2"/>
      <x:c r="E2" s="2"/>
      <x:c r="F2" s="2"/>
    </x:row>
    <x:row r="3" ht="24" customHeight="1">
      <x:c r="A3" s="2" t="str">
        <x:v>Valuation date</x:v>
      </x:c>
      <x:c r="B3" s="17" t="str">
        <x:v>2026-08-31</x:v>
      </x:c>
      <x:c r="C3" s="6"/>
      <x:c r="D3" s="6"/>
      <x:c r="E3" s="6"/>
      <x:c r="F3" s="6"/>
    </x:row>
    <x:row r="4" ht="24" customHeight="1">
      <x:c r="A4" s="11" t="str">
        <x:v>Model value per share</x:v>
      </x:c>
      <x:c r="B4" s="34" t="n">
        <x:f>Valuation!B16</x:f>
        <x:v>42.138379249795285</x:v>
      </x:c>
      <x:c r="C4" s="14"/>
      <x:c r="D4" s="14"/>
      <x:c r="E4" s="14"/>
      <x:c r="F4" s="14"/>
    </x:row>
    <x:row r="5" ht="24" customHeight="1">
      <x:c r="A5" s="2" t="str">
        <x:v>Observed share price</x:v>
      </x:c>
      <x:c r="B5" s="28" t="n">
        <x:f>Valuation!B17</x:f>
        <x:v>39.06</x:v>
      </x:c>
      <x:c r="C5" s="6"/>
      <x:c r="D5" s="6"/>
      <x:c r="E5" s="6"/>
      <x:c r="F5" s="6"/>
    </x:row>
    <x:row r="6" ht="24" customHeight="1">
      <x:c r="A6" s="2" t="str">
        <x:v>Upside / (downside)</x:v>
      </x:c>
      <x:c r="B6" s="21" t="n">
        <x:f>Valuation!B18</x:f>
        <x:v>0.0788115527341342</x:v>
      </x:c>
      <x:c r="C6" s="6"/>
      <x:c r="D6" s="6"/>
      <x:c r="E6" s="6"/>
      <x:c r="F6" s="6"/>
    </x:row>
    <x:row r="7" ht="24" customHeight="1">
      <x:c r="A7" s="2" t="str">
        <x:v>Selected scenario</x:v>
      </x:c>
      <x:c r="B7" s="19" t="str">
        <x:f>CHOOSE(Drivers!B3,"Bear","Base","Bull")</x:f>
        <x:v>Base</x:v>
      </x:c>
      <x:c r="C7" s="6"/>
      <x:c r="D7" s="6"/>
      <x:c r="E7" s="6"/>
      <x:c r="F7" s="6"/>
    </x:row>
    <x:row r="8" ht="24" customHeight="1">
      <x:c r="A8" s="2" t="str">
        <x:v>FY2026 revenue ($m)</x:v>
      </x:c>
      <x:c r="B8" s="19" t="n">
        <x:f>Historical!F4</x:f>
        <x:v>46398</x:v>
      </x:c>
      <x:c r="C8" s="6"/>
      <x:c r="D8" s="6"/>
      <x:c r="E8" s="6"/>
      <x:c r="F8" s="6"/>
    </x:row>
    <x:row r="9" ht="24" customHeight="1">
      <x:c r="A9" s="2" t="str">
        <x:v>FY2026 operating margin</x:v>
      </x:c>
      <x:c r="B9" s="21" t="n">
        <x:f>Historical!F26</x:f>
        <x:v>0.0818354239406871</x:v>
      </x:c>
      <x:c r="C9" s="6"/>
      <x:c r="D9" s="6"/>
      <x:c r="E9" s="6"/>
      <x:c r="F9" s="6"/>
    </x:row>
    <x:row r="10" ht="24" customHeight="1">
      <x:c r="A10" s="2" t="str">
        <x:v>FY2026 CFO − capex ($m)</x:v>
      </x:c>
      <x:c r="B10" s="19" t="n">
        <x:f>Historical!F27</x:f>
        <x:v>2184</x:v>
      </x:c>
      <x:c r="C10" s="6"/>
      <x:c r="D10" s="6"/>
      <x:c r="E10" s="6"/>
      <x:c r="F10" s="6"/>
    </x:row>
    <x:row r="11" ht="24" customHeight="1">
      <x:c r="A11" s="2" t="str">
        <x:v>WACC</x:v>
      </x:c>
      <x:c r="B11" s="21" t="n">
        <x:f>Drivers!B24</x:f>
        <x:v>0.09204780242311122</x:v>
      </x:c>
      <x:c r="C11" s="6"/>
      <x:c r="D11" s="6"/>
      <x:c r="E11" s="6"/>
      <x:c r="F11" s="6"/>
    </x:row>
    <x:row r="12" ht="24" customHeight="1">
      <x:c r="A12" s="2" t="str">
        <x:v>Terminal value dependence</x:v>
      </x:c>
      <x:c r="B12" s="21" t="n">
        <x:f>Valuation!B19</x:f>
        <x:v>0.7758023213332551</x:v>
      </x:c>
      <x:c r="C12" s="6"/>
      <x:c r="D12" s="6"/>
      <x:c r="E12" s="6"/>
      <x:c r="F12" s="6"/>
    </x:row>
    <x:row r="13" ht="24" customHeight="1">
      <x:c r="A13" s="2" t="str">
        <x:v>Maximum balance check</x:v>
      </x:c>
      <x:c r="B13" s="19" t="n">
        <x:f>MAX(ABS(Forecast!B28),ABS(Forecast!C28),ABS(Forecast!D28),ABS(Forecast!E28),ABS(Forecast!F28))</x:f>
        <x:v>0</x:v>
      </x:c>
      <x:c r="C13" s="6"/>
      <x:c r="D13" s="6"/>
      <x:c r="E13" s="6"/>
      <x:c r="F13" s="6"/>
    </x:row>
    <x:row r="14" ht="24" customHeight="1">
      <x:c r="A14" s="2"/>
      <x:c r="B14" s="6"/>
      <x:c r="C14" s="6"/>
      <x:c r="D14" s="6"/>
      <x:c r="E14" s="6"/>
      <x:c r="F14" s="6"/>
    </x:row>
    <x:row r="15" ht="24" customHeight="1">
      <x:c r="A15" s="2"/>
      <x:c r="B15" s="6"/>
      <x:c r="C15" s="6"/>
      <x:c r="D15" s="6"/>
      <x:c r="E15" s="6"/>
      <x:c r="F15" s="6"/>
    </x:row>
    <x:row r="16" ht="24" customHeight="1">
      <x:c r="A16" s="32" t="str">
        <x:v>Change Drivers B3 to compare cases. Blue cells are inputs; green cells link to another sheet. Forecasts are analyst assumptions. This is a historical valuation exercise, not a live price target.</x:v>
      </x:c>
      <x:c r="B16" s="6"/>
      <x:c r="C16" s="6"/>
      <x:c r="D16" s="6"/>
      <x:c r="E16" s="6"/>
      <x:c r="F16" s="6"/>
    </x:row>
    <x:row r="17" ht="24" customHeight="1">
      <x:c r="A17" s="2"/>
      <x:c r="B17" s="6"/>
      <x:c r="C17" s="6"/>
      <x:c r="D17" s="6"/>
      <x:c r="E17" s="6"/>
      <x:c r="F17" s="6"/>
    </x:row>
    <x:row r="18" ht="24" customHeight="1">
      <x:c r="A18" s="2"/>
      <x:c r="B18" s="6"/>
      <x:c r="C18" s="6"/>
      <x:c r="D18" s="6"/>
      <x:c r="E18" s="6"/>
      <x:c r="F18" s="6"/>
    </x:row>
    <x:row r="19" ht="24" customHeight="1">
      <x:c r="A19" s="2"/>
      <x:c r="B19" s="6"/>
      <x:c r="C19" s="6"/>
      <x:c r="D19" s="6"/>
      <x:c r="E19" s="6"/>
      <x:c r="F19" s="6"/>
    </x:row>
    <x:row r="20" ht="24" customHeight="1">
      <x:c r="A20" s="2"/>
      <x:c r="B20" s="6"/>
      <x:c r="C20" s="6"/>
      <x:c r="D20" s="6"/>
      <x:c r="E20" s="6"/>
      <x:c r="F20" s="6"/>
    </x:row>
    <x:row r="21" ht="24" customHeight="1">
      <x:c r="A21" s="2"/>
      <x:c r="B21" s="6"/>
      <x:c r="C21" s="6"/>
      <x:c r="D21" s="6"/>
      <x:c r="E21" s="6"/>
      <x:c r="F21" s="6"/>
    </x:row>
    <x:row r="22" ht="24" customHeight="1">
      <x:c r="A22" s="2"/>
      <x:c r="B22" s="6"/>
      <x:c r="C22" s="6"/>
      <x:c r="D22" s="6"/>
      <x:c r="E22" s="6"/>
      <x:c r="F22" s="6"/>
    </x:row>
    <x:row r="23" ht="24" customHeight="1">
      <x:c r="A23" s="2"/>
      <x:c r="B23" s="6"/>
      <x:c r="C23" s="6"/>
      <x:c r="D23" s="6"/>
      <x:c r="E23" s="6"/>
      <x:c r="F23" s="6"/>
    </x:row>
    <x:row r="24" ht="24" customHeight="1">
      <x:c r="A24" s="2"/>
      <x:c r="B24" s="6"/>
      <x:c r="C24" s="6"/>
      <x:c r="D24" s="6"/>
      <x:c r="E24" s="6"/>
      <x:c r="F24" s="6"/>
    </x:row>
    <x:row r="25" ht="24" customHeight="1">
      <x:c r="A25" s="2"/>
      <x:c r="B25" s="6"/>
      <x:c r="C25" s="6"/>
      <x:c r="D25" s="6"/>
      <x:c r="E25" s="6"/>
      <x:c r="F25" s="6"/>
    </x:row>
    <x:row r="26" ht="24" customHeight="1">
      <x:c r="A26" s="2"/>
      <x:c r="B26" s="6"/>
      <x:c r="C26" s="6"/>
      <x:c r="D26" s="6"/>
      <x:c r="E26" s="6"/>
      <x:c r="F26" s="6"/>
    </x:row>
    <x:row r="27" ht="24" customHeight="1">
      <x:c r="A27" s="2"/>
      <x:c r="B27" s="6"/>
      <x:c r="C27" s="6"/>
      <x:c r="D27" s="6"/>
      <x:c r="E27" s="6"/>
      <x:c r="F27" s="6"/>
    </x:row>
    <x:row r="28" ht="24" customHeight="1">
      <x:c r="A28" s="2"/>
      <x:c r="B28" s="6"/>
      <x:c r="C28" s="6"/>
      <x:c r="D28" s="6"/>
      <x:c r="E28" s="6"/>
      <x:c r="F28" s="6"/>
    </x:row>
    <x:row r="29" ht="24" customHeight="1">
      <x:c r="A29" s="2"/>
      <x:c r="B29" s="6"/>
      <x:c r="C29" s="6"/>
      <x:c r="D29" s="6"/>
      <x:c r="E29" s="6"/>
      <x:c r="F29" s="6"/>
    </x:row>
    <x:row r="30" ht="24" customHeight="1">
      <x:c r="A30" s="2"/>
      <x:c r="B30" s="6"/>
      <x:c r="C30" s="6"/>
      <x:c r="D30" s="6"/>
      <x:c r="E30" s="6"/>
      <x:c r="F30" s="6"/>
    </x:row>
    <x:row r="31" ht="24" customHeight="1">
      <x:c r="A31" s="2"/>
      <x:c r="B31" s="6"/>
      <x:c r="C31" s="6"/>
      <x:c r="D31" s="6"/>
      <x:c r="E31" s="6"/>
      <x:c r="F31" s="6"/>
    </x:row>
    <x:row r="32" ht="24" customHeight="1">
      <x:c r="A32" s="2"/>
      <x:c r="B32" s="6"/>
      <x:c r="C32" s="6"/>
      <x:c r="D32" s="6"/>
      <x:c r="E32" s="6"/>
      <x:c r="F32" s="6"/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2"/>
      <x:c r="B34" s="6"/>
      <x:c r="C34" s="6"/>
      <x:c r="D34" s="6"/>
      <x:c r="E34" s="6"/>
      <x:c r="F34" s="6"/>
    </x:row>
    <x:row r="35" ht="24" customHeight="1">
      <x:c r="A35" s="2"/>
      <x:c r="B35" s="6"/>
      <x:c r="C35" s="6"/>
      <x:c r="D35" s="6"/>
      <x:c r="E35" s="6"/>
      <x:c r="F35" s="6"/>
    </x:row>
    <x:row r="36" ht="24" customHeight="1">
      <x:c r="A36" s="2"/>
      <x:c r="B36" s="6"/>
      <x:c r="C36" s="6"/>
      <x:c r="D36" s="6"/>
      <x:c r="E36" s="6"/>
      <x:c r="F36" s="6"/>
    </x:row>
  </x:sheetData>
  <x:mergeCells>
    <x:mergeCell ref="A1:F1"/>
    <x:mergeCell ref="A16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202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NKE | Drivers</x:v>
      </x:c>
      <x:c r="B1" s="5"/>
      <x:c r="C1" s="5"/>
      <x:c r="D1" s="5"/>
      <x:c r="E1" s="5"/>
      <x:c r="F1" s="5"/>
    </x:row>
    <x:row r="2" ht="24" customHeight="1">
      <x:c r="A2" s="2"/>
      <x:c r="B2" s="2"/>
      <x:c r="C2" s="2"/>
      <x:c r="D2" s="2"/>
      <x:c r="E2" s="2"/>
      <x:c r="F2" s="2"/>
    </x:row>
    <x:row r="3" ht="24" customHeight="1">
      <x:c r="A3" s="2" t="str">
        <x:v>Scenario: 1 Bear / 2 Base / 3 Bull</x:v>
      </x:c>
      <x:c r="B3" s="22" t="n">
        <x:v>2</x:v>
      </x:c>
      <x:c r="C3" s="6"/>
      <x:c r="D3" s="6"/>
      <x:c r="E3" s="6"/>
      <x:c r="F3" s="6"/>
    </x:row>
    <x:row r="4" ht="24" customHeight="1">
      <x:c r="A4" s="2" t="str">
        <x:v>Share price on 31 Aug 2026</x:v>
      </x:c>
      <x:c r="B4" s="23" t="n">
        <x:v>39.06</x:v>
      </x:c>
      <x:c r="C4" s="6"/>
      <x:c r="D4" s="6"/>
      <x:c r="E4" s="6"/>
      <x:c r="F4" s="6"/>
    </x:row>
    <x:row r="5" ht="24" customHeight="1">
      <x:c r="A5" s="2" t="str">
        <x:v>US 10-year Treasury yield</x:v>
      </x:c>
      <x:c r="B5" s="20" t="n">
        <x:v>0.0475</x:v>
      </x:c>
      <x:c r="C5" s="6"/>
      <x:c r="D5" s="6"/>
      <x:c r="E5" s="6"/>
      <x:c r="F5" s="6"/>
    </x:row>
    <x:row r="6" ht="24" customHeight="1">
      <x:c r="A6" s="2" t="str">
        <x:v>Equity beta — analyst assumption</x:v>
      </x:c>
      <x:c r="B6" s="17" t="n">
        <x:v>1.15</x:v>
      </x:c>
      <x:c r="C6" s="6"/>
      <x:c r="D6" s="6"/>
      <x:c r="E6" s="6"/>
      <x:c r="F6" s="6"/>
    </x:row>
    <x:row r="7" ht="24" customHeight="1">
      <x:c r="A7" s="2" t="str">
        <x:v>Equity risk premium — assumption</x:v>
      </x:c>
      <x:c r="B7" s="20" t="n">
        <x:v>0.045</x:v>
      </x:c>
      <x:c r="C7" s="6"/>
      <x:c r="D7" s="6"/>
      <x:c r="E7" s="6"/>
      <x:c r="F7" s="6"/>
    </x:row>
    <x:row r="8" ht="24" customHeight="1">
      <x:c r="A8" s="2" t="str">
        <x:v>Cost of debt — assumption</x:v>
      </x:c>
      <x:c r="B8" s="20" t="n">
        <x:v>0.05</x:v>
      </x:c>
      <x:c r="C8" s="6"/>
      <x:c r="D8" s="6"/>
      <x:c r="E8" s="6"/>
      <x:c r="F8" s="6"/>
    </x:row>
    <x:row r="9" ht="24" customHeight="1">
      <x:c r="A9" s="2" t="str">
        <x:v>Forecast effective tax rate</x:v>
      </x:c>
      <x:c r="B9" s="20" t="n">
        <x:v>0.21</x:v>
      </x:c>
      <x:c r="C9" s="6"/>
      <x:c r="D9" s="6"/>
      <x:c r="E9" s="6"/>
      <x:c r="F9" s="6"/>
    </x:row>
    <x:row r="10" ht="24" customHeight="1">
      <x:c r="A10" s="2" t="str">
        <x:v>Terminal growth</x:v>
      </x:c>
      <x:c r="B10" s="20" t="n">
        <x:v>0.025</x:v>
      </x:c>
      <x:c r="C10" s="6"/>
      <x:c r="D10" s="6"/>
      <x:c r="E10" s="6"/>
      <x:c r="F10" s="6"/>
    </x:row>
    <x:row r="11" ht="24" customHeight="1">
      <x:c r="A11" s="2" t="str">
        <x:v>Common shares outstanding (m)</x:v>
      </x:c>
      <x:c r="B11" s="17" t="n">
        <x:v>1483.498703</x:v>
      </x:c>
      <x:c r="C11" s="6"/>
      <x:c r="D11" s="6"/>
      <x:c r="E11" s="6"/>
      <x:c r="F11" s="6"/>
    </x:row>
    <x:row r="12" ht="24" customHeight="1">
      <x:c r="A12" s="2" t="str">
        <x:v>Preferred conversion shares (m)</x:v>
      </x:c>
      <x:c r="B12" s="17" t="n">
        <x:v>0</x:v>
      </x:c>
      <x:c r="C12" s="6"/>
      <x:c r="D12" s="6"/>
      <x:c r="E12" s="6"/>
      <x:c r="F12" s="6"/>
    </x:row>
    <x:row r="13" ht="24" customHeight="1">
      <x:c r="A13" s="2" t="str">
        <x:v>Incremental dilution proxy (m)</x:v>
      </x:c>
      <x:c r="B13" s="17" t="n">
        <x:v>1.2</x:v>
      </x:c>
      <x:c r="C13" s="6"/>
      <x:c r="D13" s="6"/>
      <x:c r="E13" s="6"/>
      <x:c r="F13" s="6"/>
    </x:row>
    <x:row r="14" ht="24" customHeight="1">
      <x:c r="A14" s="2" t="str">
        <x:v>Diluted share denominator (m)</x:v>
      </x:c>
      <x:c r="B14" s="18" t="n">
        <x:f>SUM(B11:B13)</x:f>
        <x:v>1484.698703</x:v>
      </x:c>
      <x:c r="C14" s="6"/>
      <x:c r="D14" s="6"/>
      <x:c r="E14" s="6"/>
      <x:c r="F14" s="6"/>
    </x:row>
    <x:row r="15" ht="24" customHeight="1">
      <x:c r="A15" s="2" t="str">
        <x:v>Short-term investments ($m)</x:v>
      </x:c>
      <x:c r="B15" s="17" t="n">
        <x:v>1464</x:v>
      </x:c>
      <x:c r="C15" s="6"/>
      <x:c r="D15" s="6"/>
      <x:c r="E15" s="6"/>
      <x:c r="F15" s="6"/>
    </x:row>
    <x:row r="16" ht="24" customHeight="1">
      <x:c r="A16" s="2" t="str">
        <x:v>Noncontrolling interest ($m)</x:v>
      </x:c>
      <x:c r="B16" s="17" t="n">
        <x:v>0</x:v>
      </x:c>
      <x:c r="C16" s="6"/>
      <x:c r="D16" s="6"/>
      <x:c r="E16" s="6"/>
      <x:c r="F16" s="6"/>
    </x:row>
    <x:row r="17" ht="24" customHeight="1">
      <x:c r="A17" s="2" t="str">
        <x:v>Capital expenditure / sales</x:v>
      </x:c>
      <x:c r="B17" s="20" t="n">
        <x:v>0.02</x:v>
      </x:c>
      <x:c r="C17" s="6"/>
      <x:c r="D17" s="6"/>
      <x:c r="E17" s="6"/>
      <x:c r="F17" s="6"/>
    </x:row>
    <x:row r="18" ht="24" customHeight="1">
      <x:c r="A18" s="2" t="str">
        <x:v>D&amp;A / sales</x:v>
      </x:c>
      <x:c r="B18" s="21" t="n">
        <x:f>Historical!F14/Historical!F4</x:f>
        <x:v>0.016099831889305572</x:v>
      </x:c>
      <x:c r="C18" s="6"/>
      <x:c r="D18" s="6"/>
      <x:c r="E18" s="6"/>
      <x:c r="F18" s="6"/>
    </x:row>
    <x:row r="19" ht="24" customHeight="1">
      <x:c r="A19" s="2" t="str">
        <x:v>Share compensation / sales</x:v>
      </x:c>
      <x:c r="B19" s="21" t="n">
        <x:f>Historical!F15/Historical!F4</x:f>
        <x:v>0.015410146989094358</x:v>
      </x:c>
      <x:c r="C19" s="6"/>
      <x:c r="D19" s="6"/>
      <x:c r="E19" s="6"/>
      <x:c r="F19" s="6"/>
    </x:row>
    <x:row r="20" ht="24" customHeight="1">
      <x:c r="A20" s="2" t="str">
        <x:v>Cash dividends / net income</x:v>
      </x:c>
      <x:c r="B20" s="21" t="n">
        <x:f>Historical!F16/Historical!F10</x:f>
        <x:v>0.7744530244530244</x:v>
      </x:c>
      <x:c r="C20" s="6"/>
      <x:c r="D20" s="6"/>
      <x:c r="E20" s="6"/>
      <x:c r="F20" s="6"/>
    </x:row>
    <x:row r="21" ht="24" customHeight="1">
      <x:c r="A21" s="2" t="str">
        <x:v>Receivable days</x:v>
      </x:c>
      <x:c r="B21" s="19" t="n">
        <x:f>Historical!F18/Historical!F4*365</x:f>
        <x:v>46.65750678908574</x:v>
      </x:c>
      <x:c r="C21" s="6"/>
      <x:c r="D21" s="6"/>
      <x:c r="E21" s="6"/>
      <x:c r="F21" s="6"/>
    </x:row>
    <x:row r="22" ht="24" customHeight="1">
      <x:c r="A22" s="2" t="str">
        <x:v>Inventory days</x:v>
      </x:c>
      <x:c r="B22" s="19" t="n">
        <x:f>Historical!F19/Historical!F5*365</x:f>
        <x:v>103.36636840714313</x:v>
      </x:c>
      <x:c r="C22" s="6"/>
      <x:c r="D22" s="6"/>
      <x:c r="E22" s="6"/>
      <x:c r="F22" s="6"/>
    </x:row>
    <x:row r="23" ht="24" customHeight="1">
      <x:c r="A23" s="2" t="str">
        <x:v>Payable days</x:v>
      </x:c>
      <x:c r="B23" s="19" t="n">
        <x:f>Historical!F20/Historical!F5*365</x:f>
        <x:v>49.60924226979273</x:v>
      </x:c>
      <x:c r="C23" s="6"/>
      <x:c r="D23" s="6"/>
      <x:c r="E23" s="6"/>
      <x:c r="F23" s="6"/>
    </x:row>
    <x:row r="24" ht="24" customHeight="1">
      <x:c r="A24" s="2" t="str">
        <x:v>WACC</x:v>
      </x:c>
      <x:c r="B24" s="21" t="n">
        <x:f>((B5+B6*B7)*B4*B11+Historical!F24*B8*(1-B9))/(B4*B11+Historical!F24)</x:f>
        <x:v>0.09204780242311122</x:v>
      </x:c>
      <x:c r="C24" s="6"/>
      <x:c r="D24" s="6"/>
      <x:c r="E24" s="6"/>
      <x:c r="F24" s="6"/>
    </x:row>
    <x:row r="25" ht="24" customHeight="1">
      <x:c r="A25" s="2" t="str">
        <x:v>Elapsed FY2027 fraction</x:v>
      </x:c>
      <x:c r="B25" s="15" t="n">
        <x:f>92/365</x:f>
        <x:v>0.25205479452054796</x:v>
      </x:c>
      <x:c r="C25" s="6"/>
      <x:c r="D25" s="6"/>
      <x:c r="E25" s="6"/>
      <x:c r="F25" s="6"/>
    </x:row>
    <x:row r="26" ht="24" customHeight="1">
      <x:c r="A26" s="2" t="str">
        <x:v>Use constant growth: 0 No / 1 Yes</x:v>
      </x:c>
      <x:c r="B26" s="17" t="n">
        <x:v>0</x:v>
      </x:c>
      <x:c r="C26" s="6"/>
      <x:c r="D26" s="6"/>
      <x:c r="E26" s="6"/>
      <x:c r="F26" s="6"/>
    </x:row>
    <x:row r="27" ht="24" customHeight="1">
      <x:c r="A27" s="2" t="str">
        <x:v>Constant growth override</x:v>
      </x:c>
      <x:c r="B27" s="20" t="n">
        <x:v>0.003861680377132415</x:v>
      </x:c>
      <x:c r="C27" s="6"/>
      <x:c r="D27" s="6"/>
      <x:c r="E27" s="6"/>
      <x:c r="F27" s="6"/>
    </x:row>
    <x:row r="28" ht="24" customHeight="1">
      <x:c r="A28" s="2"/>
      <x:c r="B28" s="6"/>
      <x:c r="C28" s="6"/>
      <x:c r="D28" s="6"/>
      <x:c r="E28" s="6"/>
      <x:c r="F28" s="6"/>
    </x:row>
    <x:row r="29" ht="24" customHeight="1">
      <x:c r="A29" s="11" t="str">
        <x:v>Revenue growth</x:v>
      </x:c>
      <x:c r="B29" s="37" t="n">
        <x:v>2027</x:v>
      </x:c>
      <x:c r="C29" s="37" t="n">
        <x:v>2028</x:v>
      </x:c>
      <x:c r="D29" s="37" t="n">
        <x:v>2029</x:v>
      </x:c>
      <x:c r="E29" s="37" t="n">
        <x:v>2030</x:v>
      </x:c>
      <x:c r="F29" s="37" t="n">
        <x:v>2031</x:v>
      </x:c>
    </x:row>
    <x:row r="30" ht="24" customHeight="1">
      <x:c r="A30" s="2" t="str">
        <x:v>Bear</x:v>
      </x:c>
      <x:c r="B30" s="20" t="n">
        <x:v>-0.03</x:v>
      </x:c>
      <x:c r="C30" s="20" t="n">
        <x:v>0</x:v>
      </x:c>
      <x:c r="D30" s="20" t="n">
        <x:v>0.01</x:v>
      </x:c>
      <x:c r="E30" s="20" t="n">
        <x:v>0.02</x:v>
      </x:c>
      <x:c r="F30" s="20" t="n">
        <x:v>0.02</x:v>
      </x:c>
    </x:row>
    <x:row r="31" ht="24" customHeight="1">
      <x:c r="A31" s="2" t="str">
        <x:v>Base</x:v>
      </x:c>
      <x:c r="B31" s="20" t="n">
        <x:v>0.02</x:v>
      </x:c>
      <x:c r="C31" s="20" t="n">
        <x:v>0.04</x:v>
      </x:c>
      <x:c r="D31" s="20" t="n">
        <x:v>0.05</x:v>
      </x:c>
      <x:c r="E31" s="20" t="n">
        <x:v>0.04</x:v>
      </x:c>
      <x:c r="F31" s="20" t="n">
        <x:v>0.03</x:v>
      </x:c>
    </x:row>
    <x:row r="32" ht="24" customHeight="1">
      <x:c r="A32" s="2" t="str">
        <x:v>Bull</x:v>
      </x:c>
      <x:c r="B32" s="20" t="n">
        <x:v>0.05</x:v>
      </x:c>
      <x:c r="C32" s="20" t="n">
        <x:v>0.07</x:v>
      </x:c>
      <x:c r="D32" s="20" t="n">
        <x:v>0.07</x:v>
      </x:c>
      <x:c r="E32" s="20" t="n">
        <x:v>0.06</x:v>
      </x:c>
      <x:c r="F32" s="20" t="n">
        <x:v>0.05</x:v>
      </x:c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11" t="str">
        <x:v>Operating margin</x:v>
      </x:c>
      <x:c r="B34" s="37" t="n">
        <x:v>2027</x:v>
      </x:c>
      <x:c r="C34" s="37" t="n">
        <x:v>2028</x:v>
      </x:c>
      <x:c r="D34" s="37" t="n">
        <x:v>2029</x:v>
      </x:c>
      <x:c r="E34" s="37" t="n">
        <x:v>2030</x:v>
      </x:c>
      <x:c r="F34" s="37" t="n">
        <x:v>2031</x:v>
      </x:c>
    </x:row>
    <x:row r="35" ht="24" customHeight="1">
      <x:c r="A35" s="2" t="str">
        <x:v>Bear</x:v>
      </x:c>
      <x:c r="B35" s="20" t="n">
        <x:v>0.075</x:v>
      </x:c>
      <x:c r="C35" s="20" t="n">
        <x:v>0.075</x:v>
      </x:c>
      <x:c r="D35" s="20" t="n">
        <x:v>0.08</x:v>
      </x:c>
      <x:c r="E35" s="20" t="n">
        <x:v>0.085</x:v>
      </x:c>
      <x:c r="F35" s="20" t="n">
        <x:v>0.09</x:v>
      </x:c>
    </x:row>
    <x:row r="36" ht="24" customHeight="1">
      <x:c r="A36" s="2" t="str">
        <x:v>Base</x:v>
      </x:c>
      <x:c r="B36" s="20" t="n">
        <x:v>0.085</x:v>
      </x:c>
      <x:c r="C36" s="20" t="n">
        <x:v>0.095</x:v>
      </x:c>
      <x:c r="D36" s="20" t="n">
        <x:v>0.105</x:v>
      </x:c>
      <x:c r="E36" s="20" t="n">
        <x:v>0.115</x:v>
      </x:c>
      <x:c r="F36" s="20" t="n">
        <x:v>0.12</x:v>
      </x:c>
    </x:row>
    <x:row r="37" ht="24" customHeight="1">
      <x:c r="A37" s="2" t="str">
        <x:v>Bull</x:v>
      </x:c>
      <x:c r="B37" s="20" t="n">
        <x:v>0.095</x:v>
      </x:c>
      <x:c r="C37" s="20" t="n">
        <x:v>0.11</x:v>
      </x:c>
      <x:c r="D37" s="20" t="n">
        <x:v>0.125</x:v>
      </x:c>
      <x:c r="E37" s="20" t="n">
        <x:v>0.135</x:v>
      </x:c>
      <x:c r="F37" s="20" t="n">
        <x:v>0.14</x:v>
      </x:c>
    </x:row>
    <x:row r="38" ht="24" customHeight="1">
      <x:c r="A38" s="2"/>
      <x:c r="B38" s="6"/>
      <x:c r="C38" s="6"/>
      <x:c r="D38" s="6"/>
      <x:c r="E38" s="6"/>
      <x:c r="F38" s="6"/>
    </x:row>
    <x:row r="39" ht="24" customHeight="1">
      <x:c r="A39" s="2"/>
      <x:c r="B39" s="6"/>
      <x:c r="C39" s="6"/>
      <x:c r="D39" s="6"/>
      <x:c r="E39" s="6"/>
      <x:c r="F39" s="6"/>
    </x:row>
    <x:row r="40" ht="24" customHeight="1">
      <x:c r="A40" s="2"/>
      <x:c r="B40" s="6"/>
      <x:c r="C40" s="6"/>
      <x:c r="D40" s="6"/>
      <x:c r="E40" s="6"/>
      <x:c r="F40" s="6"/>
    </x:row>
  </x:sheetData>
  <x:mergeCells>
    <x:mergeCell ref="A1:F1"/>
  </x:mergeCells>
  <x:dataValidations count="2">
    <x:dataValidation type="list" sqref="B3">
      <x:formula1>"1,2,3"</x:formula1>
    </x:dataValidation>
    <x:dataValidation type="list" sqref="B26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0202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NKE | Historical</x:v>
      </x:c>
      <x:c r="B1" s="5"/>
      <x:c r="C1" s="5"/>
      <x:c r="D1" s="5"/>
      <x:c r="E1" s="5"/>
      <x:c r="F1" s="5"/>
    </x:row>
    <x:row r="2" ht="24" customHeight="1">
      <x:c r="A2" s="2" t="str">
        <x:v>Reported annual financials | USD millions except ratios</x:v>
      </x:c>
      <x:c r="B2" s="2"/>
      <x:c r="C2" s="2"/>
      <x:c r="D2" s="2"/>
      <x:c r="E2" s="2"/>
      <x:c r="F2" s="2"/>
    </x:row>
    <x:row r="3" ht="24" customHeight="1">
      <x:c r="A3" s="2"/>
      <x:c r="B3" s="36" t="n">
        <x:v>2022</x:v>
      </x:c>
      <x:c r="C3" s="36" t="n">
        <x:v>2023</x:v>
      </x:c>
      <x:c r="D3" s="36" t="n">
        <x:v>2024</x:v>
      </x:c>
      <x:c r="E3" s="36" t="n">
        <x:v>2025</x:v>
      </x:c>
      <x:c r="F3" s="36" t="n">
        <x:v>2026</x:v>
      </x:c>
    </x:row>
    <x:row r="4" ht="24" customHeight="1">
      <x:c r="A4" s="11" t="str">
        <x:v>Revenue</x:v>
      </x:c>
      <x:c r="B4" s="12" t="n">
        <x:v>46710</x:v>
      </x:c>
      <x:c r="C4" s="12" t="n">
        <x:v>51217</x:v>
      </x:c>
      <x:c r="D4" s="12" t="n">
        <x:v>51362</x:v>
      </x:c>
      <x:c r="E4" s="12" t="n">
        <x:v>46309</x:v>
      </x:c>
      <x:c r="F4" s="12" t="n">
        <x:v>46398</x:v>
      </x:c>
    </x:row>
    <x:row r="5" ht="24" customHeight="1">
      <x:c r="A5" s="2" t="str">
        <x:v>Cost of sales</x:v>
      </x:c>
      <x:c r="B5" s="6" t="n">
        <x:v>25231</x:v>
      </x:c>
      <x:c r="C5" s="6" t="n">
        <x:v>28925</x:v>
      </x:c>
      <x:c r="D5" s="6" t="n">
        <x:v>28475</x:v>
      </x:c>
      <x:c r="E5" s="6" t="n">
        <x:v>26519</x:v>
      </x:c>
      <x:c r="F5" s="6" t="n">
        <x:v>26487</x:v>
      </x:c>
    </x:row>
    <x:row r="6" ht="24" customHeight="1">
      <x:c r="A6" s="2" t="str">
        <x:v>Selling &amp; administration</x:v>
      </x:c>
      <x:c r="B6" s="6" t="n">
        <x:v>14804</x:v>
      </x:c>
      <x:c r="C6" s="6" t="n">
        <x:v>16377</x:v>
      </x:c>
      <x:c r="D6" s="6" t="n">
        <x:v>16576</x:v>
      </x:c>
      <x:c r="E6" s="6" t="n">
        <x:v>16088</x:v>
      </x:c>
      <x:c r="F6" s="6" t="n">
        <x:v>16114</x:v>
      </x:c>
    </x:row>
    <x:row r="7" ht="24" customHeight="1">
      <x:c r="A7" s="11" t="str">
        <x:v>Operating profit (EBIT)</x:v>
      </x:c>
      <x:c r="B7" s="14" t="n">
        <x:v>6675</x:v>
      </x:c>
      <x:c r="C7" s="14" t="n">
        <x:v>5915</x:v>
      </x:c>
      <x:c r="D7" s="14" t="n">
        <x:v>6311</x:v>
      </x:c>
      <x:c r="E7" s="14" t="n">
        <x:v>3702</x:v>
      </x:c>
      <x:c r="F7" s="14" t="n">
        <x:v>3797</x:v>
      </x:c>
    </x:row>
    <x:row r="8" ht="24" customHeight="1">
      <x:c r="A8" s="2" t="str">
        <x:v>Profit before tax</x:v>
      </x:c>
      <x:c r="B8" s="6" t="n">
        <x:v>6651</x:v>
      </x:c>
      <x:c r="C8" s="6" t="n">
        <x:v>6201</x:v>
      </x:c>
      <x:c r="D8" s="6" t="n">
        <x:v>6700</x:v>
      </x:c>
      <x:c r="E8" s="6" t="n">
        <x:v>3885</x:v>
      </x:c>
      <x:c r="F8" s="6" t="n">
        <x:v>3900</x:v>
      </x:c>
    </x:row>
    <x:row r="9" ht="24" customHeight="1">
      <x:c r="A9" s="2" t="str">
        <x:v>Income tax</x:v>
      </x:c>
      <x:c r="B9" s="6" t="n">
        <x:v>605</x:v>
      </x:c>
      <x:c r="C9" s="6" t="n">
        <x:v>1131</x:v>
      </x:c>
      <x:c r="D9" s="6" t="n">
        <x:v>1000</x:v>
      </x:c>
      <x:c r="E9" s="6" t="n">
        <x:v>666</x:v>
      </x:c>
      <x:c r="F9" s="6" t="n">
        <x:v>792</x:v>
      </x:c>
    </x:row>
    <x:row r="10" ht="24" customHeight="1">
      <x:c r="A10" s="2" t="str">
        <x:v>Consolidated net income</x:v>
      </x:c>
      <x:c r="B10" s="6" t="n">
        <x:v>6046</x:v>
      </x:c>
      <x:c r="C10" s="6" t="n">
        <x:v>5070</x:v>
      </x:c>
      <x:c r="D10" s="6" t="n">
        <x:v>5700</x:v>
      </x:c>
      <x:c r="E10" s="6" t="n">
        <x:v>3219</x:v>
      </x:c>
      <x:c r="F10" s="6" t="n">
        <x:v>3108</x:v>
      </x:c>
    </x:row>
    <x:row r="11" ht="24" customHeight="1">
      <x:c r="A11" s="2" t="str">
        <x:v>Net income attributable to parent</x:v>
      </x:c>
      <x:c r="B11" s="6" t="n">
        <x:v>6046</x:v>
      </x:c>
      <x:c r="C11" s="6" t="n">
        <x:v>5070</x:v>
      </x:c>
      <x:c r="D11" s="6" t="n">
        <x:v>5700</x:v>
      </x:c>
      <x:c r="E11" s="6" t="n">
        <x:v>3219</x:v>
      </x:c>
      <x:c r="F11" s="6" t="n">
        <x:v>3108</x:v>
      </x:c>
    </x:row>
    <x:row r="12" ht="24" customHeight="1">
      <x:c r="A12" s="11" t="str">
        <x:v>Cash from operations</x:v>
      </x:c>
      <x:c r="B12" s="14" t="n">
        <x:v>5188</x:v>
      </x:c>
      <x:c r="C12" s="14" t="n">
        <x:v>5841</x:v>
      </x:c>
      <x:c r="D12" s="14" t="n">
        <x:v>7429</x:v>
      </x:c>
      <x:c r="E12" s="14" t="n">
        <x:v>3698</x:v>
      </x:c>
      <x:c r="F12" s="14" t="n">
        <x:v>2868</x:v>
      </x:c>
    </x:row>
    <x:row r="13" ht="24" customHeight="1">
      <x:c r="A13" s="2" t="str">
        <x:v>Capital expenditure</x:v>
      </x:c>
      <x:c r="B13" s="6" t="n">
        <x:v>758</x:v>
      </x:c>
      <x:c r="C13" s="6" t="n">
        <x:v>969</x:v>
      </x:c>
      <x:c r="D13" s="6" t="n">
        <x:v>812</x:v>
      </x:c>
      <x:c r="E13" s="6" t="n">
        <x:v>430</x:v>
      </x:c>
      <x:c r="F13" s="6" t="n">
        <x:v>684</x:v>
      </x:c>
    </x:row>
    <x:row r="14" ht="24" customHeight="1">
      <x:c r="A14" s="2" t="str">
        <x:v>Depreciation &amp; amortisation</x:v>
      </x:c>
      <x:c r="B14" s="6" t="n">
        <x:v>717</x:v>
      </x:c>
      <x:c r="C14" s="6" t="n">
        <x:v>703</x:v>
      </x:c>
      <x:c r="D14" s="6" t="n">
        <x:v>796</x:v>
      </x:c>
      <x:c r="E14" s="6" t="n">
        <x:v>775</x:v>
      </x:c>
      <x:c r="F14" s="6" t="n">
        <x:v>747</x:v>
      </x:c>
    </x:row>
    <x:row r="15" ht="24" customHeight="1">
      <x:c r="A15" s="2" t="str">
        <x:v>Share-based compensation</x:v>
      </x:c>
      <x:c r="B15" s="6" t="n">
        <x:v>638</x:v>
      </x:c>
      <x:c r="C15" s="6" t="n">
        <x:v>755</x:v>
      </x:c>
      <x:c r="D15" s="6" t="n">
        <x:v>804</x:v>
      </x:c>
      <x:c r="E15" s="6" t="n">
        <x:v>709</x:v>
      </x:c>
      <x:c r="F15" s="6" t="n">
        <x:v>715</x:v>
      </x:c>
    </x:row>
    <x:row r="16" ht="24" customHeight="1">
      <x:c r="A16" s="2" t="str">
        <x:v>Cash dividends paid</x:v>
      </x:c>
      <x:c r="B16" s="6" t="n">
        <x:v>1837</x:v>
      </x:c>
      <x:c r="C16" s="6" t="n">
        <x:v>2012</x:v>
      </x:c>
      <x:c r="D16" s="6" t="n">
        <x:v>2169</x:v>
      </x:c>
      <x:c r="E16" s="6" t="n">
        <x:v>2300</x:v>
      </x:c>
      <x:c r="F16" s="6" t="n">
        <x:v>2407</x:v>
      </x:c>
    </x:row>
    <x:row r="17" ht="24" customHeight="1">
      <x:c r="A17" s="2" t="str">
        <x:v>Cash &amp; equivalents</x:v>
      </x:c>
      <x:c r="B17" s="6" t="n">
        <x:v>8574</x:v>
      </x:c>
      <x:c r="C17" s="6" t="n">
        <x:v>7441</x:v>
      </x:c>
      <x:c r="D17" s="6" t="n">
        <x:v>9860</x:v>
      </x:c>
      <x:c r="E17" s="6" t="n">
        <x:v>7464</x:v>
      </x:c>
      <x:c r="F17" s="6" t="n">
        <x:v>7563</x:v>
      </x:c>
    </x:row>
    <x:row r="18" ht="24" customHeight="1">
      <x:c r="A18" s="2" t="str">
        <x:v>Accounts receivable</x:v>
      </x:c>
      <x:c r="B18" s="6" t="n">
        <x:v>4667</x:v>
      </x:c>
      <x:c r="C18" s="6" t="n">
        <x:v>4131</x:v>
      </x:c>
      <x:c r="D18" s="6" t="n">
        <x:v>4427</x:v>
      </x:c>
      <x:c r="E18" s="6" t="n">
        <x:v>4717</x:v>
      </x:c>
      <x:c r="F18" s="6" t="n">
        <x:v>5931</x:v>
      </x:c>
    </x:row>
    <x:row r="19" ht="24" customHeight="1">
      <x:c r="A19" s="2" t="str">
        <x:v>Inventory</x:v>
      </x:c>
      <x:c r="B19" s="6" t="n">
        <x:v>8420</x:v>
      </x:c>
      <x:c r="C19" s="6" t="n">
        <x:v>8454</x:v>
      </x:c>
      <x:c r="D19" s="6" t="n">
        <x:v>7519</x:v>
      </x:c>
      <x:c r="E19" s="6" t="n">
        <x:v>7489</x:v>
      </x:c>
      <x:c r="F19" s="6" t="n">
        <x:v>7501</x:v>
      </x:c>
    </x:row>
    <x:row r="20" ht="24" customHeight="1">
      <x:c r="A20" s="2" t="str">
        <x:v>Accounts payable</x:v>
      </x:c>
      <x:c r="B20" s="6" t="n">
        <x:v>3358</x:v>
      </x:c>
      <x:c r="C20" s="6" t="n">
        <x:v>2862</x:v>
      </x:c>
      <x:c r="D20" s="6" t="n">
        <x:v>2851</x:v>
      </x:c>
      <x:c r="E20" s="6" t="n">
        <x:v>3479</x:v>
      </x:c>
      <x:c r="F20" s="6" t="n">
        <x:v>3600</x:v>
      </x:c>
    </x:row>
    <x:row r="21" ht="24" customHeight="1">
      <x:c r="A21" s="11" t="str">
        <x:v>Total assets</x:v>
      </x:c>
      <x:c r="B21" s="14" t="n">
        <x:v>40321</x:v>
      </x:c>
      <x:c r="C21" s="14" t="n">
        <x:v>37531</x:v>
      </x:c>
      <x:c r="D21" s="14" t="n">
        <x:v>38110</x:v>
      </x:c>
      <x:c r="E21" s="14" t="n">
        <x:v>36579</x:v>
      </x:c>
      <x:c r="F21" s="14" t="n">
        <x:v>38410</x:v>
      </x:c>
    </x:row>
    <x:row r="22" ht="24" customHeight="1">
      <x:c r="A22" s="2" t="str">
        <x:v>Total liabilities</x:v>
      </x:c>
      <x:c r="B22" s="6" t="n">
        <x:v>25040</x:v>
      </x:c>
      <x:c r="C22" s="6" t="n">
        <x:v>23527</x:v>
      </x:c>
      <x:c r="D22" s="6" t="n">
        <x:v>23680</x:v>
      </x:c>
      <x:c r="E22" s="6" t="n">
        <x:v>23366</x:v>
      </x:c>
      <x:c r="F22" s="6" t="n">
        <x:v>23545</x:v>
      </x:c>
    </x:row>
    <x:row r="23" ht="24" customHeight="1">
      <x:c r="A23" s="2" t="str">
        <x:v>Equity including noncontrolling</x:v>
      </x:c>
      <x:c r="B23" s="6" t="n">
        <x:v>15281</x:v>
      </x:c>
      <x:c r="C23" s="6" t="n">
        <x:v>14004</x:v>
      </x:c>
      <x:c r="D23" s="6" t="n">
        <x:v>14430</x:v>
      </x:c>
      <x:c r="E23" s="6" t="n">
        <x:v>13213</x:v>
      </x:c>
      <x:c r="F23" s="6" t="n">
        <x:v>14865</x:v>
      </x:c>
    </x:row>
    <x:row r="24" ht="24" customHeight="1">
      <x:c r="A24" s="11" t="str">
        <x:v>Interest-bearing debt</x:v>
      </x:c>
      <x:c r="B24" s="14" t="n">
        <x:v>9420</x:v>
      </x:c>
      <x:c r="C24" s="14" t="n">
        <x:v>8927</x:v>
      </x:c>
      <x:c r="D24" s="14" t="n">
        <x:v>8903</x:v>
      </x:c>
      <x:c r="E24" s="14" t="n">
        <x:v>7961</x:v>
      </x:c>
      <x:c r="F24" s="14" t="n">
        <x:v>7942</x:v>
      </x:c>
    </x:row>
    <x:row r="25" ht="24" customHeight="1">
      <x:c r="A25" s="2" t="str">
        <x:v>Gross margin</x:v>
      </x:c>
      <x:c r="B25" s="15" t="n">
        <x:f>1-B5/B4</x:f>
        <x:v>0.4598372939413402</x:v>
      </x:c>
      <x:c r="C25" s="15" t="n">
        <x:f>1-C5/C4</x:f>
        <x:v>0.435246109690142</x:v>
      </x:c>
      <x:c r="D25" s="15" t="n">
        <x:f>1-D5/D4</x:f>
        <x:v>0.4456018067832249</x:v>
      </x:c>
      <x:c r="E25" s="15" t="n">
        <x:f>1-E5/E4</x:f>
        <x:v>0.42734673605562634</x:v>
      </x:c>
      <x:c r="F25" s="15" t="n">
        <x:f>1-F5/F4</x:f>
        <x:v>0.4291348765032975</x:v>
      </x:c>
    </x:row>
    <x:row r="26" ht="24" customHeight="1">
      <x:c r="A26" s="2" t="str">
        <x:v>Operating margin</x:v>
      </x:c>
      <x:c r="B26" s="15" t="n">
        <x:f>B7/B4</x:f>
        <x:v>0.14290301862556198</x:v>
      </x:c>
      <x:c r="C26" s="15" t="n">
        <x:f>C7/C4</x:f>
        <x:v>0.11548899779370131</x:v>
      </x:c>
      <x:c r="D26" s="15" t="n">
        <x:f>D7/D4</x:f>
        <x:v>0.12287294108484872</x:v>
      </x:c>
      <x:c r="E26" s="15" t="n">
        <x:f>E7/E4</x:f>
        <x:v>0.07994126411712627</x:v>
      </x:c>
      <x:c r="F26" s="15" t="n">
        <x:f>F7/F4</x:f>
        <x:v>0.0818354239406871</x:v>
      </x:c>
    </x:row>
    <x:row r="27" ht="24" customHeight="1">
      <x:c r="A27" s="11" t="str">
        <x:v>Operating cash flow − capex</x:v>
      </x:c>
      <x:c r="B27" s="16" t="n">
        <x:f>B12-B13</x:f>
        <x:v>4430</x:v>
      </x:c>
      <x:c r="C27" s="16" t="n">
        <x:f>C12-C13</x:f>
        <x:v>4872</x:v>
      </x:c>
      <x:c r="D27" s="16" t="n">
        <x:f>D12-D13</x:f>
        <x:v>6617</x:v>
      </x:c>
      <x:c r="E27" s="16" t="n">
        <x:f>E12-E13</x:f>
        <x:v>3268</x:v>
      </x:c>
      <x:c r="F27" s="16" t="n">
        <x:f>F12-F13</x:f>
        <x:v>2184</x:v>
      </x:c>
    </x:row>
    <x:row r="28" ht="24" customHeight="1">
      <x:c r="A28" s="2"/>
      <x:c r="B28" s="6"/>
      <x:c r="C28" s="6"/>
      <x:c r="D28" s="6"/>
      <x:c r="E28" s="6"/>
      <x:c r="F28" s="6"/>
    </x:row>
    <x:row r="29" ht="24" customHeight="1">
      <x:c r="A29" s="2"/>
      <x:c r="B29" s="6"/>
      <x:c r="C29" s="6"/>
      <x:c r="D29" s="6"/>
      <x:c r="E29" s="6"/>
      <x:c r="F29" s="6"/>
    </x:row>
    <x:row r="30" ht="24" customHeight="1">
      <x:c r="A30" s="2"/>
      <x:c r="B30" s="6"/>
      <x:c r="C30" s="6"/>
      <x:c r="D30" s="6"/>
      <x:c r="E30" s="6"/>
      <x:c r="F30" s="6"/>
    </x:row>
    <x:row r="31" ht="24" customHeight="1">
      <x:c r="A31" s="2"/>
      <x:c r="B31" s="6"/>
      <x:c r="C31" s="6"/>
      <x:c r="D31" s="6"/>
      <x:c r="E31" s="6"/>
      <x:c r="F31" s="6"/>
    </x:row>
    <x:row r="32" ht="24" customHeight="1">
      <x:c r="A32" s="2"/>
      <x:c r="B32" s="6"/>
      <x:c r="C32" s="6"/>
      <x:c r="D32" s="6"/>
      <x:c r="E32" s="6"/>
      <x:c r="F32" s="6"/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2"/>
      <x:c r="B34" s="6"/>
      <x:c r="C34" s="6"/>
      <x:c r="D34" s="6"/>
      <x:c r="E34" s="6"/>
      <x:c r="F34" s="6"/>
    </x:row>
    <x:row r="35" ht="24" customHeight="1">
      <x:c r="A35" s="2"/>
      <x:c r="B35" s="6"/>
      <x:c r="C35" s="6"/>
      <x:c r="D35" s="6"/>
      <x:c r="E35" s="6"/>
      <x:c r="F35" s="6"/>
    </x:row>
    <x:row r="36" ht="24" customHeight="1">
      <x:c r="A36" s="2"/>
      <x:c r="B36" s="6"/>
      <x:c r="C36" s="6"/>
      <x:c r="D36" s="6"/>
      <x:c r="E36" s="6"/>
      <x:c r="F36" s="6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0202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NKE | Forecast</x:v>
      </x:c>
      <x:c r="B1" s="5"/>
      <x:c r="C1" s="5"/>
      <x:c r="D1" s="5"/>
      <x:c r="E1" s="5"/>
      <x:c r="F1" s="5"/>
    </x:row>
    <x:row r="2" ht="24" customHeight="1">
      <x:c r="A2" s="2"/>
      <x:c r="B2" s="2"/>
      <x:c r="C2" s="2"/>
      <x:c r="D2" s="2"/>
      <x:c r="E2" s="2"/>
      <x:c r="F2" s="2"/>
    </x:row>
    <x:row r="3" ht="24" customHeight="1">
      <x:c r="A3" s="2"/>
      <x:c r="B3" s="36" t="n">
        <x:v>2027</x:v>
      </x:c>
      <x:c r="C3" s="36" t="n">
        <x:v>2028</x:v>
      </x:c>
      <x:c r="D3" s="36" t="n">
        <x:v>2029</x:v>
      </x:c>
      <x:c r="E3" s="36" t="n">
        <x:v>2030</x:v>
      </x:c>
      <x:c r="F3" s="36" t="n">
        <x:v>2031</x:v>
      </x:c>
    </x:row>
    <x:row r="4" ht="24" customHeight="1">
      <x:c r="A4" s="2" t="str">
        <x:v>Revenue growth</x:v>
      </x:c>
      <x:c r="B4" s="21" t="n">
        <x:f>IF(Drivers!$B$26=1,Drivers!$B$27,CHOOSE(Drivers!$B$3,Drivers!B30,Drivers!B31,Drivers!B32))</x:f>
        <x:v>0.02</x:v>
      </x:c>
      <x:c r="C4" s="21" t="n">
        <x:f>IF(Drivers!$B$26=1,Drivers!$B$27,CHOOSE(Drivers!$B$3,Drivers!C30,Drivers!C31,Drivers!C32))</x:f>
        <x:v>0.04</x:v>
      </x:c>
      <x:c r="D4" s="21" t="n">
        <x:f>IF(Drivers!$B$26=1,Drivers!$B$27,CHOOSE(Drivers!$B$3,Drivers!D30,Drivers!D31,Drivers!D32))</x:f>
        <x:v>0.05</x:v>
      </x:c>
      <x:c r="E4" s="21" t="n">
        <x:f>IF(Drivers!$B$26=1,Drivers!$B$27,CHOOSE(Drivers!$B$3,Drivers!E30,Drivers!E31,Drivers!E32))</x:f>
        <x:v>0.04</x:v>
      </x:c>
      <x:c r="F4" s="21" t="n">
        <x:f>IF(Drivers!$B$26=1,Drivers!$B$27,CHOOSE(Drivers!$B$3,Drivers!F30,Drivers!F31,Drivers!F32))</x:f>
        <x:v>0.03</x:v>
      </x:c>
    </x:row>
    <x:row r="5" ht="24" customHeight="1">
      <x:c r="A5" s="11" t="str">
        <x:v>Revenue</x:v>
      </x:c>
      <x:c r="B5" s="12" t="n">
        <x:f>Historical!F4*(1+B4)</x:f>
        <x:v>47325.96</x:v>
      </x:c>
      <x:c r="C5" s="12" t="n">
        <x:f>B5*(1+C4)</x:f>
        <x:v>49218.998400000004</x:v>
      </x:c>
      <x:c r="D5" s="12" t="n">
        <x:f>C5*(1+D4)</x:f>
        <x:v>51679.94832</x:v>
      </x:c>
      <x:c r="E5" s="12" t="n">
        <x:f>D5*(1+E4)</x:f>
        <x:v>53747.146252800005</x:v>
      </x:c>
      <x:c r="F5" s="12" t="n">
        <x:f>E5*(1+F4)</x:f>
        <x:v>55359.56064038401</x:v>
      </x:c>
    </x:row>
    <x:row r="6" ht="24" customHeight="1">
      <x:c r="A6" s="2" t="str">
        <x:v>Gross margin</x:v>
      </x:c>
      <x:c r="B6" s="21" t="n">
        <x:f>Historical!$F$25+CHOOSE(Drivers!$B$3,Drivers!B35,Drivers!B36,Drivers!B37)-Historical!$F$26</x:f>
        <x:v>0.4322994525626104</x:v>
      </x:c>
      <x:c r="C6" s="21" t="n">
        <x:f>Historical!$F$25+CHOOSE(Drivers!$B$3,Drivers!C35,Drivers!C36,Drivers!C37)-Historical!$F$26</x:f>
        <x:v>0.4422994525626104</x:v>
      </x:c>
      <x:c r="D6" s="21" t="n">
        <x:f>Historical!$F$25+CHOOSE(Drivers!$B$3,Drivers!D35,Drivers!D36,Drivers!D37)-Historical!$F$26</x:f>
        <x:v>0.4522994525626104</x:v>
      </x:c>
      <x:c r="E6" s="21" t="n">
        <x:f>Historical!$F$25+CHOOSE(Drivers!$B$3,Drivers!E35,Drivers!E36,Drivers!E37)-Historical!$F$26</x:f>
        <x:v>0.4622994525626104</x:v>
      </x:c>
      <x:c r="F6" s="21" t="n">
        <x:f>Historical!$F$25+CHOOSE(Drivers!$B$3,Drivers!F35,Drivers!F36,Drivers!F37)-Historical!$F$26</x:f>
        <x:v>0.4672994525626104</x:v>
      </x:c>
    </x:row>
    <x:row r="7" ht="24" customHeight="1">
      <x:c r="A7" s="2" t="str">
        <x:v>Cost of sales</x:v>
      </x:c>
      <x:c r="B7" s="18" t="n">
        <x:f>B5*(1-B6)</x:f>
        <x:v>26866.973400000003</x:v>
      </x:c>
      <x:c r="C7" s="18" t="n">
        <x:f>C5*(1-C6)</x:f>
        <x:v>27449.462352000006</x:v>
      </x:c>
      <x:c r="D7" s="18" t="n">
        <x:f>D5*(1-D6)</x:f>
        <x:v>28305.135986400004</x:v>
      </x:c>
      <x:c r="E7" s="18" t="n">
        <x:f>E5*(1-E6)</x:f>
        <x:v>28899.869963328005</x:v>
      </x:c>
      <x:c r="F7" s="18" t="n">
        <x:f>F5*(1-F6)</x:f>
        <x:v>29490.068259025928</x:v>
      </x:c>
    </x:row>
    <x:row r="8" ht="24" customHeight="1">
      <x:c r="A8" s="2" t="str">
        <x:v>Selling &amp; administration</x:v>
      </x:c>
      <x:c r="B8" s="19" t="n">
        <x:f>B5*Historical!$F$6/Historical!$F$4</x:f>
        <x:v>16436.28</x:v>
      </x:c>
      <x:c r="C8" s="19" t="n">
        <x:f>C5*Historical!$F$6/Historical!$F$4</x:f>
        <x:v>17093.731200000002</x:v>
      </x:c>
      <x:c r="D8" s="19" t="n">
        <x:f>D5*Historical!$F$6/Historical!$F$4</x:f>
        <x:v>17948.417760000004</x:v>
      </x:c>
      <x:c r="E8" s="19" t="n">
        <x:f>E5*Historical!$F$6/Historical!$F$4</x:f>
        <x:v>18666.3544704</x:v>
      </x:c>
      <x:c r="F8" s="19" t="n">
        <x:f>F5*Historical!$F$6/Historical!$F$4</x:f>
        <x:v>19226.345104512002</x:v>
      </x:c>
    </x:row>
    <x:row r="9" ht="24" customHeight="1">
      <x:c r="A9" s="11" t="str">
        <x:v>Operating profit (EBIT)</x:v>
      </x:c>
      <x:c r="B9" s="16" t="n">
        <x:f>B5-B7-B8</x:f>
        <x:v>4022.7065999999977</x:v>
      </x:c>
      <x:c r="C9" s="16" t="n">
        <x:f>C5-C7-C8</x:f>
        <x:v>4675.804847999996</x:v>
      </x:c>
      <x:c r="D9" s="16" t="n">
        <x:f>D5-D7-D8</x:f>
        <x:v>5426.394573599995</x:v>
      </x:c>
      <x:c r="E9" s="16" t="n">
        <x:f>E5-E7-E8</x:f>
        <x:v>6180.9218190719985</x:v>
      </x:c>
      <x:c r="F9" s="16" t="n">
        <x:f>F5-F7-F8</x:f>
        <x:v>6643.147276846077</x:v>
      </x:c>
    </x:row>
    <x:row r="10" ht="24" customHeight="1">
      <x:c r="A10" s="2" t="str">
        <x:v>Interest expense</x:v>
      </x:c>
      <x:c r="B10" s="19" t="n">
        <x:f>Historical!$F$24*Drivers!$B$8</x:f>
        <x:v>397.1</x:v>
      </x:c>
      <x:c r="C10" s="19" t="n">
        <x:f>Historical!$F$24*Drivers!$B$8</x:f>
        <x:v>397.1</x:v>
      </x:c>
      <x:c r="D10" s="19" t="n">
        <x:f>Historical!$F$24*Drivers!$B$8</x:f>
        <x:v>397.1</x:v>
      </x:c>
      <x:c r="E10" s="19" t="n">
        <x:f>Historical!$F$24*Drivers!$B$8</x:f>
        <x:v>397.1</x:v>
      </x:c>
      <x:c r="F10" s="19" t="n">
        <x:f>Historical!$F$24*Drivers!$B$8</x:f>
        <x:v>397.1</x:v>
      </x:c>
    </x:row>
    <x:row r="11" ht="24" customHeight="1">
      <x:c r="A11" s="2" t="str">
        <x:v>Income tax</x:v>
      </x:c>
      <x:c r="B11" s="19" t="n">
        <x:f>(B9-B10)*Drivers!$B$9</x:f>
        <x:v>761.3773859999995</x:v>
      </x:c>
      <x:c r="C11" s="19" t="n">
        <x:f>(C9-C10)*Drivers!$B$9</x:f>
        <x:v>898.5280180799991</x:v>
      </x:c>
      <x:c r="D11" s="19" t="n">
        <x:f>(D9-D10)*Drivers!$B$9</x:f>
        <x:v>1056.1518604559988</x:v>
      </x:c>
      <x:c r="E11" s="19" t="n">
        <x:f>(E9-E10)*Drivers!$B$9</x:f>
        <x:v>1214.6025820051195</x:v>
      </x:c>
      <x:c r="F11" s="19" t="n">
        <x:f>(F9-F10)*Drivers!$B$9</x:f>
        <x:v>1311.6699281376762</x:v>
      </x:c>
    </x:row>
    <x:row r="12" ht="24" customHeight="1">
      <x:c r="A12" s="11" t="str">
        <x:v>Consolidated net income</x:v>
      </x:c>
      <x:c r="B12" s="16" t="n">
        <x:f>B9-B10-B11</x:f>
        <x:v>2864.229213999998</x:v>
      </x:c>
      <x:c r="C12" s="16" t="n">
        <x:f>C9-C10-C11</x:f>
        <x:v>3380.1768299199966</x:v>
      </x:c>
      <x:c r="D12" s="16" t="n">
        <x:f>D9-D10-D11</x:f>
        <x:v>3973.142713143996</x:v>
      </x:c>
      <x:c r="E12" s="16" t="n">
        <x:f>E9-E10-E11</x:f>
        <x:v>4569.219237066878</x:v>
      </x:c>
      <x:c r="F12" s="16" t="n">
        <x:f>F9-F10-F11</x:f>
        <x:v>4934.377348708401</x:v>
      </x:c>
    </x:row>
    <x:row r="13" ht="24" customHeight="1">
      <x:c r="A13" s="2" t="str">
        <x:v>D&amp;A</x:v>
      </x:c>
      <x:c r="B13" s="19" t="n">
        <x:f>B5*Drivers!$B$18</x:f>
        <x:v>761.9399999999999</x:v>
      </x:c>
      <x:c r="C13" s="19" t="n">
        <x:f>C5*Drivers!$B$18</x:f>
        <x:v>792.4176</x:v>
      </x:c>
      <x:c r="D13" s="19" t="n">
        <x:f>D5*Drivers!$B$18</x:f>
        <x:v>832.0384799999999</x:v>
      </x:c>
      <x:c r="E13" s="19" t="n">
        <x:f>E5*Drivers!$B$18</x:f>
        <x:v>865.3200192</x:v>
      </x:c>
      <x:c r="F13" s="19" t="n">
        <x:f>F5*Drivers!$B$18</x:f>
        <x:v>891.279619776</x:v>
      </x:c>
    </x:row>
    <x:row r="14" ht="24" customHeight="1">
      <x:c r="A14" s="2" t="str">
        <x:v>Share-based compensation</x:v>
      </x:c>
      <x:c r="B14" s="19" t="n">
        <x:f>B5*Drivers!$B$19</x:f>
        <x:v>729.3000000000001</x:v>
      </x:c>
      <x:c r="C14" s="19" t="n">
        <x:f>C5*Drivers!$B$19</x:f>
        <x:v>758.4720000000001</x:v>
      </x:c>
      <x:c r="D14" s="19" t="n">
        <x:f>D5*Drivers!$B$19</x:f>
        <x:v>796.3956000000001</x:v>
      </x:c>
      <x:c r="E14" s="19" t="n">
        <x:f>E5*Drivers!$B$19</x:f>
        <x:v>828.2514240000002</x:v>
      </x:c>
      <x:c r="F14" s="19" t="n">
        <x:f>F5*Drivers!$B$19</x:f>
        <x:v>853.0989667200001</x:v>
      </x:c>
    </x:row>
    <x:row r="15" ht="24" customHeight="1">
      <x:c r="A15" s="2" t="str">
        <x:v>Capital expenditure</x:v>
      </x:c>
      <x:c r="B15" s="19" t="n">
        <x:f>B5*Drivers!$B$17</x:f>
        <x:v>946.5192</x:v>
      </x:c>
      <x:c r="C15" s="19" t="n">
        <x:f>C5*Drivers!$B$17</x:f>
        <x:v>984.3799680000001</x:v>
      </x:c>
      <x:c r="D15" s="19" t="n">
        <x:f>D5*Drivers!$B$17</x:f>
        <x:v>1033.5989664</x:v>
      </x:c>
      <x:c r="E15" s="19" t="n">
        <x:f>E5*Drivers!$B$17</x:f>
        <x:v>1074.9429250560001</x:v>
      </x:c>
      <x:c r="F15" s="19" t="n">
        <x:f>F5*Drivers!$B$17</x:f>
        <x:v>1107.1912128076801</x:v>
      </x:c>
    </x:row>
    <x:row r="16" ht="24" customHeight="1">
      <x:c r="A16" s="2" t="str">
        <x:v>Receivables</x:v>
      </x:c>
      <x:c r="B16" s="19" t="n">
        <x:f>B5*Drivers!$B$21/365</x:f>
        <x:v>6049.62</x:v>
      </x:c>
      <x:c r="C16" s="19" t="n">
        <x:f>C5*Drivers!$B$21/365</x:f>
        <x:v>6291.604800000001</x:v>
      </x:c>
      <x:c r="D16" s="19" t="n">
        <x:f>D5*Drivers!$B$21/365</x:f>
        <x:v>6606.18504</x:v>
      </x:c>
      <x:c r="E16" s="19" t="n">
        <x:f>E5*Drivers!$B$21/365</x:f>
        <x:v>6870.4324416</x:v>
      </x:c>
      <x:c r="F16" s="19" t="n">
        <x:f>F5*Drivers!$B$21/365</x:f>
        <x:v>7076.545414848</x:v>
      </x:c>
    </x:row>
    <x:row r="17" ht="24" customHeight="1">
      <x:c r="A17" s="2" t="str">
        <x:v>Inventory</x:v>
      </x:c>
      <x:c r="B17" s="19" t="n">
        <x:f>B7*Drivers!$B$22/365</x:f>
        <x:v>7608.606768354288</x:v>
      </x:c>
      <x:c r="C17" s="19" t="n">
        <x:f>C7*Drivers!$B$22/365</x:f>
        <x:v>7773.565035766679</x:v>
      </x:c>
      <x:c r="D17" s="19" t="n">
        <x:f>D7*Drivers!$B$22/365</x:f>
        <x:v>8015.887984067144</x:v>
      </x:c>
      <x:c r="E17" s="19" t="n">
        <x:f>E7*Drivers!$B$22/365</x:f>
        <x:v>8184.313987802445</x:v>
      </x:c>
      <x:c r="F17" s="19" t="n">
        <x:f>F7*Drivers!$B$22/365</x:f>
        <x:v>8351.455506888416</x:v>
      </x:c>
    </x:row>
    <x:row r="18" ht="24" customHeight="1">
      <x:c r="A18" s="2" t="str">
        <x:v>Payables</x:v>
      </x:c>
      <x:c r="B18" s="19" t="n">
        <x:f>B7*Drivers!$B$23/365</x:f>
        <x:v>3651.6443628950055</x:v>
      </x:c>
      <x:c r="C18" s="19" t="n">
        <x:f>C7*Drivers!$B$23/365</x:f>
        <x:v>3730.8137753312953</x:v>
      </x:c>
      <x:c r="D18" s="19" t="n">
        <x:f>D7*Drivers!$B$23/365</x:f>
        <x:v>3847.1132839143734</x:v>
      </x:c>
      <x:c r="E18" s="19" t="n">
        <x:f>E7*Drivers!$B$23/365</x:f>
        <x:v>3927.9469878801233</x:v>
      </x:c>
      <x:c r="F18" s="19" t="n">
        <x:f>F7*Drivers!$B$23/365</x:f>
        <x:v>4008.1642214102517</x:v>
      </x:c>
    </x:row>
    <x:row r="19" ht="24" customHeight="1">
      <x:c r="A19" s="2" t="str">
        <x:v>Operating working capital</x:v>
      </x:c>
      <x:c r="B19" s="18" t="n">
        <x:f>B16+B17-B18</x:f>
        <x:v>10006.582405459283</x:v>
      </x:c>
      <x:c r="C19" s="18" t="n">
        <x:f>C16+C17-C18</x:f>
        <x:v>10334.356060435384</x:v>
      </x:c>
      <x:c r="D19" s="18" t="n">
        <x:f>D16+D17-D18</x:f>
        <x:v>10774.95974015277</x:v>
      </x:c>
      <x:c r="E19" s="18" t="n">
        <x:f>E16+E17-E18</x:f>
        <x:v>11126.799441522322</x:v>
      </x:c>
      <x:c r="F19" s="18" t="n">
        <x:f>F16+F17-F18</x:f>
        <x:v>11419.836700326165</x:v>
      </x:c>
    </x:row>
    <x:row r="20" ht="24" customHeight="1">
      <x:c r="A20" s="2" t="str">
        <x:v>Change in working capital</x:v>
      </x:c>
      <x:c r="B20" s="19" t="n">
        <x:f>B19-(Historical!F18+Historical!F19-Historical!F20)</x:f>
        <x:v>174.5824054592831</x:v>
      </x:c>
      <x:c r="C20" s="18" t="n">
        <x:f>C19-B19</x:f>
        <x:v>327.77365497610117</x:v>
      </x:c>
      <x:c r="D20" s="18" t="n">
        <x:f>D19-C19</x:f>
        <x:v>440.6036797173856</x:v>
      </x:c>
      <x:c r="E20" s="18" t="n">
        <x:f>E19-D19</x:f>
        <x:v>351.83970136955213</x:v>
      </x:c>
      <x:c r="F20" s="18" t="n">
        <x:f>F19-E19</x:f>
        <x:v>293.03725880384263</x:v>
      </x:c>
    </x:row>
    <x:row r="21" ht="24" customHeight="1">
      <x:c r="A21" s="11" t="str">
        <x:v>Cash from operations</x:v>
      </x:c>
      <x:c r="B21" s="16" t="n">
        <x:f>B12+B13+B14-B20</x:f>
        <x:v>4180.886808540715</x:v>
      </x:c>
      <x:c r="C21" s="16" t="n">
        <x:f>C12+C13+C14-C20</x:f>
        <x:v>4603.292774943895</x:v>
      </x:c>
      <x:c r="D21" s="16" t="n">
        <x:f>D12+D13+D14-D20</x:f>
        <x:v>5160.97311342661</x:v>
      </x:c>
      <x:c r="E21" s="16" t="n">
        <x:f>E12+E13+E14-E20</x:f>
        <x:v>5910.950978897326</x:v>
      </x:c>
      <x:c r="F21" s="16" t="n">
        <x:f>F12+F13+F14-F20</x:f>
        <x:v>6385.718676400558</x:v>
      </x:c>
    </x:row>
    <x:row r="22" ht="24" customHeight="1">
      <x:c r="A22" s="2" t="str">
        <x:v>Cash dividends</x:v>
      </x:c>
      <x:c r="B22" s="19" t="n">
        <x:f>MAX(0,B12*Drivers!$B$20)</x:f>
        <x:v>2218.2109775090075</x:v>
      </x:c>
      <x:c r="C22" s="19" t="n">
        <x:f>MAX(0,C12*Drivers!$B$20)</x:f>
        <x:v>2617.7881691175776</x:v>
      </x:c>
      <x:c r="D22" s="19" t="n">
        <x:f>MAX(0,D12*Drivers!$B$20)</x:f>
        <x:v>3077.012390777863</x:v>
      </x:c>
      <x:c r="E22" s="19" t="n">
        <x:f>MAX(0,E12*Drivers!$B$20)</x:f>
        <x:v>3538.6456575353845</x:v>
      </x:c>
      <x:c r="F22" s="19" t="n">
        <x:f>MAX(0,F12*Drivers!$B$20)</x:f>
        <x:v>3821.443461499717</x:v>
      </x:c>
    </x:row>
    <x:row r="23" ht="24" customHeight="1">
      <x:c r="A23" s="2" t="str">
        <x:v>Closing cash</x:v>
      </x:c>
      <x:c r="B23" s="19" t="n">
        <x:f>Historical!F17+B21-B15-B22</x:f>
        <x:v>8579.156631031707</x:v>
      </x:c>
      <x:c r="C23" s="18" t="n">
        <x:f>B23+C21-C15-C22</x:f>
        <x:v>9580.281268858025</x:v>
      </x:c>
      <x:c r="D23" s="18" t="n">
        <x:f>C23+D21-D15-D22</x:f>
        <x:v>10630.64302510677</x:v>
      </x:c>
      <x:c r="E23" s="18" t="n">
        <x:f>D23+E21-E15-E22</x:f>
        <x:v>11928.00542141271</x:v>
      </x:c>
      <x:c r="F23" s="18" t="n">
        <x:f>E23+F21-F15-F22</x:f>
        <x:v>13385.089423505871</x:v>
      </x:c>
    </x:row>
    <x:row r="24" ht="24" customHeight="1">
      <x:c r="A24" s="2" t="str">
        <x:v>Other noncash assets</x:v>
      </x:c>
      <x:c r="B24" s="19" t="n">
        <x:f>(Historical!F21-Historical!F17-Historical!F18-Historical!F19)+B15-B13</x:f>
        <x:v>17599.5792</x:v>
      </x:c>
      <x:c r="C24" s="18" t="n">
        <x:f>B24+C15-C13</x:f>
        <x:v>17791.541568</x:v>
      </x:c>
      <x:c r="D24" s="18" t="n">
        <x:f>C24+D15-D13</x:f>
        <x:v>17993.102054400002</x:v>
      </x:c>
      <x:c r="E24" s="18" t="n">
        <x:f>D24+E15-E13</x:f>
        <x:v>18202.724960256</x:v>
      </x:c>
      <x:c r="F24" s="18" t="n">
        <x:f>E24+F15-F13</x:f>
        <x:v>18418.63655328768</x:v>
      </x:c>
    </x:row>
    <x:row r="25" ht="24" customHeight="1">
      <x:c r="A25" s="2" t="str">
        <x:v>Total assets</x:v>
      </x:c>
      <x:c r="B25" s="18" t="n">
        <x:f>B23+B16+B17+B24</x:f>
        <x:v>39836.962599385995</x:v>
      </x:c>
      <x:c r="C25" s="18" t="n">
        <x:f>C23+C16+C17+C24</x:f>
        <x:v>41436.99267262471</x:v>
      </x:c>
      <x:c r="D25" s="18" t="n">
        <x:f>D23+D16+D17+D24</x:f>
        <x:v>43245.81810357391</x:v>
      </x:c>
      <x:c r="E25" s="18" t="n">
        <x:f>E23+E16+E17+E24</x:f>
        <x:v>45185.47681107116</x:v>
      </x:c>
      <x:c r="F25" s="18" t="n">
        <x:f>F23+F16+F17+F24</x:f>
        <x:v>47231.72689852997</x:v>
      </x:c>
    </x:row>
    <x:row r="26" ht="24" customHeight="1">
      <x:c r="A26" s="2" t="str">
        <x:v>Total liabilities</x:v>
      </x:c>
      <x:c r="B26" s="19" t="n">
        <x:f>Historical!$F$22-Historical!$F$20+B18</x:f>
        <x:v>23596.644362895007</x:v>
      </x:c>
      <x:c r="C26" s="19" t="n">
        <x:f>Historical!$F$22-Historical!$F$20+C18</x:f>
        <x:v>23675.813775331295</x:v>
      </x:c>
      <x:c r="D26" s="19" t="n">
        <x:f>Historical!$F$22-Historical!$F$20+D18</x:f>
        <x:v>23792.113283914372</x:v>
      </x:c>
      <x:c r="E26" s="19" t="n">
        <x:f>Historical!$F$22-Historical!$F$20+E18</x:f>
        <x:v>23872.946987880125</x:v>
      </x:c>
      <x:c r="F26" s="19" t="n">
        <x:f>Historical!$F$22-Historical!$F$20+F18</x:f>
        <x:v>23953.16422141025</x:v>
      </x:c>
    </x:row>
    <x:row r="27" ht="24" customHeight="1">
      <x:c r="A27" s="2" t="str">
        <x:v>Closing equity</x:v>
      </x:c>
      <x:c r="B27" s="19" t="n">
        <x:f>Historical!F23+B12+B14-B22</x:f>
        <x:v>16240.318236490992</x:v>
      </x:c>
      <x:c r="C27" s="18" t="n">
        <x:f>B27+C12+C14-C22</x:f>
        <x:v>17761.178897293412</x:v>
      </x:c>
      <x:c r="D27" s="18" t="n">
        <x:f>C27+D12+D14-D22</x:f>
        <x:v>19453.704819659546</x:v>
      </x:c>
      <x:c r="E27" s="18" t="n">
        <x:f>D27+E12+E14-E22</x:f>
        <x:v>21312.529823191042</x:v>
      </x:c>
      <x:c r="F27" s="18" t="n">
        <x:f>E27+F12+F14-F22</x:f>
        <x:v>23278.562677119728</x:v>
      </x:c>
    </x:row>
    <x:row r="28" ht="24" customHeight="1">
      <x:c r="A28" s="11" t="str">
        <x:v>Balance-sheet check</x:v>
      </x:c>
      <x:c r="B28" s="16" t="n">
        <x:f>ROUND(B25-B26-B27,6)</x:f>
        <x:v>0</x:v>
      </x:c>
      <x:c r="C28" s="16" t="n">
        <x:f>ROUND(C25-C26-C27,6)</x:f>
        <x:v>0</x:v>
      </x:c>
      <x:c r="D28" s="16" t="n">
        <x:f>ROUND(D25-D26-D27,6)</x:f>
        <x:v>0</x:v>
      </x:c>
      <x:c r="E28" s="16" t="n">
        <x:f>ROUND(E25-E26-E27,6)</x:f>
        <x:v>0</x:v>
      </x:c>
      <x:c r="F28" s="16" t="n">
        <x:f>ROUND(F25-F26-F27,6)</x:f>
        <x:v>0</x:v>
      </x:c>
    </x:row>
    <x:row r="29" ht="24" customHeight="1">
      <x:c r="A29" s="11" t="str">
        <x:v>Unlevered free cash flow</x:v>
      </x:c>
      <x:c r="B29" s="26" t="n">
        <x:f>B9*(1-Drivers!$B$9)+B13-B15-B20</x:f>
        <x:v>2818.7766085407156</x:v>
      </x:c>
      <x:c r="C29" s="26" t="n">
        <x:f>C9*(1-Drivers!$B$9)+C13-C15-C20</x:f>
        <x:v>3174.149806943896</x:v>
      </x:c>
      <x:c r="D29" s="26" t="n">
        <x:f>D9*(1-Drivers!$B$9)+D13-D15-D20</x:f>
        <x:v>3644.6875470266114</x:v>
      </x:c>
      <x:c r="E29" s="26" t="n">
        <x:f>E9*(1-Drivers!$B$9)+E13-E15-E20</x:f>
        <x:v>4321.4656298413265</x:v>
      </x:c>
      <x:c r="F29" s="26" t="n">
        <x:f>F9*(1-Drivers!$B$9)+F13-F15-F20</x:f>
        <x:v>4739.137496872879</x:v>
      </x:c>
    </x:row>
    <x:row r="30" ht="24" customHeight="1">
      <x:c r="A30" s="2" t="str">
        <x:v>Years from valuation date</x:v>
      </x:c>
      <x:c r="B30" s="19" t="n">
        <x:f>1-Drivers!$B$25</x:f>
        <x:v>0.747945205479452</x:v>
      </x:c>
      <x:c r="C30" s="19" t="n">
        <x:f>2-Drivers!$B$25</x:f>
        <x:v>1.747945205479452</x:v>
      </x:c>
      <x:c r="D30" s="19" t="n">
        <x:f>3-Drivers!$B$25</x:f>
        <x:v>2.747945205479452</x:v>
      </x:c>
      <x:c r="E30" s="19" t="n">
        <x:f>4-Drivers!$B$25</x:f>
        <x:v>3.747945205479452</x:v>
      </x:c>
      <x:c r="F30" s="19" t="n">
        <x:f>5-Drivers!$B$25</x:f>
        <x:v>4.747945205479452</x:v>
      </x:c>
    </x:row>
    <x:row r="31" ht="24" customHeight="1">
      <x:c r="A31" s="2" t="str">
        <x:v>Remaining-year cash fraction</x:v>
      </x:c>
      <x:c r="B31" s="21" t="n">
        <x:f>1-Drivers!$B$25</x:f>
        <x:v>0.747945205479452</x:v>
      </x:c>
      <x:c r="C31" s="15" t="n">
        <x:f>1</x:f>
        <x:v>1</x:v>
      </x:c>
      <x:c r="D31" s="15" t="n">
        <x:f>1</x:f>
        <x:v>1</x:v>
      </x:c>
      <x:c r="E31" s="15" t="n">
        <x:f>1</x:f>
        <x:v>1</x:v>
      </x:c>
      <x:c r="F31" s="15" t="n">
        <x:f>1</x:f>
        <x:v>1</x:v>
      </x:c>
    </x:row>
    <x:row r="32" ht="24" customHeight="1">
      <x:c r="A32" s="11" t="str">
        <x:v>Discounted free cash flow</x:v>
      </x:c>
      <x:c r="B32" s="26" t="n">
        <x:f>B29*B31/(1+Drivers!$B$24)^B30</x:f>
        <x:v>1973.911981815386</x:v>
      </x:c>
      <x:c r="C32" s="26" t="n">
        <x:f>C29*C31/(1+Drivers!$B$24)^C30</x:f>
        <x:v>2721.3419245850946</x:v>
      </x:c>
      <x:c r="D32" s="26" t="n">
        <x:f>D29*D31/(1+Drivers!$B$24)^D30</x:f>
        <x:v>2861.3721527290863</x:v>
      </x:c>
      <x:c r="E32" s="26" t="n">
        <x:f>E29*E31/(1+Drivers!$B$24)^E30</x:f>
        <x:v>3106.729614681167</x:v>
      </x:c>
      <x:c r="F32" s="26" t="n">
        <x:f>F29*F31/(1+Drivers!$B$24)^F30</x:f>
        <x:v>3119.8237073256078</x:v>
      </x:c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2"/>
      <x:c r="B34" s="6"/>
      <x:c r="C34" s="6"/>
      <x:c r="D34" s="6"/>
      <x:c r="E34" s="6"/>
      <x:c r="F34" s="6"/>
    </x:row>
    <x:row r="35" ht="24" customHeight="1">
      <x:c r="A35" s="2"/>
      <x:c r="B35" s="6"/>
      <x:c r="C35" s="6"/>
      <x:c r="D35" s="6"/>
      <x:c r="E35" s="6"/>
      <x:c r="F35" s="6"/>
    </x:row>
    <x:row r="36" ht="24" customHeight="1">
      <x:c r="A36" s="2"/>
      <x:c r="B36" s="6"/>
      <x:c r="C36" s="6"/>
      <x:c r="D36" s="6"/>
      <x:c r="E36" s="6"/>
      <x:c r="F36" s="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0202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NKE | Valuation</x:v>
      </x:c>
      <x:c r="B1" s="5"/>
      <x:c r="C1" s="5"/>
      <x:c r="D1" s="5"/>
      <x:c r="E1" s="5"/>
      <x:c r="F1" s="5"/>
    </x:row>
    <x:row r="2" ht="24" customHeight="1">
      <x:c r="A2" s="2"/>
      <x:c r="B2" s="2"/>
      <x:c r="C2" s="2"/>
      <x:c r="D2" s="2"/>
      <x:c r="E2" s="2"/>
      <x:c r="F2" s="2"/>
    </x:row>
    <x:row r="3" ht="24" customHeight="1">
      <x:c r="A3" s="2" t="str">
        <x:v>WACC</x:v>
      </x:c>
      <x:c r="B3" s="21" t="n">
        <x:f>Drivers!B24</x:f>
        <x:v>0.09204780242311122</x:v>
      </x:c>
      <x:c r="C3" s="6"/>
      <x:c r="D3" s="6"/>
      <x:c r="E3" s="6"/>
      <x:c r="F3" s="6"/>
    </x:row>
    <x:row r="4" ht="24" customHeight="1">
      <x:c r="A4" s="2" t="str">
        <x:v>Terminal growth</x:v>
      </x:c>
      <x:c r="B4" s="21" t="n">
        <x:f>Drivers!B10</x:f>
        <x:v>0.025</x:v>
      </x:c>
      <x:c r="C4" s="6"/>
      <x:c r="D4" s="6"/>
      <x:c r="E4" s="6"/>
      <x:c r="F4" s="6"/>
    </x:row>
    <x:row r="5" ht="24" customHeight="1">
      <x:c r="A5" s="2" t="str">
        <x:v>PV of forecast free cash flow</x:v>
      </x:c>
      <x:c r="B5" s="19" t="n">
        <x:f>SUM(Forecast!B32:F32)</x:f>
        <x:v>13783.17938113634</x:v>
      </x:c>
      <x:c r="C5" s="6"/>
      <x:c r="D5" s="6"/>
      <x:c r="E5" s="6"/>
      <x:c r="F5" s="6"/>
    </x:row>
    <x:row r="6" ht="24" customHeight="1">
      <x:c r="A6" s="2" t="str">
        <x:v>Terminal-year free cash flow</x:v>
      </x:c>
      <x:c r="B6" s="19" t="n">
        <x:f>Forecast!F29*(1+B4)</x:f>
        <x:v>4857.6159342947</x:v>
      </x:c>
      <x:c r="C6" s="6"/>
      <x:c r="D6" s="6"/>
      <x:c r="E6" s="6"/>
      <x:c r="F6" s="6"/>
    </x:row>
    <x:row r="7" ht="24" customHeight="1">
      <x:c r="A7" s="2" t="str">
        <x:v>Terminal enterprise value</x:v>
      </x:c>
      <x:c r="B7" s="18" t="n">
        <x:f>B6/(B3-B4)</x:f>
        <x:v>72450.03950525142</x:v>
      </x:c>
      <x:c r="C7" s="6"/>
      <x:c r="D7" s="6"/>
      <x:c r="E7" s="6"/>
      <x:c r="F7" s="6"/>
    </x:row>
    <x:row r="8" ht="24" customHeight="1">
      <x:c r="A8" s="2" t="str">
        <x:v>PV of terminal value</x:v>
      </x:c>
      <x:c r="B8" s="19" t="n">
        <x:f>B7/(1+B3)^Forecast!F30</x:f>
        <x:v>47694.61763755685</x:v>
      </x:c>
      <x:c r="C8" s="6"/>
      <x:c r="D8" s="6"/>
      <x:c r="E8" s="6"/>
      <x:c r="F8" s="6"/>
    </x:row>
    <x:row r="9" ht="24" customHeight="1">
      <x:c r="A9" s="11" t="str">
        <x:v>Enterprise value</x:v>
      </x:c>
      <x:c r="B9" s="16" t="n">
        <x:f>B5+B8</x:f>
        <x:v>61477.797018693185</x:v>
      </x:c>
      <x:c r="C9" s="14"/>
      <x:c r="D9" s="14"/>
      <x:c r="E9" s="14"/>
      <x:c r="F9" s="14"/>
    </x:row>
    <x:row r="10" ht="24" customHeight="1">
      <x:c r="A10" s="2" t="str">
        <x:v>Cash &amp; equivalents</x:v>
      </x:c>
      <x:c r="B10" s="19" t="n">
        <x:f>Historical!F17</x:f>
        <x:v>7563</x:v>
      </x:c>
      <x:c r="C10" s="6"/>
      <x:c r="D10" s="6"/>
      <x:c r="E10" s="6"/>
      <x:c r="F10" s="6"/>
    </x:row>
    <x:row r="11" ht="24" customHeight="1">
      <x:c r="A11" s="2" t="str">
        <x:v>Short-term investments</x:v>
      </x:c>
      <x:c r="B11" s="19" t="n">
        <x:f>Drivers!B15</x:f>
        <x:v>1464</x:v>
      </x:c>
      <x:c r="C11" s="6"/>
      <x:c r="D11" s="6"/>
      <x:c r="E11" s="6"/>
      <x:c r="F11" s="6"/>
    </x:row>
    <x:row r="12" ht="24" customHeight="1">
      <x:c r="A12" s="2" t="str">
        <x:v>Less: interest-bearing debt</x:v>
      </x:c>
      <x:c r="B12" s="19" t="n">
        <x:f>Historical!F24</x:f>
        <x:v>7942</x:v>
      </x:c>
      <x:c r="C12" s="6"/>
      <x:c r="D12" s="6"/>
      <x:c r="E12" s="6"/>
      <x:c r="F12" s="6"/>
    </x:row>
    <x:row r="13" ht="24" customHeight="1">
      <x:c r="A13" s="2" t="str">
        <x:v>Less: noncontrolling interest</x:v>
      </x:c>
      <x:c r="B13" s="19" t="n">
        <x:f>Drivers!B16</x:f>
        <x:v>0</x:v>
      </x:c>
      <x:c r="C13" s="6"/>
      <x:c r="D13" s="6"/>
      <x:c r="E13" s="6"/>
      <x:c r="F13" s="6"/>
    </x:row>
    <x:row r="14" ht="24" customHeight="1">
      <x:c r="A14" s="11" t="str">
        <x:v>Equity value</x:v>
      </x:c>
      <x:c r="B14" s="16" t="n">
        <x:f>B9+B10+B11-B12-B13</x:f>
        <x:v>62562.79701869318</x:v>
      </x:c>
      <x:c r="C14" s="14"/>
      <x:c r="D14" s="14"/>
      <x:c r="E14" s="14"/>
      <x:c r="F14" s="14"/>
    </x:row>
    <x:row r="15" ht="24" customHeight="1">
      <x:c r="A15" s="2" t="str">
        <x:v>Diluted shares (millions)</x:v>
      </x:c>
      <x:c r="B15" s="19" t="n">
        <x:f>Drivers!B14</x:f>
        <x:v>1484.698703</x:v>
      </x:c>
      <x:c r="C15" s="6"/>
      <x:c r="D15" s="6"/>
      <x:c r="E15" s="6"/>
      <x:c r="F15" s="6"/>
    </x:row>
    <x:row r="16" ht="24" customHeight="1">
      <x:c r="A16" s="11" t="str">
        <x:v>Value per share</x:v>
      </x:c>
      <x:c r="B16" s="30" t="n">
        <x:f>B14/B15</x:f>
        <x:v>42.138379249795285</x:v>
      </x:c>
      <x:c r="C16" s="14"/>
      <x:c r="D16" s="14"/>
      <x:c r="E16" s="14"/>
      <x:c r="F16" s="14"/>
    </x:row>
    <x:row r="17" ht="24" customHeight="1">
      <x:c r="A17" s="2" t="str">
        <x:v>Observed share price</x:v>
      </x:c>
      <x:c r="B17" s="28" t="n">
        <x:f>Drivers!B4</x:f>
        <x:v>39.06</x:v>
      </x:c>
      <x:c r="C17" s="6"/>
      <x:c r="D17" s="6"/>
      <x:c r="E17" s="6"/>
      <x:c r="F17" s="6"/>
    </x:row>
    <x:row r="18" ht="24" customHeight="1">
      <x:c r="A18" s="2" t="str">
        <x:v>Upside / (downside)</x:v>
      </x:c>
      <x:c r="B18" s="15" t="n">
        <x:f>B16/B17-1</x:f>
        <x:v>0.0788115527341342</x:v>
      </x:c>
      <x:c r="C18" s="6"/>
      <x:c r="D18" s="6"/>
      <x:c r="E18" s="6"/>
      <x:c r="F18" s="6"/>
    </x:row>
    <x:row r="19" ht="24" customHeight="1">
      <x:c r="A19" s="2" t="str">
        <x:v>Terminal value / enterprise value</x:v>
      </x:c>
      <x:c r="B19" s="15" t="n">
        <x:f>B8/B9</x:f>
        <x:v>0.7758023213332551</x:v>
      </x:c>
      <x:c r="C19" s="6"/>
      <x:c r="D19" s="6"/>
      <x:c r="E19" s="6"/>
      <x:c r="F19" s="6"/>
    </x:row>
    <x:row r="20" ht="24" customHeight="1">
      <x:c r="A20" s="2"/>
      <x:c r="B20" s="6"/>
      <x:c r="C20" s="6"/>
      <x:c r="D20" s="6"/>
      <x:c r="E20" s="6"/>
      <x:c r="F20" s="6"/>
    </x:row>
    <x:row r="21" ht="24" customHeight="1">
      <x:c r="A21" s="2"/>
      <x:c r="B21" s="6"/>
      <x:c r="C21" s="6"/>
      <x:c r="D21" s="6"/>
      <x:c r="E21" s="6"/>
      <x:c r="F21" s="6"/>
    </x:row>
    <x:row r="22" ht="24" customHeight="1">
      <x:c r="A22" s="2"/>
      <x:c r="B22" s="6"/>
      <x:c r="C22" s="6"/>
      <x:c r="D22" s="6"/>
      <x:c r="E22" s="6"/>
      <x:c r="F22" s="6"/>
    </x:row>
    <x:row r="23" ht="24" customHeight="1">
      <x:c r="A23" s="2"/>
      <x:c r="B23" s="6"/>
      <x:c r="C23" s="6"/>
      <x:c r="D23" s="6"/>
      <x:c r="E23" s="6"/>
      <x:c r="F23" s="6"/>
    </x:row>
    <x:row r="24" ht="24" customHeight="1">
      <x:c r="A24" s="2"/>
      <x:c r="B24" s="6"/>
      <x:c r="C24" s="6"/>
      <x:c r="D24" s="6"/>
      <x:c r="E24" s="6"/>
      <x:c r="F24" s="6"/>
    </x:row>
    <x:row r="25" ht="24" customHeight="1">
      <x:c r="A25" s="2"/>
      <x:c r="B25" s="6"/>
      <x:c r="C25" s="6"/>
      <x:c r="D25" s="6"/>
      <x:c r="E25" s="6"/>
      <x:c r="F25" s="6"/>
    </x:row>
    <x:row r="26" ht="24" customHeight="1">
      <x:c r="A26" s="2"/>
      <x:c r="B26" s="6"/>
      <x:c r="C26" s="6"/>
      <x:c r="D26" s="6"/>
      <x:c r="E26" s="6"/>
      <x:c r="F26" s="6"/>
    </x:row>
    <x:row r="27" ht="24" customHeight="1">
      <x:c r="A27" s="2"/>
      <x:c r="B27" s="6"/>
      <x:c r="C27" s="6"/>
      <x:c r="D27" s="6"/>
      <x:c r="E27" s="6"/>
      <x:c r="F27" s="6"/>
    </x:row>
    <x:row r="28" ht="24" customHeight="1">
      <x:c r="A28" s="2"/>
      <x:c r="B28" s="6"/>
      <x:c r="C28" s="6"/>
      <x:c r="D28" s="6"/>
      <x:c r="E28" s="6"/>
      <x:c r="F28" s="6"/>
    </x:row>
    <x:row r="29" ht="24" customHeight="1">
      <x:c r="A29" s="2"/>
      <x:c r="B29" s="6"/>
      <x:c r="C29" s="6"/>
      <x:c r="D29" s="6"/>
      <x:c r="E29" s="6"/>
      <x:c r="F29" s="6"/>
    </x:row>
    <x:row r="30" ht="24" customHeight="1">
      <x:c r="A30" s="2"/>
      <x:c r="B30" s="6"/>
      <x:c r="C30" s="6"/>
      <x:c r="D30" s="6"/>
      <x:c r="E30" s="6"/>
      <x:c r="F30" s="6"/>
    </x:row>
    <x:row r="31" ht="24" customHeight="1">
      <x:c r="A31" s="2"/>
      <x:c r="B31" s="6"/>
      <x:c r="C31" s="6"/>
      <x:c r="D31" s="6"/>
      <x:c r="E31" s="6"/>
      <x:c r="F31" s="6"/>
    </x:row>
    <x:row r="32" ht="24" customHeight="1">
      <x:c r="A32" s="2"/>
      <x:c r="B32" s="6"/>
      <x:c r="C32" s="6"/>
      <x:c r="D32" s="6"/>
      <x:c r="E32" s="6"/>
      <x:c r="F32" s="6"/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2"/>
      <x:c r="B34" s="6"/>
      <x:c r="C34" s="6"/>
      <x:c r="D34" s="6"/>
      <x:c r="E34" s="6"/>
      <x:c r="F34" s="6"/>
    </x:row>
    <x:row r="35" ht="24" customHeight="1">
      <x:c r="A35" s="2"/>
      <x:c r="B35" s="6"/>
      <x:c r="C35" s="6"/>
      <x:c r="D35" s="6"/>
      <x:c r="E35" s="6"/>
      <x:c r="F35" s="6"/>
    </x:row>
    <x:row r="36" ht="24" customHeight="1">
      <x:c r="A36" s="2"/>
      <x:c r="B36" s="6"/>
      <x:c r="C36" s="6"/>
      <x:c r="D36" s="6"/>
      <x:c r="E36" s="6"/>
      <x:c r="F36" s="6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0202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NKE | Sensitivity</x:v>
      </x:c>
      <x:c r="B1" s="5"/>
      <x:c r="C1" s="5"/>
      <x:c r="D1" s="5"/>
      <x:c r="E1" s="5"/>
      <x:c r="F1" s="5"/>
    </x:row>
    <x:row r="2" ht="24" customHeight="1">
      <x:c r="A2" s="2" t="str">
        <x:v>Live DCF sensitivity | WACC down rows; terminal growth across</x:v>
      </x:c>
      <x:c r="B2" s="2"/>
      <x:c r="C2" s="2"/>
      <x:c r="D2" s="2"/>
      <x:c r="E2" s="2"/>
      <x:c r="F2" s="2"/>
    </x:row>
    <x:row r="3" ht="24" customHeight="1">
      <x:c r="A3" s="2"/>
      <x:c r="B3" s="6"/>
      <x:c r="C3" s="6"/>
      <x:c r="D3" s="6"/>
      <x:c r="E3" s="6"/>
      <x:c r="F3" s="6"/>
    </x:row>
    <x:row r="4" ht="24" customHeight="1">
      <x:c r="A4" s="2"/>
      <x:c r="B4" s="7" t="n">
        <x:v>0.015</x:v>
      </x:c>
      <x:c r="C4" s="7" t="n">
        <x:v>0.02</x:v>
      </x:c>
      <x:c r="D4" s="7" t="n">
        <x:v>0.025</x:v>
      </x:c>
      <x:c r="E4" s="7" t="n">
        <x:v>0.03</x:v>
      </x:c>
      <x:c r="F4" s="7" t="n">
        <x:v>0.035</x:v>
      </x:c>
    </x:row>
    <x:row r="5" ht="24" customHeight="1">
      <x:c r="A5" s="21" t="n">
        <x:f>Drivers!B24+-0.01</x:f>
        <x:v>0.08204780242311123</x:v>
      </x:c>
      <x:c r="B5" s="28" t="n">
        <x:f>(Forecast!B29*Forecast!B31/(1+$A5)^Forecast!B30+Forecast!C29*Forecast!C31/(1+$A5)^Forecast!C30+Forecast!D29*Forecast!D31/(1+$A5)^Forecast!D30+Forecast!E29*Forecast!E31/(1+$A5)^Forecast!E30+Forecast!F29*Forecast!F31/(1+$A5)^Forecast!F30+Forecast!F29*(1+B$4)/($A5-B$4)/(1+$A5)^Forecast!F30+Valuation!B10+Valuation!B11-Valuation!B12-Valuation!B13)/Valuation!B15</x:f>
        <x:v>43.500632330307326</x:v>
      </x:c>
      <x:c r="C5" s="28" t="n">
        <x:f>(Forecast!B29*Forecast!B31/(1+$A5)^Forecast!B30+Forecast!C29*Forecast!C31/(1+$A5)^Forecast!C30+Forecast!D29*Forecast!D31/(1+$A5)^Forecast!D30+Forecast!E29*Forecast!E31/(1+$A5)^Forecast!E30+Forecast!F29*Forecast!F31/(1+$A5)^Forecast!F30+Forecast!F29*(1+C$4)/($A5-C$4)/(1+$A5)^Forecast!F30+Valuation!B10+Valuation!B11-Valuation!B12-Valuation!B13)/Valuation!B15</x:f>
        <x:v>46.355370118341085</x:v>
      </x:c>
      <x:c r="D5" s="28" t="n">
        <x:f>(Forecast!B29*Forecast!B31/(1+$A5)^Forecast!B30+Forecast!C29*Forecast!C31/(1+$A5)^Forecast!C30+Forecast!D29*Forecast!D31/(1+$A5)^Forecast!D30+Forecast!E29*Forecast!E31/(1+$A5)^Forecast!E30+Forecast!F29*Forecast!F31/(1+$A5)^Forecast!F30+Forecast!F29*(1+D$4)/($A5-D$4)/(1+$A5)^Forecast!F30+Valuation!B10+Valuation!B11-Valuation!B12-Valuation!B13)/Valuation!B15</x:f>
        <x:v>49.71051943263499</x:v>
      </x:c>
      <x:c r="E5" s="28" t="n">
        <x:f>(Forecast!B29*Forecast!B31/(1+$A5)^Forecast!B30+Forecast!C29*Forecast!C31/(1+$A5)^Forecast!C30+Forecast!D29*Forecast!D31/(1+$A5)^Forecast!D30+Forecast!E29*Forecast!E31/(1+$A5)^Forecast!E30+Forecast!F29*Forecast!F31/(1+$A5)^Forecast!F30+Forecast!F29*(1+E$4)/($A5-E$4)/(1+$A5)^Forecast!F30+Valuation!B10+Valuation!B11-Valuation!B12-Valuation!B13)/Valuation!B15</x:f>
        <x:v>53.710297176582664</x:v>
      </x:c>
      <x:c r="F5" s="28" t="n">
        <x:f>(Forecast!B29*Forecast!B31/(1+$A5)^Forecast!B30+Forecast!C29*Forecast!C31/(1+$A5)^Forecast!C30+Forecast!D29*Forecast!D31/(1+$A5)^Forecast!D30+Forecast!E29*Forecast!E31/(1+$A5)^Forecast!E30+Forecast!F29*Forecast!F31/(1+$A5)^Forecast!F30+Forecast!F29*(1+F$4)/($A5-F$4)/(1+$A5)^Forecast!F30+Valuation!B10+Valuation!B11-Valuation!B12-Valuation!B13)/Valuation!B15</x:f>
        <x:v>58.56022679542064</x:v>
      </x:c>
    </x:row>
    <x:row r="6" ht="24" customHeight="1">
      <x:c r="A6" s="21" t="n">
        <x:f>Drivers!B24+-0.005</x:f>
        <x:v>0.08704780242311122</x:v>
      </x:c>
      <x:c r="B6" s="28" t="n">
        <x:f>(Forecast!B29*Forecast!B31/(1+$A6)^Forecast!B30+Forecast!C29*Forecast!C31/(1+$A6)^Forecast!C30+Forecast!D29*Forecast!D31/(1+$A6)^Forecast!D30+Forecast!E29*Forecast!E31/(1+$A6)^Forecast!E30+Forecast!F29*Forecast!F31/(1+$A6)^Forecast!F30+Forecast!F29*(1+B$4)/($A6-B$4)/(1+$A6)^Forecast!F30+Valuation!B10+Valuation!B11-Valuation!B12-Valuation!B13)/Valuation!B15</x:f>
        <x:v>40.39583112494206</x:v>
      </x:c>
      <x:c r="C6" s="28" t="n">
        <x:f>(Forecast!B29*Forecast!B31/(1+$A6)^Forecast!B30+Forecast!C29*Forecast!C31/(1+$A6)^Forecast!C30+Forecast!D29*Forecast!D31/(1+$A6)^Forecast!D30+Forecast!E29*Forecast!E31/(1+$A6)^Forecast!E30+Forecast!F29*Forecast!F31/(1+$A6)^Forecast!F30+Forecast!F29*(1+C$4)/($A6-C$4)/(1+$A6)^Forecast!F30+Valuation!B10+Valuation!B11-Valuation!B12-Valuation!B13)/Valuation!B15</x:f>
        <x:v>42.81222525609975</x:v>
      </x:c>
      <x:c r="D6" s="28" t="n">
        <x:f>(Forecast!B29*Forecast!B31/(1+$A6)^Forecast!B30+Forecast!C29*Forecast!C31/(1+$A6)^Forecast!C30+Forecast!D29*Forecast!D31/(1+$A6)^Forecast!D30+Forecast!E29*Forecast!E31/(1+$A6)^Forecast!E30+Forecast!F29*Forecast!F31/(1+$A6)^Forecast!F30+Forecast!F29*(1+D$4)/($A6-D$4)/(1+$A6)^Forecast!F30+Valuation!B10+Valuation!B11-Valuation!B12-Valuation!B13)/Valuation!B15</x:f>
        <x:v>45.618060114695275</x:v>
      </x:c>
      <x:c r="E6" s="28" t="n">
        <x:f>(Forecast!B29*Forecast!B31/(1+$A6)^Forecast!B30+Forecast!C29*Forecast!C31/(1+$A6)^Forecast!C30+Forecast!D29*Forecast!D31/(1+$A6)^Forecast!D30+Forecast!E29*Forecast!E31/(1+$A6)^Forecast!E30+Forecast!F29*Forecast!F31/(1+$A6)^Forecast!F30+Forecast!F29*(1+E$4)/($A6-E$4)/(1+$A6)^Forecast!F30+Valuation!B10+Valuation!B11-Valuation!B12-Valuation!B13)/Valuation!B15</x:f>
        <x:v>48.91573422728788</x:v>
      </x:c>
      <x:c r="F6" s="28" t="n">
        <x:f>(Forecast!B29*Forecast!B31/(1+$A6)^Forecast!B30+Forecast!C29*Forecast!C31/(1+$A6)^Forecast!C30+Forecast!D29*Forecast!D31/(1+$A6)^Forecast!D30+Forecast!E29*Forecast!E31/(1+$A6)^Forecast!E30+Forecast!F29*Forecast!F31/(1+$A6)^Forecast!F30+Forecast!F29*(1+F$4)/($A6-F$4)/(1+$A6)^Forecast!F30+Valuation!B10+Valuation!B11-Valuation!B12-Valuation!B13)/Valuation!B15</x:f>
        <x:v>52.84699399750054</x:v>
      </x:c>
    </x:row>
    <x:row r="7" ht="24" customHeight="1">
      <x:c r="A7" s="21" t="n">
        <x:f>Drivers!B24+0</x:f>
        <x:v>0.09204780242311122</x:v>
      </x:c>
      <x:c r="B7" s="28" t="n">
        <x:f>(Forecast!B29*Forecast!B31/(1+$A7)^Forecast!B30+Forecast!C29*Forecast!C31/(1+$A7)^Forecast!C30+Forecast!D29*Forecast!D31/(1+$A7)^Forecast!D30+Forecast!E29*Forecast!E31/(1+$A7)^Forecast!E30+Forecast!F29*Forecast!F31/(1+$A7)^Forecast!F30+Forecast!F29*(1+B$4)/($A7-B$4)/(1+$A7)^Forecast!F30+Valuation!B10+Valuation!B11-Valuation!B12-Valuation!B13)/Valuation!B15</x:f>
        <x:v>37.69627680648653</x:v>
      </x:c>
      <x:c r="C7" s="28" t="n">
        <x:f>(Forecast!B29*Forecast!B31/(1+$A7)^Forecast!B30+Forecast!C29*Forecast!C31/(1+$A7)^Forecast!C30+Forecast!D29*Forecast!D31/(1+$A7)^Forecast!D30+Forecast!E29*Forecast!E31/(1+$A7)^Forecast!E30+Forecast!F29*Forecast!F31/(1+$A7)^Forecast!F30+Forecast!F29*(1+C$4)/($A7-C$4)/(1+$A7)^Forecast!F30+Valuation!B10+Valuation!B11-Valuation!B12-Valuation!B13)/Valuation!B15</x:f>
        <x:v>39.76319069522055</x:v>
      </x:c>
      <x:c r="D7" s="28" t="n">
        <x:f>(Forecast!B29*Forecast!B31/(1+$A7)^Forecast!B30+Forecast!C29*Forecast!C31/(1+$A7)^Forecast!C30+Forecast!D29*Forecast!D31/(1+$A7)^Forecast!D30+Forecast!E29*Forecast!E31/(1+$A7)^Forecast!E30+Forecast!F29*Forecast!F31/(1+$A7)^Forecast!F30+Forecast!F29*(1+D$4)/($A7-D$4)/(1+$A7)^Forecast!F30+Valuation!B10+Valuation!B11-Valuation!B12-Valuation!B13)/Valuation!B15</x:f>
        <x:v>42.138379249795285</x:v>
      </x:c>
      <x:c r="E7" s="28" t="n">
        <x:f>(Forecast!B29*Forecast!B31/(1+$A7)^Forecast!B30+Forecast!C29*Forecast!C31/(1+$A7)^Forecast!C30+Forecast!D29*Forecast!D31/(1+$A7)^Forecast!D30+Forecast!E29*Forecast!E31/(1+$A7)^Forecast!E30+Forecast!F29*Forecast!F31/(1+$A7)^Forecast!F30+Forecast!F29*(1+E$4)/($A7-E$4)/(1+$A7)^Forecast!F30+Valuation!B10+Valuation!B11-Valuation!B12-Valuation!B13)/Valuation!B15</x:f>
        <x:v>44.896367591279194</x:v>
      </x:c>
      <x:c r="F7" s="28" t="n">
        <x:f>(Forecast!B29*Forecast!B31/(1+$A7)^Forecast!B30+Forecast!C29*Forecast!C31/(1+$A7)^Forecast!C30+Forecast!D29*Forecast!D31/(1+$A7)^Forecast!D30+Forecast!E29*Forecast!E31/(1+$A7)^Forecast!E30+Forecast!F29*Forecast!F31/(1+$A7)^Forecast!F30+Forecast!F29*(1+F$4)/($A7-F$4)/(1+$A7)^Forecast!F30+Valuation!B10+Valuation!B11-Valuation!B12-Valuation!B13)/Valuation!B15</x:f>
        <x:v>48.13780809469362</x:v>
      </x:c>
    </x:row>
    <x:row r="8" ht="24" customHeight="1">
      <x:c r="A8" s="21" t="n">
        <x:f>Drivers!B24+0.005</x:f>
        <x:v>0.09704780242311123</x:v>
      </x:c>
      <x:c r="B8" s="28" t="n">
        <x:f>(Forecast!B29*Forecast!B31/(1+$A8)^Forecast!B30+Forecast!C29*Forecast!C31/(1+$A8)^Forecast!C30+Forecast!D29*Forecast!D31/(1+$A8)^Forecast!D30+Forecast!E29*Forecast!E31/(1+$A8)^Forecast!E30+Forecast!F29*Forecast!F31/(1+$A8)^Forecast!F30+Forecast!F29*(1+B$4)/($A8-B$4)/(1+$A8)^Forecast!F30+Valuation!B10+Valuation!B11-Valuation!B12-Valuation!B13)/Valuation!B15</x:f>
        <x:v>35.32783480115421</x:v>
      </x:c>
      <x:c r="C8" s="28" t="n">
        <x:f>(Forecast!B29*Forecast!B31/(1+$A8)^Forecast!B30+Forecast!C29*Forecast!C31/(1+$A8)^Forecast!C30+Forecast!D29*Forecast!D31/(1+$A8)^Forecast!D30+Forecast!E29*Forecast!E31/(1+$A8)^Forecast!E30+Forecast!F29*Forecast!F31/(1+$A8)^Forecast!F30+Forecast!F29*(1+C$4)/($A8-C$4)/(1+$A8)^Forecast!F30+Valuation!B10+Valuation!B11-Valuation!B12-Valuation!B13)/Valuation!B15</x:f>
        <x:v>37.11202278743259</x:v>
      </x:c>
      <x:c r="D8" s="28" t="n">
        <x:f>(Forecast!B29*Forecast!B31/(1+$A8)^Forecast!B30+Forecast!C29*Forecast!C31/(1+$A8)^Forecast!C30+Forecast!D29*Forecast!D31/(1+$A8)^Forecast!D30+Forecast!E29*Forecast!E31/(1+$A8)^Forecast!E30+Forecast!F29*Forecast!F31/(1+$A8)^Forecast!F30+Forecast!F29*(1+D$4)/($A8-D$4)/(1+$A8)^Forecast!F30+Valuation!B10+Valuation!B11-Valuation!B12-Valuation!B13)/Valuation!B15</x:f>
        <x:v>39.143850247264986</x:v>
      </x:c>
      <x:c r="E8" s="28" t="n">
        <x:f>(Forecast!B29*Forecast!B31/(1+$A8)^Forecast!B30+Forecast!C29*Forecast!C31/(1+$A8)^Forecast!C30+Forecast!D29*Forecast!D31/(1+$A8)^Forecast!D30+Forecast!E29*Forecast!E31/(1+$A8)^Forecast!E30+Forecast!F29*Forecast!F31/(1+$A8)^Forecast!F30+Forecast!F29*(1+E$4)/($A8-E$4)/(1+$A8)^Forecast!F30+Valuation!B10+Valuation!B11-Valuation!B12-Valuation!B13)/Valuation!B15</x:f>
        <x:v>41.47871932612174</x:v>
      </x:c>
      <x:c r="F8" s="28" t="n">
        <x:f>(Forecast!B29*Forecast!B31/(1+$A8)^Forecast!B30+Forecast!C29*Forecast!C31/(1+$A8)^Forecast!C30+Forecast!D29*Forecast!D31/(1+$A8)^Forecast!D30+Forecast!E29*Forecast!E31/(1+$A8)^Forecast!E30+Forecast!F29*Forecast!F31/(1+$A8)^Forecast!F30+Forecast!F29*(1+F$4)/($A8-F$4)/(1+$A8)^Forecast!F30+Valuation!B10+Valuation!B11-Valuation!B12-Valuation!B13)/Valuation!B15</x:f>
        <x:v>44.189890060746244</x:v>
      </x:c>
    </x:row>
    <x:row r="9" ht="24" customHeight="1">
      <x:c r="A9" s="21" t="n">
        <x:f>Drivers!B24+0.01</x:f>
        <x:v>0.10204780242311122</x:v>
      </x:c>
      <x:c r="B9" s="28" t="n">
        <x:f>(Forecast!B29*Forecast!B31/(1+$A9)^Forecast!B30+Forecast!C29*Forecast!C31/(1+$A9)^Forecast!C30+Forecast!D29*Forecast!D31/(1+$A9)^Forecast!D30+Forecast!E29*Forecast!E31/(1+$A9)^Forecast!E30+Forecast!F29*Forecast!F31/(1+$A9)^Forecast!F30+Forecast!F29*(1+B$4)/($A9-B$4)/(1+$A9)^Forecast!F30+Valuation!B10+Valuation!B11-Valuation!B12-Valuation!B13)/Valuation!B15</x:f>
        <x:v>33.23340481248466</x:v>
      </x:c>
      <x:c r="C9" s="28" t="n">
        <x:f>(Forecast!B29*Forecast!B31/(1+$A9)^Forecast!B30+Forecast!C29*Forecast!C31/(1+$A9)^Forecast!C30+Forecast!D29*Forecast!D31/(1+$A9)^Forecast!D30+Forecast!E29*Forecast!E31/(1+$A9)^Forecast!E30+Forecast!F29*Forecast!F31/(1+$A9)^Forecast!F30+Forecast!F29*(1+C$4)/($A9-C$4)/(1+$A9)^Forecast!F30+Valuation!B10+Valuation!B11-Valuation!B12-Valuation!B13)/Valuation!B15</x:f>
        <x:v>34.785939489671186</x:v>
      </x:c>
      <x:c r="D9" s="28" t="n">
        <x:f>(Forecast!B29*Forecast!B31/(1+$A9)^Forecast!B30+Forecast!C29*Forecast!C31/(1+$A9)^Forecast!C30+Forecast!D29*Forecast!D31/(1+$A9)^Forecast!D30+Forecast!E29*Forecast!E31/(1+$A9)^Forecast!E30+Forecast!F29*Forecast!F31/(1+$A9)^Forecast!F30+Forecast!F29*(1+D$4)/($A9-D$4)/(1+$A9)^Forecast!F30+Valuation!B10+Valuation!B11-Valuation!B12-Valuation!B13)/Valuation!B15</x:f>
        <x:v>36.539976951928814</x:v>
      </x:c>
      <x:c r="E9" s="28" t="n">
        <x:f>(Forecast!B29*Forecast!B31/(1+$A9)^Forecast!B30+Forecast!C29*Forecast!C31/(1+$A9)^Forecast!C30+Forecast!D29*Forecast!D31/(1+$A9)^Forecast!D30+Forecast!E29*Forecast!E31/(1+$A9)^Forecast!E30+Forecast!F29*Forecast!F31/(1+$A9)^Forecast!F30+Forecast!F29*(1+E$4)/($A9-E$4)/(1+$A9)^Forecast!F30+Valuation!B10+Valuation!B11-Valuation!B12-Valuation!B13)/Valuation!B15</x:f>
        <x:v>38.53746909333915</x:v>
      </x:c>
      <x:c r="F9" s="28" t="n">
        <x:f>(Forecast!B29*Forecast!B31/(1+$A9)^Forecast!B30+Forecast!C29*Forecast!C31/(1+$A9)^Forecast!C30+Forecast!D29*Forecast!D31/(1+$A9)^Forecast!D30+Forecast!E29*Forecast!E31/(1+$A9)^Forecast!E30+Forecast!F29*Forecast!F31/(1+$A9)^Forecast!F30+Forecast!F29*(1+F$4)/($A9-F$4)/(1+$A9)^Forecast!F30+Valuation!B10+Valuation!B11-Valuation!B12-Valuation!B13)/Valuation!B15</x:f>
        <x:v>40.832881833071994</x:v>
      </x:c>
    </x:row>
    <x:row r="10" ht="24" customHeight="1">
      <x:c r="A10" s="2"/>
      <x:c r="B10" s="6"/>
      <x:c r="C10" s="6"/>
      <x:c r="D10" s="6"/>
      <x:c r="E10" s="6"/>
      <x:c r="F10" s="6"/>
    </x:row>
    <x:row r="11" ht="24" customHeight="1">
      <x:c r="A11" s="2"/>
      <x:c r="B11" s="6"/>
      <x:c r="C11" s="6"/>
      <x:c r="D11" s="6"/>
      <x:c r="E11" s="6"/>
      <x:c r="F11" s="6"/>
    </x:row>
    <x:row r="12" ht="27" customHeight="1">
      <x:c r="A12" s="32" t="str">
        <x:v>Reverse DCF: set Drivers B26 to 1. B27 holds the constant annual growth rate that matches the observed price while the Base margin path stays fixed.</x:v>
      </x:c>
      <x:c r="B12" s="6"/>
      <x:c r="C12" s="6"/>
      <x:c r="D12" s="6"/>
      <x:c r="E12" s="6"/>
      <x:c r="F12" s="6"/>
    </x:row>
    <x:row r="13" ht="27" customHeight="1">
      <x:c r="A13" s="2"/>
      <x:c r="B13" s="6"/>
      <x:c r="C13" s="6"/>
      <x:c r="D13" s="6"/>
      <x:c r="E13" s="6"/>
      <x:c r="F13" s="6"/>
    </x:row>
    <x:row r="14" ht="24" customHeight="1">
      <x:c r="A14" s="2"/>
      <x:c r="B14" s="6"/>
      <x:c r="C14" s="6"/>
      <x:c r="D14" s="6"/>
      <x:c r="E14" s="6"/>
      <x:c r="F14" s="6"/>
    </x:row>
    <x:row r="15" ht="24" customHeight="1">
      <x:c r="A15" s="2" t="str">
        <x:v>Required constant growth</x:v>
      </x:c>
      <x:c r="B15" s="20" t="n">
        <x:v>0.003861680377132415</x:v>
      </x:c>
      <x:c r="C15" s="6"/>
      <x:c r="D15" s="6"/>
      <x:c r="E15" s="6"/>
      <x:c r="F15" s="6"/>
    </x:row>
    <x:row r="16" ht="24" customHeight="1">
      <x:c r="A16" s="2" t="str">
        <x:v>Price using this growth</x:v>
      </x:c>
      <x:c r="B16" s="23" t="n">
        <x:v>39.06000000000005</x:v>
      </x:c>
      <x:c r="C16" s="6"/>
      <x:c r="D16" s="6"/>
      <x:c r="E16" s="6"/>
      <x:c r="F16" s="6"/>
    </x:row>
    <x:row r="17" ht="24" customHeight="1">
      <x:c r="A17" s="2"/>
      <x:c r="B17" s="6"/>
      <x:c r="C17" s="6"/>
      <x:c r="D17" s="6"/>
      <x:c r="E17" s="6"/>
      <x:c r="F17" s="6"/>
    </x:row>
    <x:row r="18" ht="24" customHeight="1">
      <x:c r="A18" s="2"/>
      <x:c r="B18" s="6"/>
      <x:c r="C18" s="6"/>
      <x:c r="D18" s="6"/>
      <x:c r="E18" s="6"/>
      <x:c r="F18" s="6"/>
    </x:row>
    <x:row r="19" ht="24" customHeight="1">
      <x:c r="A19" s="2"/>
      <x:c r="B19" s="6"/>
      <x:c r="C19" s="6"/>
      <x:c r="D19" s="6"/>
      <x:c r="E19" s="6"/>
      <x:c r="F19" s="6"/>
    </x:row>
    <x:row r="20" ht="24" customHeight="1">
      <x:c r="A20" s="2"/>
      <x:c r="B20" s="6"/>
      <x:c r="C20" s="6"/>
      <x:c r="D20" s="6"/>
      <x:c r="E20" s="6"/>
      <x:c r="F20" s="6"/>
    </x:row>
    <x:row r="21" ht="24" customHeight="1">
      <x:c r="A21" s="2"/>
      <x:c r="B21" s="6"/>
      <x:c r="C21" s="6"/>
      <x:c r="D21" s="6"/>
      <x:c r="E21" s="6"/>
      <x:c r="F21" s="6"/>
    </x:row>
    <x:row r="22" ht="24" customHeight="1">
      <x:c r="A22" s="2"/>
      <x:c r="B22" s="6"/>
      <x:c r="C22" s="6"/>
      <x:c r="D22" s="6"/>
      <x:c r="E22" s="6"/>
      <x:c r="F22" s="6"/>
    </x:row>
    <x:row r="23" ht="24" customHeight="1">
      <x:c r="A23" s="2"/>
      <x:c r="B23" s="6"/>
      <x:c r="C23" s="6"/>
      <x:c r="D23" s="6"/>
      <x:c r="E23" s="6"/>
      <x:c r="F23" s="6"/>
    </x:row>
    <x:row r="24" ht="24" customHeight="1">
      <x:c r="A24" s="2"/>
      <x:c r="B24" s="6"/>
      <x:c r="C24" s="6"/>
      <x:c r="D24" s="6"/>
      <x:c r="E24" s="6"/>
      <x:c r="F24" s="6"/>
    </x:row>
    <x:row r="25" ht="24" customHeight="1">
      <x:c r="A25" s="2"/>
      <x:c r="B25" s="6"/>
      <x:c r="C25" s="6"/>
      <x:c r="D25" s="6"/>
      <x:c r="E25" s="6"/>
      <x:c r="F25" s="6"/>
    </x:row>
    <x:row r="26" ht="24" customHeight="1">
      <x:c r="A26" s="2"/>
      <x:c r="B26" s="6"/>
      <x:c r="C26" s="6"/>
      <x:c r="D26" s="6"/>
      <x:c r="E26" s="6"/>
      <x:c r="F26" s="6"/>
    </x:row>
    <x:row r="27" ht="24" customHeight="1">
      <x:c r="A27" s="2"/>
      <x:c r="B27" s="6"/>
      <x:c r="C27" s="6"/>
      <x:c r="D27" s="6"/>
      <x:c r="E27" s="6"/>
      <x:c r="F27" s="6"/>
    </x:row>
    <x:row r="28" ht="24" customHeight="1">
      <x:c r="A28" s="2"/>
      <x:c r="B28" s="6"/>
      <x:c r="C28" s="6"/>
      <x:c r="D28" s="6"/>
      <x:c r="E28" s="6"/>
      <x:c r="F28" s="6"/>
    </x:row>
    <x:row r="29" ht="24" customHeight="1">
      <x:c r="A29" s="2"/>
      <x:c r="B29" s="6"/>
      <x:c r="C29" s="6"/>
      <x:c r="D29" s="6"/>
      <x:c r="E29" s="6"/>
      <x:c r="F29" s="6"/>
    </x:row>
    <x:row r="30" ht="24" customHeight="1">
      <x:c r="A30" s="2"/>
      <x:c r="B30" s="6"/>
      <x:c r="C30" s="6"/>
      <x:c r="D30" s="6"/>
      <x:c r="E30" s="6"/>
      <x:c r="F30" s="6"/>
    </x:row>
    <x:row r="31" ht="24" customHeight="1">
      <x:c r="A31" s="2"/>
      <x:c r="B31" s="6"/>
      <x:c r="C31" s="6"/>
      <x:c r="D31" s="6"/>
      <x:c r="E31" s="6"/>
      <x:c r="F31" s="6"/>
    </x:row>
    <x:row r="32" ht="24" customHeight="1">
      <x:c r="A32" s="2"/>
      <x:c r="B32" s="6"/>
      <x:c r="C32" s="6"/>
      <x:c r="D32" s="6"/>
      <x:c r="E32" s="6"/>
      <x:c r="F32" s="6"/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2"/>
      <x:c r="B34" s="6"/>
      <x:c r="C34" s="6"/>
      <x:c r="D34" s="6"/>
      <x:c r="E34" s="6"/>
      <x:c r="F34" s="6"/>
    </x:row>
    <x:row r="35" ht="24" customHeight="1">
      <x:c r="A35" s="2"/>
      <x:c r="B35" s="6"/>
      <x:c r="C35" s="6"/>
      <x:c r="D35" s="6"/>
      <x:c r="E35" s="6"/>
      <x:c r="F35" s="6"/>
    </x:row>
    <x:row r="36" ht="24" customHeight="1">
      <x:c r="A36" s="2"/>
      <x:c r="B36" s="6"/>
      <x:c r="C36" s="6"/>
      <x:c r="D36" s="6"/>
      <x:c r="E36" s="6"/>
      <x:c r="F36" s="6"/>
    </x:row>
  </x:sheetData>
  <x:mergeCells>
    <x:mergeCell ref="A1:F1"/>
    <x:mergeCell ref="A2:F2"/>
    <x:mergeCell ref="A12:F13"/>
  </x:mergeCells>
  <x:conditionalFormatting sqref="B5:F9">
    <x:cfRule type="colorScale" priority="1">
      <x:colorScale>
        <x:cfvo type="min"/>
        <x:cfvo type="percentile" val="50"/>
        <x:cfvo type="max"/>
        <x:color rgb="FFFADBD8"/>
        <x:color rgb="FFFFFFFF"/>
        <x:color rgb="FFB7DFD5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0202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NKE | Peers</x:v>
      </x:c>
      <x:c r="B1" s="5"/>
      <x:c r="C1" s="5"/>
      <x:c r="D1" s="5"/>
      <x:c r="E1" s="5"/>
      <x:c r="F1" s="5"/>
    </x:row>
    <x:row r="2" ht="24" customHeight="1">
      <x:c r="A2" s="2"/>
      <x:c r="B2" s="2"/>
      <x:c r="C2" s="2"/>
      <x:c r="D2" s="2"/>
      <x:c r="E2" s="2"/>
      <x:c r="F2" s="2"/>
    </x:row>
    <x:row r="3" ht="24" customHeight="1">
      <x:c r="A3" s="2" t="str">
        <x:v>Company</x:v>
      </x:c>
      <x:c r="B3" s="6" t="str">
        <x:v>Price</x:v>
      </x:c>
      <x:c r="C3" s="6" t="str">
        <x:v>TTM sales $m</x:v>
      </x:c>
      <x:c r="D3" s="6" t="str">
        <x:v>TTM net income $m</x:v>
      </x:c>
      <x:c r="E3" s="6" t="str">
        <x:v>Shares m</x:v>
      </x:c>
      <x:c r="F3" s="6" t="str">
        <x:v>P/E</x:v>
      </x:c>
    </x:row>
    <x:row r="4" ht="24" customHeight="1">
      <x:c r="A4" s="2" t="str">
        <x:v>DECK</x:v>
      </x:c>
      <x:c r="B4" s="6" t="n">
        <x:v>87.08</x:v>
      </x:c>
      <x:c r="C4" s="6" t="n">
        <x:v>5527.289000000001</x:v>
      </x:c>
      <x:c r="D4" s="6" t="n">
        <x:v>1014.8399999999999</x:v>
      </x:c>
      <x:c r="E4" s="6" t="n">
        <x:v>136.414227</x:v>
      </x:c>
      <x:c r="F4" s="18" t="n">
        <x:f>B4*E4/D4</x:f>
        <x:v>11.705245050608966</x:v>
      </x:c>
    </x:row>
    <x:row r="5" ht="24" customHeight="1">
      <x:c r="A5" s="2" t="str">
        <x:v>LULU</x:v>
      </x:c>
      <x:c r="B5" s="6" t="n">
        <x:v>120.26</x:v>
      </x:c>
      <x:c r="C5" s="6" t="n">
        <x:v>11203.543000000001</x:v>
      </x:c>
      <x:c r="D5" s="6" t="n">
        <x:v>1459.659</x:v>
      </x:c>
      <x:c r="E5" s="6" t="n">
        <x:v>108.437957</x:v>
      </x:c>
      <x:c r="F5" s="18" t="n">
        <x:f>B5*E5/D5</x:f>
        <x:v>8.934106328135544</x:v>
      </x:c>
    </x:row>
    <x:row r="6" ht="24" customHeight="1">
      <x:c r="A6" s="2"/>
      <x:c r="B6" s="6"/>
      <x:c r="C6" s="6"/>
      <x:c r="D6" s="6"/>
      <x:c r="E6" s="6"/>
      <x:c r="F6" s="6"/>
    </x:row>
    <x:row r="7" ht="24" customHeight="1">
      <x:c r="A7" s="2" t="str">
        <x:v>Median peer P/E</x:v>
      </x:c>
      <x:c r="B7" s="18" t="n">
        <x:f>MEDIAN(F4:F5)</x:f>
        <x:v>10.319675689372254</x:v>
      </x:c>
      <x:c r="C7" s="6"/>
      <x:c r="D7" s="6"/>
      <x:c r="E7" s="6"/>
      <x:c r="F7" s="6"/>
    </x:row>
    <x:row r="8" ht="24" customHeight="1">
      <x:c r="A8" s="2" t="str">
        <x:v>Peer-implied price (rough check)</x:v>
      </x:c>
      <x:c r="B8" s="19" t="n">
        <x:f>B7*Historical!F11/Drivers!B11</x:f>
        <x:v>21.620209021894215</x:v>
      </x:c>
      <x:c r="C8" s="6"/>
      <x:c r="D8" s="6"/>
      <x:c r="E8" s="6"/>
      <x:c r="F8" s="6"/>
    </x:row>
    <x:row r="9" ht="24" customHeight="1">
      <x:c r="A9" s="2"/>
      <x:c r="B9" s="6"/>
      <x:c r="C9" s="6"/>
      <x:c r="D9" s="6"/>
      <x:c r="E9" s="6"/>
      <x:c r="F9" s="6"/>
    </x:row>
    <x:row r="10" ht="24" customHeight="1">
      <x:c r="A10" s="32" t="str">
        <x:v>Market cap / GAAP net income; two peers only. Different business mix, fiscal ends, buybacks and exceptional gains distort comparability. No mechanical target-price average.</x:v>
      </x:c>
      <x:c r="B10" s="6"/>
      <x:c r="C10" s="6"/>
      <x:c r="D10" s="6"/>
      <x:c r="E10" s="6"/>
      <x:c r="F10" s="6"/>
    </x:row>
    <x:row r="11" ht="24" customHeight="1">
      <x:c r="A11" s="2"/>
      <x:c r="B11" s="6"/>
      <x:c r="C11" s="6"/>
      <x:c r="D11" s="6"/>
      <x:c r="E11" s="6"/>
      <x:c r="F11" s="6"/>
    </x:row>
    <x:row r="12" ht="24" customHeight="1">
      <x:c r="A12" s="2"/>
      <x:c r="B12" s="6"/>
      <x:c r="C12" s="6"/>
      <x:c r="D12" s="6"/>
      <x:c r="E12" s="6"/>
      <x:c r="F12" s="6"/>
    </x:row>
    <x:row r="13" ht="24" customHeight="1">
      <x:c r="A13" s="2"/>
      <x:c r="B13" s="6"/>
      <x:c r="C13" s="6"/>
      <x:c r="D13" s="6"/>
      <x:c r="E13" s="6"/>
      <x:c r="F13" s="6"/>
    </x:row>
    <x:row r="14" ht="24" customHeight="1">
      <x:c r="A14" s="2" t="str">
        <x:v>Company</x:v>
      </x:c>
      <x:c r="B14" s="6" t="str">
        <x:v>TTM end</x:v>
      </x:c>
      <x:c r="C14" s="6" t="str">
        <x:v>Share count date</x:v>
      </x:c>
      <x:c r="D14" s="6" t="str">
        <x:v>Price date</x:v>
      </x:c>
      <x:c r="E14" s="6"/>
      <x:c r="F14" s="6"/>
    </x:row>
    <x:row r="15" ht="24" customHeight="1">
      <x:c r="A15" s="2" t="str">
        <x:v>DECK</x:v>
      </x:c>
      <x:c r="B15" s="6" t="str">
        <x:v>2026-06-30</x:v>
      </x:c>
      <x:c r="C15" s="6" t="str">
        <x:v>2026-07-09</x:v>
      </x:c>
      <x:c r="D15" s="6" t="str">
        <x:v>2026-08-31</x:v>
      </x:c>
      <x:c r="E15" s="6"/>
      <x:c r="F15" s="6"/>
    </x:row>
    <x:row r="16" ht="24" customHeight="1">
      <x:c r="A16" s="2" t="str">
        <x:v>LULU</x:v>
      </x:c>
      <x:c r="B16" s="6" t="str">
        <x:v>2026-05-03</x:v>
      </x:c>
      <x:c r="C16" s="6" t="str">
        <x:v>2026-05-29</x:v>
      </x:c>
      <x:c r="D16" s="6" t="str">
        <x:v>2026-08-31</x:v>
      </x:c>
      <x:c r="E16" s="6"/>
      <x:c r="F16" s="6"/>
    </x:row>
    <x:row r="17" ht="24" customHeight="1">
      <x:c r="A17" s="2"/>
      <x:c r="B17" s="6"/>
      <x:c r="C17" s="6"/>
      <x:c r="D17" s="6"/>
      <x:c r="E17" s="6"/>
      <x:c r="F17" s="6"/>
    </x:row>
    <x:row r="18" ht="24" customHeight="1">
      <x:c r="A18" s="2"/>
      <x:c r="B18" s="6"/>
      <x:c r="C18" s="6"/>
      <x:c r="D18" s="6"/>
      <x:c r="E18" s="6"/>
      <x:c r="F18" s="6"/>
    </x:row>
    <x:row r="19" ht="24" customHeight="1">
      <x:c r="A19" s="2"/>
      <x:c r="B19" s="6"/>
      <x:c r="C19" s="6"/>
      <x:c r="D19" s="6"/>
      <x:c r="E19" s="6"/>
      <x:c r="F19" s="6"/>
    </x:row>
    <x:row r="20" ht="24" customHeight="1">
      <x:c r="A20" s="2"/>
      <x:c r="B20" s="6"/>
      <x:c r="C20" s="6"/>
      <x:c r="D20" s="6"/>
      <x:c r="E20" s="6"/>
      <x:c r="F20" s="6"/>
    </x:row>
    <x:row r="21" ht="24" customHeight="1">
      <x:c r="A21" s="2"/>
      <x:c r="B21" s="6"/>
      <x:c r="C21" s="6"/>
      <x:c r="D21" s="6"/>
      <x:c r="E21" s="6"/>
      <x:c r="F21" s="6"/>
    </x:row>
    <x:row r="22" ht="24" customHeight="1">
      <x:c r="A22" s="2"/>
      <x:c r="B22" s="6"/>
      <x:c r="C22" s="6"/>
      <x:c r="D22" s="6"/>
      <x:c r="E22" s="6"/>
      <x:c r="F22" s="6"/>
    </x:row>
    <x:row r="23" ht="24" customHeight="1">
      <x:c r="A23" s="2"/>
      <x:c r="B23" s="6"/>
      <x:c r="C23" s="6"/>
      <x:c r="D23" s="6"/>
      <x:c r="E23" s="6"/>
      <x:c r="F23" s="6"/>
    </x:row>
    <x:row r="24" ht="24" customHeight="1">
      <x:c r="A24" s="2"/>
      <x:c r="B24" s="6"/>
      <x:c r="C24" s="6"/>
      <x:c r="D24" s="6"/>
      <x:c r="E24" s="6"/>
      <x:c r="F24" s="6"/>
    </x:row>
    <x:row r="25" ht="24" customHeight="1">
      <x:c r="A25" s="2"/>
      <x:c r="B25" s="6"/>
      <x:c r="C25" s="6"/>
      <x:c r="D25" s="6"/>
      <x:c r="E25" s="6"/>
      <x:c r="F25" s="6"/>
    </x:row>
    <x:row r="26" ht="24" customHeight="1">
      <x:c r="A26" s="2"/>
      <x:c r="B26" s="6"/>
      <x:c r="C26" s="6"/>
      <x:c r="D26" s="6"/>
      <x:c r="E26" s="6"/>
      <x:c r="F26" s="6"/>
    </x:row>
    <x:row r="27" ht="24" customHeight="1">
      <x:c r="A27" s="2"/>
      <x:c r="B27" s="6"/>
      <x:c r="C27" s="6"/>
      <x:c r="D27" s="6"/>
      <x:c r="E27" s="6"/>
      <x:c r="F27" s="6"/>
    </x:row>
    <x:row r="28" ht="24" customHeight="1">
      <x:c r="A28" s="2"/>
      <x:c r="B28" s="6"/>
      <x:c r="C28" s="6"/>
      <x:c r="D28" s="6"/>
      <x:c r="E28" s="6"/>
      <x:c r="F28" s="6"/>
    </x:row>
    <x:row r="29" ht="24" customHeight="1">
      <x:c r="A29" s="2"/>
      <x:c r="B29" s="6"/>
      <x:c r="C29" s="6"/>
      <x:c r="D29" s="6"/>
      <x:c r="E29" s="6"/>
      <x:c r="F29" s="6"/>
    </x:row>
    <x:row r="30" ht="24" customHeight="1">
      <x:c r="A30" s="2"/>
      <x:c r="B30" s="6"/>
      <x:c r="C30" s="6"/>
      <x:c r="D30" s="6"/>
      <x:c r="E30" s="6"/>
      <x:c r="F30" s="6"/>
    </x:row>
    <x:row r="31" ht="24" customHeight="1">
      <x:c r="A31" s="2"/>
      <x:c r="B31" s="6"/>
      <x:c r="C31" s="6"/>
      <x:c r="D31" s="6"/>
      <x:c r="E31" s="6"/>
      <x:c r="F31" s="6"/>
    </x:row>
    <x:row r="32" ht="24" customHeight="1">
      <x:c r="A32" s="2"/>
      <x:c r="B32" s="6"/>
      <x:c r="C32" s="6"/>
      <x:c r="D32" s="6"/>
      <x:c r="E32" s="6"/>
      <x:c r="F32" s="6"/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2"/>
      <x:c r="B34" s="6"/>
      <x:c r="C34" s="6"/>
      <x:c r="D34" s="6"/>
      <x:c r="E34" s="6"/>
      <x:c r="F34" s="6"/>
    </x:row>
    <x:row r="35" ht="24" customHeight="1">
      <x:c r="A35" s="2"/>
      <x:c r="B35" s="6"/>
      <x:c r="C35" s="6"/>
      <x:c r="D35" s="6"/>
      <x:c r="E35" s="6"/>
      <x:c r="F35" s="6"/>
    </x:row>
    <x:row r="36" ht="24" customHeight="1">
      <x:c r="A36" s="2"/>
      <x:c r="B36" s="6"/>
      <x:c r="C36" s="6"/>
      <x:c r="D36" s="6"/>
      <x:c r="E36" s="6"/>
      <x:c r="F36" s="6"/>
    </x:row>
  </x:sheetData>
  <x:mergeCells>
    <x:mergeCell ref="A1:F1"/>
    <x:mergeCell ref="A10:F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0202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NKE | Segments</x:v>
      </x:c>
      <x:c r="B1" s="5"/>
      <x:c r="C1" s="5"/>
      <x:c r="D1" s="5"/>
      <x:c r="E1" s="5"/>
      <x:c r="F1" s="5"/>
    </x:row>
    <x:row r="2" ht="24" customHeight="1">
      <x:c r="A2" s="2"/>
      <x:c r="B2" s="2"/>
      <x:c r="C2" s="2"/>
      <x:c r="D2" s="2"/>
      <x:c r="E2" s="2"/>
      <x:c r="F2" s="2"/>
    </x:row>
    <x:row r="3" ht="24" customHeight="1">
      <x:c r="A3" s="2" t="str">
        <x:v>Business / geography</x:v>
      </x:c>
      <x:c r="B3" s="6" t="str">
        <x:v>Revenue $m</x:v>
      </x:c>
      <x:c r="C3" s="6" t="str">
        <x:v>Share of reported total</x:v>
      </x:c>
      <x:c r="D3" s="6"/>
      <x:c r="E3" s="6"/>
      <x:c r="F3" s="6"/>
    </x:row>
    <x:row r="4" ht="40" customHeight="1">
      <x:c r="A4" s="32" t="str">
        <x:v>North America</x:v>
      </x:c>
      <x:c r="B4" s="8" t="n">
        <x:v>20511</x:v>
      </x:c>
      <x:c r="C4" s="21" t="n">
        <x:f>B4/Historical!$F$4</x:f>
        <x:v>0.4420664683822579</x:v>
      </x:c>
      <x:c r="D4" s="6"/>
      <x:c r="E4" s="6"/>
      <x:c r="F4" s="6"/>
    </x:row>
    <x:row r="5" ht="40" customHeight="1">
      <x:c r="A5" s="32" t="str">
        <x:v>Europe, Middle East &amp; Africa</x:v>
      </x:c>
      <x:c r="B5" s="8" t="n">
        <x:v>12572</x:v>
      </x:c>
      <x:c r="C5" s="21" t="n">
        <x:f>B5/Historical!$F$4</x:f>
        <x:v>0.2709599551704815</x:v>
      </x:c>
      <x:c r="D5" s="6"/>
      <x:c r="E5" s="6"/>
      <x:c r="F5" s="6"/>
    </x:row>
    <x:row r="6" ht="40" customHeight="1">
      <x:c r="A6" s="32" t="str">
        <x:v>Greater China</x:v>
      </x:c>
      <x:c r="B6" s="8" t="n">
        <x:v>5847</x:v>
      </x:c>
      <x:c r="C6" s="21" t="n">
        <x:f>B6/Historical!$F$4</x:f>
        <x:v>0.12601836286046814</x:v>
      </x:c>
      <x:c r="D6" s="6"/>
      <x:c r="E6" s="6"/>
      <x:c r="F6" s="6"/>
    </x:row>
    <x:row r="7" ht="40" customHeight="1">
      <x:c r="A7" s="32" t="str">
        <x:v>Asia Pacific &amp; Latin America</x:v>
      </x:c>
      <x:c r="B7" s="8" t="n">
        <x:v>6243</x:v>
      </x:c>
      <x:c r="C7" s="21" t="n">
        <x:f>B7/Historical!$F$4</x:f>
        <x:v>0.13455321350058191</x:v>
      </x:c>
      <x:c r="D7" s="6"/>
      <x:c r="E7" s="6"/>
      <x:c r="F7" s="6"/>
    </x:row>
    <x:row r="8" ht="40" customHeight="1">
      <x:c r="A8" s="32" t="str">
        <x:v>Global Brand Divisions</x:v>
      </x:c>
      <x:c r="B8" s="8" t="n">
        <x:v>49</x:v>
      </x:c>
      <x:c r="C8" s="21" t="n">
        <x:f>B8/Historical!$F$4</x:f>
        <x:v>0.0010560800034484245</x:v>
      </x:c>
      <x:c r="D8" s="6"/>
      <x:c r="E8" s="6"/>
      <x:c r="F8" s="6"/>
    </x:row>
    <x:row r="9" ht="40" customHeight="1">
      <x:c r="A9" s="32" t="str">
        <x:v>Converse</x:v>
      </x:c>
      <x:c r="B9" s="8" t="n">
        <x:v>1174</x:v>
      </x:c>
      <x:c r="C9" s="21" t="n">
        <x:f>B9/Historical!$F$4</x:f>
        <x:v>0.025302814776498986</x:v>
      </x:c>
      <x:c r="D9" s="6"/>
      <x:c r="E9" s="6"/>
      <x:c r="F9" s="6"/>
    </x:row>
    <x:row r="10" ht="40" customHeight="1">
      <x:c r="A10" s="32" t="str">
        <x:v>Corporate</x:v>
      </x:c>
      <x:c r="B10" s="8" t="n">
        <x:v>2</x:v>
      </x:c>
      <x:c r="C10" s="21" t="n">
        <x:f>B10/Historical!$F$4</x:f>
        <x:v>0.000043105306263201</x:v>
      </x:c>
      <x:c r="D10" s="6"/>
      <x:c r="E10" s="6"/>
      <x:c r="F10" s="6"/>
    </x:row>
    <x:row r="11" ht="24" customHeight="1">
      <x:c r="A11" s="2"/>
      <x:c r="B11" s="6"/>
      <x:c r="C11" s="6"/>
      <x:c r="D11" s="6"/>
      <x:c r="E11" s="6"/>
      <x:c r="F11" s="6"/>
    </x:row>
    <x:row r="12" ht="24" customHeight="1">
      <x:c r="A12" s="2"/>
      <x:c r="B12" s="6"/>
      <x:c r="C12" s="6"/>
      <x:c r="D12" s="6"/>
      <x:c r="E12" s="6"/>
      <x:c r="F12" s="6"/>
    </x:row>
    <x:row r="13" ht="24" customHeight="1">
      <x:c r="A13" s="32" t="str">
        <x:v>Fiscal year ended 31 May 2026; USD millions. NIKE Brand geographic segments, Converse and corporate reconciliation.</x:v>
      </x:c>
      <x:c r="B13" s="6"/>
      <x:c r="C13" s="6"/>
      <x:c r="D13" s="6"/>
      <x:c r="E13" s="6"/>
      <x:c r="F13" s="6"/>
    </x:row>
    <x:row r="14" ht="24" customHeight="1">
      <x:c r="A14" s="2"/>
      <x:c r="B14" s="6"/>
      <x:c r="C14" s="6"/>
      <x:c r="D14" s="6"/>
      <x:c r="E14" s="6"/>
      <x:c r="F14" s="6"/>
    </x:row>
    <x:row r="15" ht="24" customHeight="1">
      <x:c r="A15" s="2"/>
      <x:c r="B15" s="6"/>
      <x:c r="C15" s="6"/>
      <x:c r="D15" s="6"/>
      <x:c r="E15" s="6"/>
      <x:c r="F15" s="6"/>
    </x:row>
    <x:row r="16" ht="24" customHeight="1">
      <x:c r="A16" s="2"/>
      <x:c r="B16" s="6"/>
      <x:c r="C16" s="6"/>
      <x:c r="D16" s="6"/>
      <x:c r="E16" s="6"/>
      <x:c r="F16" s="6"/>
    </x:row>
    <x:row r="17" ht="24" customHeight="1">
      <x:c r="A17" s="2"/>
      <x:c r="B17" s="6"/>
      <x:c r="C17" s="6"/>
      <x:c r="D17" s="6"/>
      <x:c r="E17" s="6"/>
      <x:c r="F17" s="6"/>
    </x:row>
    <x:row r="18" ht="24" customHeight="1">
      <x:c r="A18" s="2"/>
      <x:c r="B18" s="6"/>
      <x:c r="C18" s="6"/>
      <x:c r="D18" s="6"/>
      <x:c r="E18" s="6"/>
      <x:c r="F18" s="6"/>
    </x:row>
    <x:row r="19" ht="24" customHeight="1">
      <x:c r="A19" s="2"/>
      <x:c r="B19" s="6"/>
      <x:c r="C19" s="6"/>
      <x:c r="D19" s="6"/>
      <x:c r="E19" s="6"/>
      <x:c r="F19" s="6"/>
    </x:row>
    <x:row r="20" ht="24" customHeight="1">
      <x:c r="A20" s="2"/>
      <x:c r="B20" s="6"/>
      <x:c r="C20" s="6"/>
      <x:c r="D20" s="6"/>
      <x:c r="E20" s="6"/>
      <x:c r="F20" s="6"/>
    </x:row>
    <x:row r="21" ht="24" customHeight="1">
      <x:c r="A21" s="2"/>
      <x:c r="B21" s="6"/>
      <x:c r="C21" s="6"/>
      <x:c r="D21" s="6"/>
      <x:c r="E21" s="6"/>
      <x:c r="F21" s="6"/>
    </x:row>
    <x:row r="22" ht="24" customHeight="1">
      <x:c r="A22" s="2"/>
      <x:c r="B22" s="6"/>
      <x:c r="C22" s="6"/>
      <x:c r="D22" s="6"/>
      <x:c r="E22" s="6"/>
      <x:c r="F22" s="6"/>
    </x:row>
    <x:row r="23" ht="24" customHeight="1">
      <x:c r="A23" s="2"/>
      <x:c r="B23" s="6"/>
      <x:c r="C23" s="6"/>
      <x:c r="D23" s="6"/>
      <x:c r="E23" s="6"/>
      <x:c r="F23" s="6"/>
    </x:row>
    <x:row r="24" ht="24" customHeight="1">
      <x:c r="A24" s="2"/>
      <x:c r="B24" s="6"/>
      <x:c r="C24" s="6"/>
      <x:c r="D24" s="6"/>
      <x:c r="E24" s="6"/>
      <x:c r="F24" s="6"/>
    </x:row>
    <x:row r="25" ht="24" customHeight="1">
      <x:c r="A25" s="2"/>
      <x:c r="B25" s="6"/>
      <x:c r="C25" s="6"/>
      <x:c r="D25" s="6"/>
      <x:c r="E25" s="6"/>
      <x:c r="F25" s="6"/>
    </x:row>
    <x:row r="26" ht="24" customHeight="1">
      <x:c r="A26" s="2"/>
      <x:c r="B26" s="6"/>
      <x:c r="C26" s="6"/>
      <x:c r="D26" s="6"/>
      <x:c r="E26" s="6"/>
      <x:c r="F26" s="6"/>
    </x:row>
    <x:row r="27" ht="24" customHeight="1">
      <x:c r="A27" s="2"/>
      <x:c r="B27" s="6"/>
      <x:c r="C27" s="6"/>
      <x:c r="D27" s="6"/>
      <x:c r="E27" s="6"/>
      <x:c r="F27" s="6"/>
    </x:row>
    <x:row r="28" ht="24" customHeight="1">
      <x:c r="A28" s="2"/>
      <x:c r="B28" s="6"/>
      <x:c r="C28" s="6"/>
      <x:c r="D28" s="6"/>
      <x:c r="E28" s="6"/>
      <x:c r="F28" s="6"/>
    </x:row>
    <x:row r="29" ht="24" customHeight="1">
      <x:c r="A29" s="2"/>
      <x:c r="B29" s="6"/>
      <x:c r="C29" s="6"/>
      <x:c r="D29" s="6"/>
      <x:c r="E29" s="6"/>
      <x:c r="F29" s="6"/>
    </x:row>
    <x:row r="30" ht="24" customHeight="1">
      <x:c r="A30" s="2"/>
      <x:c r="B30" s="6"/>
      <x:c r="C30" s="6"/>
      <x:c r="D30" s="6"/>
      <x:c r="E30" s="6"/>
      <x:c r="F30" s="6"/>
    </x:row>
    <x:row r="31" ht="24" customHeight="1">
      <x:c r="A31" s="2"/>
      <x:c r="B31" s="6"/>
      <x:c r="C31" s="6"/>
      <x:c r="D31" s="6"/>
      <x:c r="E31" s="6"/>
      <x:c r="F31" s="6"/>
    </x:row>
    <x:row r="32" ht="24" customHeight="1">
      <x:c r="A32" s="2"/>
      <x:c r="B32" s="6"/>
      <x:c r="C32" s="6"/>
      <x:c r="D32" s="6"/>
      <x:c r="E32" s="6"/>
      <x:c r="F32" s="6"/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2"/>
      <x:c r="B34" s="6"/>
      <x:c r="C34" s="6"/>
      <x:c r="D34" s="6"/>
      <x:c r="E34" s="6"/>
      <x:c r="F34" s="6"/>
    </x:row>
    <x:row r="35" ht="24" customHeight="1">
      <x:c r="A35" s="2"/>
      <x:c r="B35" s="6"/>
      <x:c r="C35" s="6"/>
      <x:c r="D35" s="6"/>
      <x:c r="E35" s="6"/>
      <x:c r="F35" s="6"/>
    </x:row>
    <x:row r="36" ht="24" customHeight="1">
      <x:c r="A36" s="2"/>
      <x:c r="B36" s="6"/>
      <x:c r="C36" s="6"/>
      <x:c r="D36" s="6"/>
      <x:c r="E36" s="6"/>
      <x:c r="F36" s="6"/>
    </x:row>
  </x:sheetData>
  <x:mergeCells>
    <x:mergeCell ref="A1:F1"/>
    <x:mergeCell ref="A13:F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0202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NKE | Sources</x:v>
      </x:c>
      <x:c r="B1" s="5"/>
      <x:c r="C1" s="5"/>
      <x:c r="D1" s="5"/>
      <x:c r="E1" s="5"/>
      <x:c r="F1" s="5"/>
    </x:row>
    <x:row r="2" ht="24" customHeight="1">
      <x:c r="A2" s="2"/>
      <x:c r="B2" s="2"/>
      <x:c r="C2" s="2"/>
      <x:c r="D2" s="2"/>
      <x:c r="E2" s="2"/>
      <x:c r="F2" s="2"/>
    </x:row>
    <x:row r="3" ht="40" customHeight="1">
      <x:c r="A3" s="2" t="str">
        <x:v>Information cutoff</x:v>
      </x:c>
      <x:c r="B3" s="35" t="str">
        <x:v>2026-08-31</x:v>
      </x:c>
      <x:c r="C3" s="6"/>
      <x:c r="D3" s="6"/>
      <x:c r="E3" s="6"/>
      <x:c r="F3" s="6"/>
    </x:row>
    <x:row r="4" ht="55" customHeight="1">
      <x:c r="A4" s="2" t="str">
        <x:v>Annual report</x:v>
      </x:c>
      <x:c r="B4" s="35" t="str">
        <x:v>https://www.sec.gov/Archives/edgar/data/320187/000032018726000088/nke-20260531.htm</x:v>
      </x:c>
      <x:c r="C4" s="6"/>
      <x:c r="D4" s="6"/>
      <x:c r="E4" s="6"/>
      <x:c r="F4" s="6"/>
    </x:row>
    <x:row r="5" ht="40" customHeight="1">
      <x:c r="A5" s="2" t="str">
        <x:v>Historical facts</x:v>
      </x:c>
      <x:c r="B5" s="35" t="str">
        <x:v>SEC Company Facts; provenance JSON in processed_data</x:v>
      </x:c>
      <x:c r="C5" s="6"/>
      <x:c r="D5" s="6"/>
      <x:c r="E5" s="6"/>
      <x:c r="F5" s="6"/>
    </x:row>
    <x:row r="6" ht="40" customHeight="1">
      <x:c r="A6" s="2" t="str">
        <x:v>Treasury yield</x:v>
      </x:c>
      <x:c r="B6" s="35" t="str">
        <x:v>Official Treasury 31 Aug 2026: 10-year 4.75%</x:v>
      </x:c>
      <x:c r="C6" s="6"/>
      <x:c r="D6" s="6"/>
      <x:c r="E6" s="6"/>
      <x:c r="F6" s="6"/>
    </x:row>
    <x:row r="7" ht="40" customHeight="1">
      <x:c r="A7" s="2" t="str">
        <x:v>Prices</x:v>
      </x:c>
      <x:c r="B7" s="35" t="str">
        <x:v>31 Aug 2026 US-listed close, Yahoo / StockAnalysis</x:v>
      </x:c>
      <x:c r="C7" s="6"/>
      <x:c r="D7" s="6"/>
      <x:c r="E7" s="6"/>
      <x:c r="F7" s="6"/>
    </x:row>
    <x:row r="8" ht="40" customHeight="1">
      <x:c r="A8" s="2" t="str">
        <x:v>Cash-flow timing</x:v>
      </x:c>
      <x:c r="B8" s="35" t="str">
        <x:v>End-year discount; first forecast year prorated from valuation date</x:v>
      </x:c>
      <x:c r="C8" s="6"/>
      <x:c r="D8" s="6"/>
      <x:c r="E8" s="6"/>
      <x:c r="F8" s="6"/>
    </x:row>
    <x:row r="9" ht="40" customHeight="1">
      <x:c r="A9" s="2" t="str">
        <x:v>Balance-sheet proxy</x:v>
      </x:c>
      <x:c r="B9" s="35" t="str">
        <x:v>Latest fiscal-year-end cash and debt; no invented interim balance</x:v>
      </x:c>
      <x:c r="C9" s="6"/>
      <x:c r="D9" s="6"/>
      <x:c r="E9" s="6"/>
      <x:c r="F9" s="6"/>
    </x:row>
    <x:row r="10" ht="40" customHeight="1">
      <x:c r="A10" s="2" t="str">
        <x:v>Balance-sheet forecast</x:v>
      </x:c>
      <x:c r="B10" s="35" t="str">
        <x:v>Debt / other liabilities fixed; other noncash assets roll capex less D&amp;A</x:v>
      </x:c>
      <x:c r="C10" s="6"/>
      <x:c r="D10" s="6"/>
      <x:c r="E10" s="6"/>
      <x:c r="F10" s="6"/>
    </x:row>
    <x:row r="11" ht="40" customHeight="1">
      <x:c r="A11" s="2" t="str">
        <x:v>Cash-flow forecast</x:v>
      </x:c>
      <x:c r="B11" s="35" t="str">
        <x:v>No acquisitions, FX cash effects, buybacks or new funding</x:v>
      </x:c>
      <x:c r="C11" s="6"/>
      <x:c r="D11" s="6"/>
      <x:c r="E11" s="6"/>
      <x:c r="F11" s="6"/>
    </x:row>
    <x:row r="12" ht="40" customHeight="1">
      <x:c r="A12" s="2" t="str">
        <x:v>SBC treatment</x:v>
      </x:c>
      <x:c r="B12" s="35" t="str">
        <x:v>Expense retained in EBIT for DCF; added in CFO and equity for statement forecast</x:v>
      </x:c>
      <x:c r="C12" s="6"/>
      <x:c r="D12" s="6"/>
      <x:c r="E12" s="6"/>
      <x:c r="F12" s="6"/>
    </x:row>
    <x:row r="13" ht="40" customHeight="1">
      <x:c r="A13" s="2" t="str">
        <x:v>Lease treatment</x:v>
      </x:c>
      <x:c r="B13" s="35" t="str">
        <x:v>Rent remains operating expense; operating lease liabilities excluded from debt</x:v>
      </x:c>
      <x:c r="C13" s="6"/>
      <x:c r="D13" s="6"/>
      <x:c r="E13" s="6"/>
      <x:c r="F13" s="6"/>
    </x:row>
    <x:row r="14" ht="40" customHeight="1">
      <x:c r="A14" s="2" t="str">
        <x:v>Share denominator</x:v>
      </x:c>
      <x:c r="B14" s="35" t="str">
        <x:v>Latest disclosed common shares plus conversion / incremental dilution proxy</x:v>
      </x:c>
      <x:c r="C14" s="6"/>
      <x:c r="D14" s="6"/>
      <x:c r="E14" s="6"/>
      <x:c r="F14" s="6"/>
    </x:row>
    <x:row r="15" ht="40" customHeight="1">
      <x:c r="A15" s="2" t="str">
        <x:v>Forecast assumptions</x:v>
      </x:c>
      <x:c r="B15" s="35" t="str">
        <x:v>Growth, margins, beta, equity premium and debt cost are analyst inputs</x:v>
      </x:c>
      <x:c r="C15" s="6"/>
      <x:c r="D15" s="6"/>
      <x:c r="E15" s="6"/>
      <x:c r="F15" s="6"/>
    </x:row>
    <x:row r="16" ht="40" customHeight="1">
      <x:c r="A16" s="2" t="str">
        <x:v>Terminal model</x:v>
      </x:c>
      <x:c r="B16" s="35" t="str">
        <x:v>Year-five FCFF grows at terminal rate; sensitivity shows dependence</x:v>
      </x:c>
      <x:c r="C16" s="6"/>
      <x:c r="D16" s="6"/>
      <x:c r="E16" s="6"/>
      <x:c r="F16" s="6"/>
    </x:row>
    <x:row r="17" ht="40" customHeight="1">
      <x:c r="A17" s="2" t="str">
        <x:v>Rebuild</x:v>
      </x:c>
      <x:c r="B17" s="35" t="str">
        <x:v>See src and processed_data; requires Node artifact-tool for workbook build</x:v>
      </x:c>
      <x:c r="C17" s="6"/>
      <x:c r="D17" s="6"/>
      <x:c r="E17" s="6"/>
      <x:c r="F17" s="6"/>
    </x:row>
    <x:row r="18" ht="24" customHeight="1">
      <x:c r="A18" s="2"/>
      <x:c r="B18" s="6"/>
      <x:c r="C18" s="6"/>
      <x:c r="D18" s="6"/>
      <x:c r="E18" s="6"/>
      <x:c r="F18" s="6"/>
    </x:row>
    <x:row r="19" ht="24" customHeight="1">
      <x:c r="A19" s="2"/>
      <x:c r="B19" s="6"/>
      <x:c r="C19" s="6"/>
      <x:c r="D19" s="6"/>
      <x:c r="E19" s="6"/>
      <x:c r="F19" s="6"/>
    </x:row>
    <x:row r="20" ht="24" customHeight="1">
      <x:c r="A20" s="2"/>
      <x:c r="B20" s="6"/>
      <x:c r="C20" s="6"/>
      <x:c r="D20" s="6"/>
      <x:c r="E20" s="6"/>
      <x:c r="F20" s="6"/>
    </x:row>
    <x:row r="21" ht="24" customHeight="1">
      <x:c r="A21" s="2"/>
      <x:c r="B21" s="6"/>
      <x:c r="C21" s="6"/>
      <x:c r="D21" s="6"/>
      <x:c r="E21" s="6"/>
      <x:c r="F21" s="6"/>
    </x:row>
    <x:row r="22" ht="24" customHeight="1">
      <x:c r="A22" s="2"/>
      <x:c r="B22" s="6"/>
      <x:c r="C22" s="6"/>
      <x:c r="D22" s="6"/>
      <x:c r="E22" s="6"/>
      <x:c r="F22" s="6"/>
    </x:row>
    <x:row r="23" ht="24" customHeight="1">
      <x:c r="A23" s="2"/>
      <x:c r="B23" s="6"/>
      <x:c r="C23" s="6"/>
      <x:c r="D23" s="6"/>
      <x:c r="E23" s="6"/>
      <x:c r="F23" s="6"/>
    </x:row>
    <x:row r="24" ht="24" customHeight="1">
      <x:c r="A24" s="2"/>
      <x:c r="B24" s="6"/>
      <x:c r="C24" s="6"/>
      <x:c r="D24" s="6"/>
      <x:c r="E24" s="6"/>
      <x:c r="F24" s="6"/>
    </x:row>
    <x:row r="25" ht="24" customHeight="1">
      <x:c r="A25" s="2"/>
      <x:c r="B25" s="6"/>
      <x:c r="C25" s="6"/>
      <x:c r="D25" s="6"/>
      <x:c r="E25" s="6"/>
      <x:c r="F25" s="6"/>
    </x:row>
    <x:row r="26" ht="24" customHeight="1">
      <x:c r="A26" s="2"/>
      <x:c r="B26" s="6"/>
      <x:c r="C26" s="6"/>
      <x:c r="D26" s="6"/>
      <x:c r="E26" s="6"/>
      <x:c r="F26" s="6"/>
    </x:row>
    <x:row r="27" ht="24" customHeight="1">
      <x:c r="A27" s="2"/>
      <x:c r="B27" s="6"/>
      <x:c r="C27" s="6"/>
      <x:c r="D27" s="6"/>
      <x:c r="E27" s="6"/>
      <x:c r="F27" s="6"/>
    </x:row>
    <x:row r="28" ht="24" customHeight="1">
      <x:c r="A28" s="2"/>
      <x:c r="B28" s="6"/>
      <x:c r="C28" s="6"/>
      <x:c r="D28" s="6"/>
      <x:c r="E28" s="6"/>
      <x:c r="F28" s="6"/>
    </x:row>
    <x:row r="29" ht="24" customHeight="1">
      <x:c r="A29" s="2"/>
      <x:c r="B29" s="6"/>
      <x:c r="C29" s="6"/>
      <x:c r="D29" s="6"/>
      <x:c r="E29" s="6"/>
      <x:c r="F29" s="6"/>
    </x:row>
    <x:row r="30" ht="24" customHeight="1">
      <x:c r="A30" s="2"/>
      <x:c r="B30" s="6"/>
      <x:c r="C30" s="6"/>
      <x:c r="D30" s="6"/>
      <x:c r="E30" s="6"/>
      <x:c r="F30" s="6"/>
    </x:row>
    <x:row r="31" ht="24" customHeight="1">
      <x:c r="A31" s="2"/>
      <x:c r="B31" s="6"/>
      <x:c r="C31" s="6"/>
      <x:c r="D31" s="6"/>
      <x:c r="E31" s="6"/>
      <x:c r="F31" s="6"/>
    </x:row>
    <x:row r="32" ht="24" customHeight="1">
      <x:c r="A32" s="2"/>
      <x:c r="B32" s="6"/>
      <x:c r="C32" s="6"/>
      <x:c r="D32" s="6"/>
      <x:c r="E32" s="6"/>
      <x:c r="F32" s="6"/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2"/>
      <x:c r="B34" s="6"/>
      <x:c r="C34" s="6"/>
      <x:c r="D34" s="6"/>
      <x:c r="E34" s="6"/>
      <x:c r="F34" s="6"/>
    </x:row>
    <x:row r="35" ht="24" customHeight="1">
      <x:c r="A35" s="2"/>
      <x:c r="B35" s="6"/>
      <x:c r="C35" s="6"/>
      <x:c r="D35" s="6"/>
      <x:c r="E35" s="6"/>
      <x:c r="F35" s="6"/>
    </x:row>
    <x:row r="36" ht="24" customHeight="1">
      <x:c r="A36" s="2"/>
      <x:c r="B36" s="6"/>
      <x:c r="C36" s="6"/>
      <x:c r="D36" s="6"/>
      <x:c r="E36" s="6"/>
      <x:c r="F36" s="6"/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B9:F9"/>
    <x:mergeCell ref="B10:F10"/>
    <x:mergeCell ref="B11:F11"/>
    <x:mergeCell ref="B12:F12"/>
    <x:mergeCell ref="B13:F13"/>
    <x:mergeCell ref="B14:F14"/>
    <x:mergeCell ref="B15:F15"/>
    <x:mergeCell ref="B16:F16"/>
    <x:mergeCell ref="B17:F17"/>
  </x:mergeCells>
  <x:pageMargins left="0.7" right="0.7" top="0.75" bottom="0.75" header="0.3" footer="0.3"/>
</x:worksheet>
</file>