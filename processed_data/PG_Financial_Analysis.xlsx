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f8fe900c8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31dc7529f541e9"/>
    <x:sheet xmlns:r="http://schemas.openxmlformats.org/officeDocument/2006/relationships" name="Drivers" sheetId="2" r:id="Rdcce26da1c32469a"/>
    <x:sheet xmlns:r="http://schemas.openxmlformats.org/officeDocument/2006/relationships" name="Historical" sheetId="3" r:id="Rc6e96c583d60406c"/>
    <x:sheet xmlns:r="http://schemas.openxmlformats.org/officeDocument/2006/relationships" name="Forecast" sheetId="4" r:id="R913a4f601861437d"/>
    <x:sheet xmlns:r="http://schemas.openxmlformats.org/officeDocument/2006/relationships" name="Valuation" sheetId="5" r:id="Rc8a6131343904373"/>
    <x:sheet xmlns:r="http://schemas.openxmlformats.org/officeDocument/2006/relationships" name="Sensitivity" sheetId="6" r:id="Rdaf7a58852c14aad"/>
    <x:sheet xmlns:r="http://schemas.openxmlformats.org/officeDocument/2006/relationships" name="Peers" sheetId="7" r:id="R8c1c945a46334a6f"/>
    <x:sheet xmlns:r="http://schemas.openxmlformats.org/officeDocument/2006/relationships" name="Segments" sheetId="8" r:id="R87a21715e506498d"/>
    <x:sheet xmlns:r="http://schemas.openxmlformats.org/officeDocument/2006/relationships" name="Sources" sheetId="9" r:id="R7fcb563c955d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&quot;—&quot;"/>
    <x:numFmt numFmtId="201" formatCode="0.0%;[Red](0.0%);&quot;—&quot;"/>
    <x:numFmt numFmtId="202" formatCode="0"/>
    <x:numFmt numFmtId="203" formatCode="$0.00"/>
  </x:numFmts>
  <x:fonts count="13">
    <x:font>
      <x:sz val="11"/>
      <x:name val="Carlito"/>
    </x:font>
    <x:font>
      <x:sz val="11"/>
      <x:name val="Aptos"/>
    </x:font>
    <x:font>
      <x:sz val="12"/>
      <x:name val="Aptos"/>
    </x:font>
    <x:font>
      <x:sz val="12"/>
      <x:color rgb="FFFFFFFF"/>
      <x:name val="Aptos"/>
    </x:font>
    <x:font>
      <x:sz val="20"/>
      <x:color rgb="FFFFFFFF"/>
      <x:name val="Aptos"/>
    </x:font>
    <x:font>
      <x:sz val="12"/>
      <x:color rgb="FFC62828"/>
      <x:name val="Aptos"/>
    </x:font>
    <x:font>
      <x:b/>
      <x:sz val="12"/>
      <x:name val="Aptos"/>
    </x:font>
    <x:font>
      <x:b/>
      <x:sz val="12"/>
      <x:color rgb="FFC62828"/>
      <x:name val="Aptos"/>
    </x:font>
    <x:font>
      <x:sz val="12"/>
      <x:color rgb="FF111827"/>
      <x:name val="Aptos"/>
    </x:font>
    <x:font>
      <x:b/>
      <x:sz val="12"/>
      <x:color rgb="FF111827"/>
      <x:name val="Aptos"/>
    </x:font>
    <x:font>
      <x:sz val="12"/>
      <x:color rgb="FF0000FF"/>
      <x:name val="Aptos"/>
    </x:font>
    <x:font>
      <x:sz val="12"/>
      <x:color rgb="FF00804A"/>
      <x:name val="Aptos"/>
    </x:font>
    <x:font>
      <x:b/>
      <x:sz val="12"/>
      <x:color rgb="FF00804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04B93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5" fillId="0" borderId="0" xfId="0" applyNumberFormat="1" applyFont="1" applyFill="1" applyBorder="1"/>
    <x:xf numFmtId="0" fontId="2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3" borderId="0" xfId="0" applyNumberFormat="1" applyFont="1" applyFill="1" applyBorder="1"/>
    <x:xf numFmtId="200" fontId="7" fillId="3" borderId="0" xfId="0" applyNumberFormat="1" applyFont="1" applyFill="1" applyBorder="1"/>
    <x:xf numFmtId="200" fontId="2" fillId="3" borderId="0" xfId="0" applyNumberFormat="1" applyFont="1" applyFill="1" applyBorder="1"/>
    <x:xf numFmtId="200" fontId="6" fillId="3" borderId="0" xfId="0" applyNumberFormat="1" applyFont="1" applyFill="1" applyBorder="1"/>
    <x:xf numFmtId="201" fontId="8" fillId="0" borderId="0" xfId="0" applyNumberFormat="1" applyFont="1" applyFill="1" applyBorder="1"/>
    <x:xf numFmtId="200" fontId="9" fillId="3" borderId="0" xfId="0" applyNumberFormat="1" applyFont="1" applyFill="1" applyBorder="1"/>
    <x:xf numFmtId="200" fontId="10" fillId="0" borderId="0" xfId="0" applyNumberFormat="1" applyFont="1" applyFill="1" applyBorder="1"/>
    <x:xf numFmtId="200" fontId="8" fillId="0" borderId="0" xfId="0" applyNumberFormat="1" applyFont="1" applyFill="1" applyBorder="1"/>
    <x:xf numFmtId="200" fontId="11" fillId="0" borderId="0" xfId="0" applyNumberFormat="1" applyFont="1" applyFill="1" applyBorder="1"/>
    <x:xf numFmtId="201" fontId="10" fillId="0" borderId="0" xfId="0" applyNumberFormat="1" applyFont="1" applyFill="1" applyBorder="1"/>
    <x:xf numFmtId="201" fontId="11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200" fontId="8" fillId="3" borderId="0" xfId="0" applyNumberFormat="1" applyFont="1" applyFill="1" applyBorder="1"/>
    <x:xf numFmtId="200" fontId="11" fillId="3" borderId="0" xfId="0" applyNumberFormat="1" applyFont="1" applyFill="1" applyBorder="1"/>
    <x:xf numFmtId="200" fontId="12" fillId="3" borderId="0" xfId="0" applyNumberFormat="1" applyFont="1" applyFill="1" applyBorder="1"/>
    <x:xf numFmtId="203" fontId="8" fillId="0" borderId="0" xfId="0" applyNumberFormat="1" applyFont="1" applyFill="1" applyBorder="1"/>
    <x:xf numFmtId="203" fontId="11" fillId="0" borderId="0" xfId="0" applyNumberFormat="1" applyFont="1" applyFill="1" applyBorder="1"/>
    <x:xf numFmtId="203" fontId="8" fillId="3" borderId="0" xfId="0" applyNumberFormat="1" applyFont="1" applyFill="1" applyBorder="1"/>
    <x:xf numFmtId="203" fontId="9" fillId="3" borderId="0" xfId="0" applyNumberFormat="1" applyFont="1" applyFill="1" applyBorder="1"/>
    <x:xf numFmtId="0" fontId="11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3" fontId="11" fillId="3" borderId="0" xfId="0" applyNumberFormat="1" applyFont="1" applyFill="1" applyBorder="1"/>
    <x:xf numFmtId="203" fontId="12" fillId="3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1ab22bf1f48d1" /><Relationship Type="http://schemas.openxmlformats.org/officeDocument/2006/relationships/theme" Target="/xl/theme/theme1.xml" Id="R4b61c8ad78674a4e" /><Relationship Type="http://schemas.openxmlformats.org/officeDocument/2006/relationships/sharedStrings" Target="/xl/sharedStrings.xml" Id="R0536ef712cc64dc3" /><Relationship Type="http://schemas.openxmlformats.org/officeDocument/2006/relationships/worksheet" Target="/xl/worksheets/sheet1.xml" Id="R1f31dc7529f541e9" /><Relationship Type="http://schemas.openxmlformats.org/officeDocument/2006/relationships/worksheet" Target="/xl/worksheets/sheet2.xml" Id="Rdcce26da1c32469a" /><Relationship Type="http://schemas.openxmlformats.org/officeDocument/2006/relationships/worksheet" Target="/xl/worksheets/sheet3.xml" Id="Rc6e96c583d60406c" /><Relationship Type="http://schemas.openxmlformats.org/officeDocument/2006/relationships/worksheet" Target="/xl/worksheets/sheet4.xml" Id="R913a4f601861437d" /><Relationship Type="http://schemas.openxmlformats.org/officeDocument/2006/relationships/worksheet" Target="/xl/worksheets/sheet5.xml" Id="Rc8a6131343904373" /><Relationship Type="http://schemas.openxmlformats.org/officeDocument/2006/relationships/worksheet" Target="/xl/worksheets/sheet6.xml" Id="Rdaf7a58852c14aad" /><Relationship Type="http://schemas.openxmlformats.org/officeDocument/2006/relationships/worksheet" Target="/xl/worksheets/sheet7.xml" Id="R8c1c945a46334a6f" /><Relationship Type="http://schemas.openxmlformats.org/officeDocument/2006/relationships/worksheet" Target="/xl/worksheets/sheet8.xml" Id="R87a21715e506498d" /><Relationship Type="http://schemas.openxmlformats.org/officeDocument/2006/relationships/worksheet" Target="/xl/worksheets/sheet9.xml" Id="R7fcb563c955d43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Summary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Valuation date</x:v>
      </x:c>
      <x:c r="B3" s="17" t="str">
        <x:v>2026-08-31</x:v>
      </x:c>
      <x:c r="C3" s="6"/>
      <x:c r="D3" s="6"/>
      <x:c r="E3" s="6"/>
      <x:c r="F3" s="6"/>
    </x:row>
    <x:row r="4" ht="24" customHeight="1">
      <x:c r="A4" s="11" t="str">
        <x:v>Model value per share</x:v>
      </x:c>
      <x:c r="B4" s="34" t="n">
        <x:f>Valuation!B16</x:f>
        <x:v>125.93778547805654</x:v>
      </x:c>
      <x:c r="C4" s="14"/>
      <x:c r="D4" s="14"/>
      <x:c r="E4" s="14"/>
      <x:c r="F4" s="14"/>
    </x:row>
    <x:row r="5" ht="24" customHeight="1">
      <x:c r="A5" s="2" t="str">
        <x:v>Observed share price</x:v>
      </x:c>
      <x:c r="B5" s="28" t="n">
        <x:f>Valuation!B17</x:f>
        <x:v>145.12</x:v>
      </x:c>
      <x:c r="C5" s="6"/>
      <x:c r="D5" s="6"/>
      <x:c r="E5" s="6"/>
      <x:c r="F5" s="6"/>
    </x:row>
    <x:row r="6" ht="24" customHeight="1">
      <x:c r="A6" s="2" t="str">
        <x:v>Upside / (downside)</x:v>
      </x:c>
      <x:c r="B6" s="21" t="n">
        <x:f>Valuation!B18</x:f>
        <x:v>-0.1321817428469092</x:v>
      </x:c>
      <x:c r="C6" s="6"/>
      <x:c r="D6" s="6"/>
      <x:c r="E6" s="6"/>
      <x:c r="F6" s="6"/>
    </x:row>
    <x:row r="7" ht="24" customHeight="1">
      <x:c r="A7" s="2" t="str">
        <x:v>Selected scenario</x:v>
      </x:c>
      <x:c r="B7" s="19" t="str">
        <x:f>CHOOSE(Drivers!B3,"Bear","Base","Bull")</x:f>
        <x:v>Base</x:v>
      </x:c>
      <x:c r="C7" s="6"/>
      <x:c r="D7" s="6"/>
      <x:c r="E7" s="6"/>
      <x:c r="F7" s="6"/>
    </x:row>
    <x:row r="8" ht="24" customHeight="1">
      <x:c r="A8" s="2" t="str">
        <x:v>FY2026 revenue ($m)</x:v>
      </x:c>
      <x:c r="B8" s="19" t="n">
        <x:f>Historical!F4</x:f>
        <x:v>87032</x:v>
      </x:c>
      <x:c r="C8" s="6"/>
      <x:c r="D8" s="6"/>
      <x:c r="E8" s="6"/>
      <x:c r="F8" s="6"/>
    </x:row>
    <x:row r="9" ht="24" customHeight="1">
      <x:c r="A9" s="2" t="str">
        <x:v>FY2026 operating margin</x:v>
      </x:c>
      <x:c r="B9" s="21" t="n">
        <x:f>Historical!F26</x:f>
        <x:v>0.22690504641970768</x:v>
      </x:c>
      <x:c r="C9" s="6"/>
      <x:c r="D9" s="6"/>
      <x:c r="E9" s="6"/>
      <x:c r="F9" s="6"/>
    </x:row>
    <x:row r="10" ht="24" customHeight="1">
      <x:c r="A10" s="2" t="str">
        <x:v>FY2026 CFO − capex ($m)</x:v>
      </x:c>
      <x:c r="B10" s="19" t="n">
        <x:f>Historical!F27</x:f>
        <x:v>15147</x:v>
      </x:c>
      <x:c r="C10" s="6"/>
      <x:c r="D10" s="6"/>
      <x:c r="E10" s="6"/>
      <x:c r="F10" s="6"/>
    </x:row>
    <x:row r="11" ht="24" customHeight="1">
      <x:c r="A11" s="2" t="str">
        <x:v>WACC</x:v>
      </x:c>
      <x:c r="B11" s="21" t="n">
        <x:f>Drivers!B24</x:f>
        <x:v>0.07296362558895521</x:v>
      </x:c>
      <x:c r="C11" s="6"/>
      <x:c r="D11" s="6"/>
      <x:c r="E11" s="6"/>
      <x:c r="F11" s="6"/>
    </x:row>
    <x:row r="12" ht="24" customHeight="1">
      <x:c r="A12" s="2" t="str">
        <x:v>Terminal value dependence</x:v>
      </x:c>
      <x:c r="B12" s="21" t="n">
        <x:f>Valuation!B19</x:f>
        <x:v>0.8058002231566391</x:v>
      </x:c>
      <x:c r="C12" s="6"/>
      <x:c r="D12" s="6"/>
      <x:c r="E12" s="6"/>
      <x:c r="F12" s="6"/>
    </x:row>
    <x:row r="13" ht="24" customHeight="1">
      <x:c r="A13" s="2" t="str">
        <x:v>Maximum balance check</x:v>
      </x:c>
      <x:c r="B13" s="19" t="n">
        <x:f>MAX(ABS(Forecast!B28),ABS(Forecast!C28),ABS(Forecast!D28),ABS(Forecast!E28),ABS(Forecast!F28))</x:f>
        <x:v>0</x:v>
      </x:c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32" t="str">
        <x:v>Change Drivers B3 to compare cases. Blue cells are inputs; green cells link to another sheet. Forecasts are analyst assumptions. This is a historical valuation exercise, not a live price target.</x:v>
      </x:c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Drivers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Scenario: 1 Bear / 2 Base / 3 Bull</x:v>
      </x:c>
      <x:c r="B3" s="22" t="n">
        <x:v>2</x:v>
      </x:c>
      <x:c r="C3" s="6"/>
      <x:c r="D3" s="6"/>
      <x:c r="E3" s="6"/>
      <x:c r="F3" s="6"/>
    </x:row>
    <x:row r="4" ht="24" customHeight="1">
      <x:c r="A4" s="2" t="str">
        <x:v>Share price on 31 Aug 2026</x:v>
      </x:c>
      <x:c r="B4" s="23" t="n">
        <x:v>145.12</x:v>
      </x:c>
      <x:c r="C4" s="6"/>
      <x:c r="D4" s="6"/>
      <x:c r="E4" s="6"/>
      <x:c r="F4" s="6"/>
    </x:row>
    <x:row r="5" ht="24" customHeight="1">
      <x:c r="A5" s="2" t="str">
        <x:v>US 10-year Treasury yield</x:v>
      </x:c>
      <x:c r="B5" s="20" t="n">
        <x:v>0.0475</x:v>
      </x:c>
      <x:c r="C5" s="6"/>
      <x:c r="D5" s="6"/>
      <x:c r="E5" s="6"/>
      <x:c r="F5" s="6"/>
    </x:row>
    <x:row r="6" ht="24" customHeight="1">
      <x:c r="A6" s="2" t="str">
        <x:v>Equity beta — analyst assumption</x:v>
      </x:c>
      <x:c r="B6" s="17" t="n">
        <x:v>0.65</x:v>
      </x:c>
      <x:c r="C6" s="6"/>
      <x:c r="D6" s="6"/>
      <x:c r="E6" s="6"/>
      <x:c r="F6" s="6"/>
    </x:row>
    <x:row r="7" ht="24" customHeight="1">
      <x:c r="A7" s="2" t="str">
        <x:v>Equity risk premium — assumption</x:v>
      </x:c>
      <x:c r="B7" s="20" t="n">
        <x:v>0.045</x:v>
      </x:c>
      <x:c r="C7" s="6"/>
      <x:c r="D7" s="6"/>
      <x:c r="E7" s="6"/>
      <x:c r="F7" s="6"/>
    </x:row>
    <x:row r="8" ht="24" customHeight="1">
      <x:c r="A8" s="2" t="str">
        <x:v>Cost of debt — assumption</x:v>
      </x:c>
      <x:c r="B8" s="20" t="n">
        <x:v>0.045</x:v>
      </x:c>
      <x:c r="C8" s="6"/>
      <x:c r="D8" s="6"/>
      <x:c r="E8" s="6"/>
      <x:c r="F8" s="6"/>
    </x:row>
    <x:row r="9" ht="24" customHeight="1">
      <x:c r="A9" s="2" t="str">
        <x:v>Forecast effective tax rate</x:v>
      </x:c>
      <x:c r="B9" s="20" t="n">
        <x:v>0.21</x:v>
      </x:c>
      <x:c r="C9" s="6"/>
      <x:c r="D9" s="6"/>
      <x:c r="E9" s="6"/>
      <x:c r="F9" s="6"/>
    </x:row>
    <x:row r="10" ht="24" customHeight="1">
      <x:c r="A10" s="2" t="str">
        <x:v>Terminal growth</x:v>
      </x:c>
      <x:c r="B10" s="20" t="n">
        <x:v>0.025</x:v>
      </x:c>
      <x:c r="C10" s="6"/>
      <x:c r="D10" s="6"/>
      <x:c r="E10" s="6"/>
      <x:c r="F10" s="6"/>
    </x:row>
    <x:row r="11" ht="24" customHeight="1">
      <x:c r="A11" s="2" t="str">
        <x:v>Common shares outstanding (m)</x:v>
      </x:c>
      <x:c r="B11" s="17" t="n">
        <x:v>2324.43306</x:v>
      </x:c>
      <x:c r="C11" s="6"/>
      <x:c r="D11" s="6"/>
      <x:c r="E11" s="6"/>
      <x:c r="F11" s="6"/>
    </x:row>
    <x:row r="12" ht="24" customHeight="1">
      <x:c r="A12" s="2" t="str">
        <x:v>Preferred conversion shares (m)</x:v>
      </x:c>
      <x:c r="B12" s="17" t="n">
        <x:v>68.3</x:v>
      </x:c>
      <x:c r="C12" s="6"/>
      <x:c r="D12" s="6"/>
      <x:c r="E12" s="6"/>
      <x:c r="F12" s="6"/>
    </x:row>
    <x:row r="13" ht="24" customHeight="1">
      <x:c r="A13" s="2" t="str">
        <x:v>Incremental dilution proxy (m)</x:v>
      </x:c>
      <x:c r="B13" s="17" t="n">
        <x:v>20.5</x:v>
      </x:c>
      <x:c r="C13" s="6"/>
      <x:c r="D13" s="6"/>
      <x:c r="E13" s="6"/>
      <x:c r="F13" s="6"/>
    </x:row>
    <x:row r="14" ht="24" customHeight="1">
      <x:c r="A14" s="2" t="str">
        <x:v>Diluted share denominator (m)</x:v>
      </x:c>
      <x:c r="B14" s="18" t="n">
        <x:f>SUM(B11:B13)</x:f>
        <x:v>2413.23306</x:v>
      </x:c>
      <x:c r="C14" s="6"/>
      <x:c r="D14" s="6"/>
      <x:c r="E14" s="6"/>
      <x:c r="F14" s="6"/>
    </x:row>
    <x:row r="15" ht="24" customHeight="1">
      <x:c r="A15" s="2" t="str">
        <x:v>Short-term investments ($m)</x:v>
      </x:c>
      <x:c r="B15" s="17" t="n">
        <x:v>0</x:v>
      </x:c>
      <x:c r="C15" s="6"/>
      <x:c r="D15" s="6"/>
      <x:c r="E15" s="6"/>
      <x:c r="F15" s="6"/>
    </x:row>
    <x:row r="16" ht="24" customHeight="1">
      <x:c r="A16" s="2" t="str">
        <x:v>Noncontrolling interest ($m)</x:v>
      </x:c>
      <x:c r="B16" s="17" t="n">
        <x:v>230</x:v>
      </x:c>
      <x:c r="C16" s="6"/>
      <x:c r="D16" s="6"/>
      <x:c r="E16" s="6"/>
      <x:c r="F16" s="6"/>
    </x:row>
    <x:row r="17" ht="24" customHeight="1">
      <x:c r="A17" s="2" t="str">
        <x:v>Capital expenditure / sales</x:v>
      </x:c>
      <x:c r="B17" s="20" t="n">
        <x:v>0.05</x:v>
      </x:c>
      <x:c r="C17" s="6"/>
      <x:c r="D17" s="6"/>
      <x:c r="E17" s="6"/>
      <x:c r="F17" s="6"/>
    </x:row>
    <x:row r="18" ht="24" customHeight="1">
      <x:c r="A18" s="2" t="str">
        <x:v>D&amp;A / sales</x:v>
      </x:c>
      <x:c r="B18" s="21" t="n">
        <x:f>Historical!F14/Historical!F4</x:f>
        <x:v>0.036308484235683426</x:v>
      </x:c>
      <x:c r="C18" s="6"/>
      <x:c r="D18" s="6"/>
      <x:c r="E18" s="6"/>
      <x:c r="F18" s="6"/>
    </x:row>
    <x:row r="19" ht="24" customHeight="1">
      <x:c r="A19" s="2" t="str">
        <x:v>Share compensation / sales</x:v>
      </x:c>
      <x:c r="B19" s="21" t="n">
        <x:f>Historical!F15/Historical!F4</x:f>
        <x:v>0.006020773968195606</x:v>
      </x:c>
      <x:c r="C19" s="6"/>
      <x:c r="D19" s="6"/>
      <x:c r="E19" s="6"/>
      <x:c r="F19" s="6"/>
    </x:row>
    <x:row r="20" ht="24" customHeight="1">
      <x:c r="A20" s="2" t="str">
        <x:v>Cash dividends / net income</x:v>
      </x:c>
      <x:c r="B20" s="21" t="n">
        <x:f>Historical!F16/Historical!F10</x:f>
        <x:v>0.6337958374628345</x:v>
      </x:c>
      <x:c r="C20" s="6"/>
      <x:c r="D20" s="6"/>
      <x:c r="E20" s="6"/>
      <x:c r="F20" s="6"/>
    </x:row>
    <x:row r="21" ht="24" customHeight="1">
      <x:c r="A21" s="2" t="str">
        <x:v>Receivable days</x:v>
      </x:c>
      <x:c r="B21" s="19" t="n">
        <x:f>Historical!F18/Historical!F4*365</x:f>
        <x:v>25.398014523393694</x:v>
      </x:c>
      <x:c r="C21" s="6"/>
      <x:c r="D21" s="6"/>
      <x:c r="E21" s="6"/>
      <x:c r="F21" s="6"/>
    </x:row>
    <x:row r="22" ht="24" customHeight="1">
      <x:c r="A22" s="2" t="str">
        <x:v>Inventory days</x:v>
      </x:c>
      <x:c r="B22" s="19" t="n">
        <x:f>Historical!F19/Historical!F5*365</x:f>
        <x:v>68.77104377104378</x:v>
      </x:c>
      <x:c r="C22" s="6"/>
      <x:c r="D22" s="6"/>
      <x:c r="E22" s="6"/>
      <x:c r="F22" s="6"/>
    </x:row>
    <x:row r="23" ht="24" customHeight="1">
      <x:c r="A23" s="2" t="str">
        <x:v>Payable days</x:v>
      </x:c>
      <x:c r="B23" s="19" t="n">
        <x:f>Historical!F20/Historical!F5*365</x:f>
        <x:v>137.25589225589226</x:v>
      </x:c>
      <x:c r="C23" s="6"/>
      <x:c r="D23" s="6"/>
      <x:c r="E23" s="6"/>
      <x:c r="F23" s="6"/>
    </x:row>
    <x:row r="24" ht="24" customHeight="1">
      <x:c r="A24" s="2" t="str">
        <x:v>WACC</x:v>
      </x:c>
      <x:c r="B24" s="21" t="n">
        <x:f>((B5+B6*B7)*B4*B11+Historical!F24*B8*(1-B9))/(B4*B11+Historical!F24)</x:f>
        <x:v>0.07296362558895521</x:v>
      </x:c>
      <x:c r="C24" s="6"/>
      <x:c r="D24" s="6"/>
      <x:c r="E24" s="6"/>
      <x:c r="F24" s="6"/>
    </x:row>
    <x:row r="25" ht="24" customHeight="1">
      <x:c r="A25" s="2" t="str">
        <x:v>Elapsed FY2027 fraction</x:v>
      </x:c>
      <x:c r="B25" s="15" t="n">
        <x:f>62/365</x:f>
        <x:v>0.16986301369863013</x:v>
      </x:c>
      <x:c r="C25" s="6"/>
      <x:c r="D25" s="6"/>
      <x:c r="E25" s="6"/>
      <x:c r="F25" s="6"/>
    </x:row>
    <x:row r="26" ht="24" customHeight="1">
      <x:c r="A26" s="2" t="str">
        <x:v>Use constant growth: 0 No / 1 Yes</x:v>
      </x:c>
      <x:c r="B26" s="17" t="n">
        <x:v>0</x:v>
      </x:c>
      <x:c r="C26" s="6"/>
      <x:c r="D26" s="6"/>
      <x:c r="E26" s="6"/>
      <x:c r="F26" s="6"/>
    </x:row>
    <x:row r="27" ht="24" customHeight="1">
      <x:c r="A27" s="2" t="str">
        <x:v>Constant growth override</x:v>
      </x:c>
      <x:c r="B27" s="20" t="n">
        <x:v>0.058980999583570726</x:v>
      </x:c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11" t="str">
        <x:v>Revenue growth</x:v>
      </x:c>
      <x:c r="B29" s="37" t="n">
        <x:v>2027</x:v>
      </x:c>
      <x:c r="C29" s="37" t="n">
        <x:v>2028</x:v>
      </x:c>
      <x:c r="D29" s="37" t="n">
        <x:v>2029</x:v>
      </x:c>
      <x:c r="E29" s="37" t="n">
        <x:v>2030</x:v>
      </x:c>
      <x:c r="F29" s="37" t="n">
        <x:v>2031</x:v>
      </x:c>
    </x:row>
    <x:row r="30" ht="24" customHeight="1">
      <x:c r="A30" s="2" t="str">
        <x:v>Bear</x:v>
      </x:c>
      <x:c r="B30" s="20" t="n">
        <x:v>0.01</x:v>
      </x:c>
      <x:c r="C30" s="20" t="n">
        <x:v>0.01</x:v>
      </x:c>
      <x:c r="D30" s="20" t="n">
        <x:v>0.01</x:v>
      </x:c>
      <x:c r="E30" s="20" t="n">
        <x:v>0.01</x:v>
      </x:c>
      <x:c r="F30" s="20" t="n">
        <x:v>0.01</x:v>
      </x:c>
    </x:row>
    <x:row r="31" ht="24" customHeight="1">
      <x:c r="A31" s="2" t="str">
        <x:v>Base</x:v>
      </x:c>
      <x:c r="B31" s="20" t="n">
        <x:v>0.03</x:v>
      </x:c>
      <x:c r="C31" s="20" t="n">
        <x:v>0.03</x:v>
      </x:c>
      <x:c r="D31" s="20" t="n">
        <x:v>0.03</x:v>
      </x:c>
      <x:c r="E31" s="20" t="n">
        <x:v>0.03</x:v>
      </x:c>
      <x:c r="F31" s="20" t="n">
        <x:v>0.03</x:v>
      </x:c>
    </x:row>
    <x:row r="32" ht="24" customHeight="1">
      <x:c r="A32" s="2" t="str">
        <x:v>Bull</x:v>
      </x:c>
      <x:c r="B32" s="20" t="n">
        <x:v>0.05</x:v>
      </x:c>
      <x:c r="C32" s="20" t="n">
        <x:v>0.05</x:v>
      </x:c>
      <x:c r="D32" s="20" t="n">
        <x:v>0.05</x:v>
      </x:c>
      <x:c r="E32" s="20" t="n">
        <x:v>0.05</x:v>
      </x:c>
      <x:c r="F32" s="20" t="n">
        <x:v>0.05</x:v>
      </x:c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11" t="str">
        <x:v>Operating margin</x:v>
      </x:c>
      <x:c r="B34" s="37" t="n">
        <x:v>2027</x:v>
      </x:c>
      <x:c r="C34" s="37" t="n">
        <x:v>2028</x:v>
      </x:c>
      <x:c r="D34" s="37" t="n">
        <x:v>2029</x:v>
      </x:c>
      <x:c r="E34" s="37" t="n">
        <x:v>2030</x:v>
      </x:c>
      <x:c r="F34" s="37" t="n">
        <x:v>2031</x:v>
      </x:c>
    </x:row>
    <x:row r="35" ht="24" customHeight="1">
      <x:c r="A35" s="2" t="str">
        <x:v>Bear</x:v>
      </x:c>
      <x:c r="B35" s="20" t="n">
        <x:v>0.215</x:v>
      </x:c>
      <x:c r="C35" s="20" t="n">
        <x:v>0.215</x:v>
      </x:c>
      <x:c r="D35" s="20" t="n">
        <x:v>0.215</x:v>
      </x:c>
      <x:c r="E35" s="20" t="n">
        <x:v>0.215</x:v>
      </x:c>
      <x:c r="F35" s="20" t="n">
        <x:v>0.215</x:v>
      </x:c>
    </x:row>
    <x:row r="36" ht="24" customHeight="1">
      <x:c r="A36" s="2" t="str">
        <x:v>Base</x:v>
      </x:c>
      <x:c r="B36" s="20" t="n">
        <x:v>0.227</x:v>
      </x:c>
      <x:c r="C36" s="20" t="n">
        <x:v>0.23</x:v>
      </x:c>
      <x:c r="D36" s="20" t="n">
        <x:v>0.232</x:v>
      </x:c>
      <x:c r="E36" s="20" t="n">
        <x:v>0.234</x:v>
      </x:c>
      <x:c r="F36" s="20" t="n">
        <x:v>0.235</x:v>
      </x:c>
    </x:row>
    <x:row r="37" ht="24" customHeight="1">
      <x:c r="A37" s="2" t="str">
        <x:v>Bull</x:v>
      </x:c>
      <x:c r="B37" s="20" t="n">
        <x:v>0.235</x:v>
      </x:c>
      <x:c r="C37" s="20" t="n">
        <x:v>0.24</x:v>
      </x:c>
      <x:c r="D37" s="20" t="n">
        <x:v>0.245</x:v>
      </x:c>
      <x:c r="E37" s="20" t="n">
        <x:v>0.25</x:v>
      </x:c>
      <x:c r="F37" s="20" t="n">
        <x:v>0.25</x:v>
      </x:c>
    </x:row>
    <x:row r="38" ht="24" customHeight="1">
      <x:c r="A38" s="2"/>
      <x:c r="B38" s="6"/>
      <x:c r="C38" s="6"/>
      <x:c r="D38" s="6"/>
      <x:c r="E38" s="6"/>
      <x:c r="F38" s="6"/>
    </x:row>
    <x:row r="39" ht="24" customHeight="1">
      <x:c r="A39" s="2"/>
      <x:c r="B39" s="6"/>
      <x:c r="C39" s="6"/>
      <x:c r="D39" s="6"/>
      <x:c r="E39" s="6"/>
      <x:c r="F39" s="6"/>
    </x:row>
    <x:row r="40" ht="24" customHeight="1">
      <x:c r="A40" s="2"/>
      <x:c r="B40" s="6"/>
      <x:c r="C40" s="6"/>
      <x:c r="D40" s="6"/>
      <x:c r="E40" s="6"/>
      <x:c r="F40" s="6"/>
    </x:row>
  </x:sheetData>
  <x:mergeCells>
    <x:mergeCell ref="A1:F1"/>
  </x:mergeCells>
  <x:dataValidations count="2">
    <x:dataValidation type="list" sqref="B3">
      <x:formula1>"1,2,3"</x:formula1>
    </x:dataValidation>
    <x:dataValidation type="list" sqref="B26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Historical</x:v>
      </x:c>
      <x:c r="B1" s="5"/>
      <x:c r="C1" s="5"/>
      <x:c r="D1" s="5"/>
      <x:c r="E1" s="5"/>
      <x:c r="F1" s="5"/>
    </x:row>
    <x:row r="2" ht="24" customHeight="1">
      <x:c r="A2" s="2" t="str">
        <x:v>Reported annual financials | USD millions except ratios</x:v>
      </x:c>
      <x:c r="B2" s="2"/>
      <x:c r="C2" s="2"/>
      <x:c r="D2" s="2"/>
      <x:c r="E2" s="2"/>
      <x:c r="F2" s="2"/>
    </x:row>
    <x:row r="3" ht="24" customHeight="1">
      <x:c r="A3" s="2"/>
      <x:c r="B3" s="36" t="n">
        <x:v>2022</x:v>
      </x:c>
      <x:c r="C3" s="36" t="n">
        <x:v>2023</x:v>
      </x:c>
      <x:c r="D3" s="36" t="n">
        <x:v>2024</x:v>
      </x:c>
      <x:c r="E3" s="36" t="n">
        <x:v>2025</x:v>
      </x:c>
      <x:c r="F3" s="36" t="n">
        <x:v>2026</x:v>
      </x:c>
    </x:row>
    <x:row r="4" ht="24" customHeight="1">
      <x:c r="A4" s="11" t="str">
        <x:v>Revenue</x:v>
      </x:c>
      <x:c r="B4" s="12" t="n">
        <x:v>80187</x:v>
      </x:c>
      <x:c r="C4" s="12" t="n">
        <x:v>82006</x:v>
      </x:c>
      <x:c r="D4" s="12" t="n">
        <x:v>84039</x:v>
      </x:c>
      <x:c r="E4" s="12" t="n">
        <x:v>84284</x:v>
      </x:c>
      <x:c r="F4" s="12" t="n">
        <x:v>87032</x:v>
      </x:c>
    </x:row>
    <x:row r="5" ht="24" customHeight="1">
      <x:c r="A5" s="2" t="str">
        <x:v>Cost of sales</x:v>
      </x:c>
      <x:c r="B5" s="6" t="n">
        <x:v>42157</x:v>
      </x:c>
      <x:c r="C5" s="6" t="n">
        <x:v>42760</x:v>
      </x:c>
      <x:c r="D5" s="6" t="n">
        <x:v>40848</x:v>
      </x:c>
      <x:c r="E5" s="6" t="n">
        <x:v>41164</x:v>
      </x:c>
      <x:c r="F5" s="6" t="n">
        <x:v>43362</x:v>
      </x:c>
    </x:row>
    <x:row r="6" ht="24" customHeight="1">
      <x:c r="A6" s="2" t="str">
        <x:v>Selling &amp; administration</x:v>
      </x:c>
      <x:c r="B6" s="6" t="n">
        <x:v>20217</x:v>
      </x:c>
      <x:c r="C6" s="6" t="n">
        <x:v>21112</x:v>
      </x:c>
      <x:c r="D6" s="6" t="n">
        <x:v>23305</x:v>
      </x:c>
      <x:c r="E6" s="6" t="n">
        <x:v>22669</x:v>
      </x:c>
      <x:c r="F6" s="6" t="n">
        <x:v>23922</x:v>
      </x:c>
    </x:row>
    <x:row r="7" ht="24" customHeight="1">
      <x:c r="A7" s="11" t="str">
        <x:v>Operating profit (EBIT)</x:v>
      </x:c>
      <x:c r="B7" s="14" t="n">
        <x:v>17813</x:v>
      </x:c>
      <x:c r="C7" s="14" t="n">
        <x:v>18134</x:v>
      </x:c>
      <x:c r="D7" s="14" t="n">
        <x:v>18545</x:v>
      </x:c>
      <x:c r="E7" s="14" t="n">
        <x:v>20451</x:v>
      </x:c>
      <x:c r="F7" s="14" t="n">
        <x:v>19748</x:v>
      </x:c>
    </x:row>
    <x:row r="8" ht="24" customHeight="1">
      <x:c r="A8" s="2" t="str">
        <x:v>Profit before tax</x:v>
      </x:c>
      <x:c r="B8" s="6" t="n">
        <x:v>17995</x:v>
      </x:c>
      <x:c r="C8" s="6" t="n">
        <x:v>18353</x:v>
      </x:c>
      <x:c r="D8" s="6" t="n">
        <x:v>18761</x:v>
      </x:c>
      <x:c r="E8" s="6" t="n">
        <x:v>20167</x:v>
      </x:c>
      <x:c r="F8" s="6" t="n">
        <x:v>20377</x:v>
      </x:c>
    </x:row>
    <x:row r="9" ht="24" customHeight="1">
      <x:c r="A9" s="2" t="str">
        <x:v>Income tax</x:v>
      </x:c>
      <x:c r="B9" s="6" t="n">
        <x:v>3202</x:v>
      </x:c>
      <x:c r="C9" s="6" t="n">
        <x:v>3615</x:v>
      </x:c>
      <x:c r="D9" s="6" t="n">
        <x:v>3787</x:v>
      </x:c>
      <x:c r="E9" s="6" t="n">
        <x:v>4102</x:v>
      </x:c>
      <x:c r="F9" s="6" t="n">
        <x:v>4233</x:v>
      </x:c>
    </x:row>
    <x:row r="10" ht="24" customHeight="1">
      <x:c r="A10" s="2" t="str">
        <x:v>Consolidated net income</x:v>
      </x:c>
      <x:c r="B10" s="6" t="n">
        <x:v>14793</x:v>
      </x:c>
      <x:c r="C10" s="6" t="n">
        <x:v>14738</x:v>
      </x:c>
      <x:c r="D10" s="6" t="n">
        <x:v>14974</x:v>
      </x:c>
      <x:c r="E10" s="6" t="n">
        <x:v>16065</x:v>
      </x:c>
      <x:c r="F10" s="6" t="n">
        <x:v>16144</x:v>
      </x:c>
    </x:row>
    <x:row r="11" ht="24" customHeight="1">
      <x:c r="A11" s="2" t="str">
        <x:v>Net income attributable to parent</x:v>
      </x:c>
      <x:c r="B11" s="6" t="n">
        <x:v>14742</x:v>
      </x:c>
      <x:c r="C11" s="6" t="n">
        <x:v>14653</x:v>
      </x:c>
      <x:c r="D11" s="6" t="n">
        <x:v>14879</x:v>
      </x:c>
      <x:c r="E11" s="6" t="n">
        <x:v>15974</x:v>
      </x:c>
      <x:c r="F11" s="6" t="n">
        <x:v>16046</x:v>
      </x:c>
    </x:row>
    <x:row r="12" ht="24" customHeight="1">
      <x:c r="A12" s="11" t="str">
        <x:v>Cash from operations</x:v>
      </x:c>
      <x:c r="B12" s="14" t="n">
        <x:v>16723</x:v>
      </x:c>
      <x:c r="C12" s="14" t="n">
        <x:v>16848</x:v>
      </x:c>
      <x:c r="D12" s="14" t="n">
        <x:v>19846</x:v>
      </x:c>
      <x:c r="E12" s="14" t="n">
        <x:v>17817</x:v>
      </x:c>
      <x:c r="F12" s="14" t="n">
        <x:v>19556</x:v>
      </x:c>
    </x:row>
    <x:row r="13" ht="24" customHeight="1">
      <x:c r="A13" s="2" t="str">
        <x:v>Capital expenditure</x:v>
      </x:c>
      <x:c r="B13" s="6" t="n">
        <x:v>3156</x:v>
      </x:c>
      <x:c r="C13" s="6" t="n">
        <x:v>3062</x:v>
      </x:c>
      <x:c r="D13" s="6" t="n">
        <x:v>3322</x:v>
      </x:c>
      <x:c r="E13" s="6" t="n">
        <x:v>3773</x:v>
      </x:c>
      <x:c r="F13" s="6" t="n">
        <x:v>4409</x:v>
      </x:c>
    </x:row>
    <x:row r="14" ht="24" customHeight="1">
      <x:c r="A14" s="2" t="str">
        <x:v>Depreciation &amp; amortisation</x:v>
      </x:c>
      <x:c r="B14" s="6" t="n">
        <x:v>2807</x:v>
      </x:c>
      <x:c r="C14" s="6" t="n">
        <x:v>2714</x:v>
      </x:c>
      <x:c r="D14" s="6" t="n">
        <x:v>2896</x:v>
      </x:c>
      <x:c r="E14" s="6" t="n">
        <x:v>2847</x:v>
      </x:c>
      <x:c r="F14" s="6" t="n">
        <x:v>3160</x:v>
      </x:c>
    </x:row>
    <x:row r="15" ht="24" customHeight="1">
      <x:c r="A15" s="2" t="str">
        <x:v>Share-based compensation</x:v>
      </x:c>
      <x:c r="B15" s="6" t="n">
        <x:v>528</x:v>
      </x:c>
      <x:c r="C15" s="6" t="n">
        <x:v>545</x:v>
      </x:c>
      <x:c r="D15" s="6" t="n">
        <x:v>562</x:v>
      </x:c>
      <x:c r="E15" s="6" t="n">
        <x:v>476</x:v>
      </x:c>
      <x:c r="F15" s="6" t="n">
        <x:v>524</x:v>
      </x:c>
    </x:row>
    <x:row r="16" ht="24" customHeight="1">
      <x:c r="A16" s="2" t="str">
        <x:v>Cash dividends paid</x:v>
      </x:c>
      <x:c r="B16" s="6" t="n">
        <x:v>8770</x:v>
      </x:c>
      <x:c r="C16" s="6" t="n">
        <x:v>8999</x:v>
      </x:c>
      <x:c r="D16" s="6" t="n">
        <x:v>9312</x:v>
      </x:c>
      <x:c r="E16" s="6" t="n">
        <x:v>9872</x:v>
      </x:c>
      <x:c r="F16" s="6" t="n">
        <x:v>10232</x:v>
      </x:c>
    </x:row>
    <x:row r="17" ht="24" customHeight="1">
      <x:c r="A17" s="2" t="str">
        <x:v>Cash &amp; equivalents</x:v>
      </x:c>
      <x:c r="B17" s="6" t="n">
        <x:v>7214</x:v>
      </x:c>
      <x:c r="C17" s="6" t="n">
        <x:v>8246</x:v>
      </x:c>
      <x:c r="D17" s="6" t="n">
        <x:v>9482</x:v>
      </x:c>
      <x:c r="E17" s="6" t="n">
        <x:v>9556</x:v>
      </x:c>
      <x:c r="F17" s="6" t="n">
        <x:v>9942</x:v>
      </x:c>
    </x:row>
    <x:row r="18" ht="24" customHeight="1">
      <x:c r="A18" s="2" t="str">
        <x:v>Accounts receivable</x:v>
      </x:c>
      <x:c r="B18" s="6" t="n">
        <x:v>5143</x:v>
      </x:c>
      <x:c r="C18" s="6" t="n">
        <x:v>5471</x:v>
      </x:c>
      <x:c r="D18" s="6" t="n">
        <x:v>6118</x:v>
      </x:c>
      <x:c r="E18" s="6" t="n">
        <x:v>6185</x:v>
      </x:c>
      <x:c r="F18" s="6" t="n">
        <x:v>6056</x:v>
      </x:c>
    </x:row>
    <x:row r="19" ht="24" customHeight="1">
      <x:c r="A19" s="2" t="str">
        <x:v>Inventory</x:v>
      </x:c>
      <x:c r="B19" s="6" t="n">
        <x:v>6924</x:v>
      </x:c>
      <x:c r="C19" s="6" t="n">
        <x:v>7073</x:v>
      </x:c>
      <x:c r="D19" s="6" t="n">
        <x:v>7016</x:v>
      </x:c>
      <x:c r="E19" s="6" t="n">
        <x:v>7551</x:v>
      </x:c>
      <x:c r="F19" s="6" t="n">
        <x:v>8170</x:v>
      </x:c>
    </x:row>
    <x:row r="20" ht="24" customHeight="1">
      <x:c r="A20" s="2" t="str">
        <x:v>Accounts payable</x:v>
      </x:c>
      <x:c r="B20" s="6" t="n">
        <x:v>14882</x:v>
      </x:c>
      <x:c r="C20" s="6" t="n">
        <x:v>14598</x:v>
      </x:c>
      <x:c r="D20" s="6" t="n">
        <x:v>15364</x:v>
      </x:c>
      <x:c r="E20" s="6" t="n">
        <x:v>15227</x:v>
      </x:c>
      <x:c r="F20" s="6" t="n">
        <x:v>16306</x:v>
      </x:c>
    </x:row>
    <x:row r="21" ht="24" customHeight="1">
      <x:c r="A21" s="11" t="str">
        <x:v>Total assets</x:v>
      </x:c>
      <x:c r="B21" s="14" t="n">
        <x:v>117208</x:v>
      </x:c>
      <x:c r="C21" s="14" t="n">
        <x:v>120829</x:v>
      </x:c>
      <x:c r="D21" s="14" t="n">
        <x:v>122370</x:v>
      </x:c>
      <x:c r="E21" s="14" t="n">
        <x:v>125231</x:v>
      </x:c>
      <x:c r="F21" s="14" t="n">
        <x:v>126521</x:v>
      </x:c>
    </x:row>
    <x:row r="22" ht="24" customHeight="1">
      <x:c r="A22" s="2" t="str">
        <x:v>Total liabilities</x:v>
      </x:c>
      <x:c r="B22" s="6" t="n">
        <x:v>70354</x:v>
      </x:c>
      <x:c r="C22" s="6" t="n">
        <x:v>73764</x:v>
      </x:c>
      <x:c r="D22" s="6" t="n">
        <x:v>71811</x:v>
      </x:c>
      <x:c r="E22" s="6" t="n">
        <x:v>72947</x:v>
      </x:c>
      <x:c r="F22" s="6" t="n">
        <x:v>72210</x:v>
      </x:c>
    </x:row>
    <x:row r="23" ht="24" customHeight="1">
      <x:c r="A23" s="2" t="str">
        <x:v>Equity including noncontrolling</x:v>
      </x:c>
      <x:c r="B23" s="6" t="n">
        <x:v>46854</x:v>
      </x:c>
      <x:c r="C23" s="6" t="n">
        <x:v>47065</x:v>
      </x:c>
      <x:c r="D23" s="6" t="n">
        <x:v>50559</x:v>
      </x:c>
      <x:c r="E23" s="6" t="n">
        <x:v>52284</x:v>
      </x:c>
      <x:c r="F23" s="6" t="n">
        <x:v>54311</x:v>
      </x:c>
    </x:row>
    <x:row r="24" ht="24" customHeight="1">
      <x:c r="A24" s="11" t="str">
        <x:v>Interest-bearing debt</x:v>
      </x:c>
      <x:c r="B24" s="14" t="n">
        <x:v>31493</x:v>
      </x:c>
      <x:c r="C24" s="14" t="n">
        <x:v>34607</x:v>
      </x:c>
      <x:c r="D24" s="14" t="n">
        <x:v>32460</x:v>
      </x:c>
      <x:c r="E24" s="14" t="n">
        <x:v>34508</x:v>
      </x:c>
      <x:c r="F24" s="14" t="n">
        <x:v>34138</x:v>
      </x:c>
    </x:row>
    <x:row r="25" ht="24" customHeight="1">
      <x:c r="A25" s="2" t="str">
        <x:v>Gross margin</x:v>
      </x:c>
      <x:c r="B25" s="15" t="n">
        <x:f>1-B5/B4</x:f>
        <x:v>0.47426640228465966</x:v>
      </x:c>
      <x:c r="C25" s="15" t="n">
        <x:f>1-C5/C4</x:f>
        <x:v>0.4785747384337732</x:v>
      </x:c>
      <x:c r="D25" s="15" t="n">
        <x:f>1-D5/D4</x:f>
        <x:v>0.5139399564487916</x:v>
      </x:c>
      <x:c r="E25" s="15" t="n">
        <x:f>1-E5/E4</x:f>
        <x:v>0.5116036258364577</x:v>
      </x:c>
      <x:c r="F25" s="15" t="n">
        <x:f>1-F5/F4</x:f>
        <x:v>0.5017694641051567</x:v>
      </x:c>
    </x:row>
    <x:row r="26" ht="24" customHeight="1">
      <x:c r="A26" s="2" t="str">
        <x:v>Operating margin</x:v>
      </x:c>
      <x:c r="B26" s="15" t="n">
        <x:f>B7/B4</x:f>
        <x:v>0.22214324017608839</x:v>
      </x:c>
      <x:c r="C26" s="15" t="n">
        <x:f>C7/C4</x:f>
        <x:v>0.2211301612077165</x:v>
      </x:c>
      <x:c r="D26" s="15" t="n">
        <x:f>D7/D4</x:f>
        <x:v>0.22067135496614668</x:v>
      </x:c>
      <x:c r="E26" s="15" t="n">
        <x:f>E7/E4</x:f>
        <x:v>0.24264391818138675</x:v>
      </x:c>
      <x:c r="F26" s="15" t="n">
        <x:f>F7/F4</x:f>
        <x:v>0.22690504641970768</x:v>
      </x:c>
    </x:row>
    <x:row r="27" ht="24" customHeight="1">
      <x:c r="A27" s="11" t="str">
        <x:v>Operating cash flow − capex</x:v>
      </x:c>
      <x:c r="B27" s="16" t="n">
        <x:f>B12-B13</x:f>
        <x:v>13567</x:v>
      </x:c>
      <x:c r="C27" s="16" t="n">
        <x:f>C12-C13</x:f>
        <x:v>13786</x:v>
      </x:c>
      <x:c r="D27" s="16" t="n">
        <x:f>D12-D13</x:f>
        <x:v>16524</x:v>
      </x:c>
      <x:c r="E27" s="16" t="n">
        <x:f>E12-E13</x:f>
        <x:v>14044</x:v>
      </x:c>
      <x:c r="F27" s="16" t="n">
        <x:f>F12-F13</x:f>
        <x:v>15147</x:v>
      </x:c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Forecast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/>
      <x:c r="B3" s="36" t="n">
        <x:v>2027</x:v>
      </x:c>
      <x:c r="C3" s="36" t="n">
        <x:v>2028</x:v>
      </x:c>
      <x:c r="D3" s="36" t="n">
        <x:v>2029</x:v>
      </x:c>
      <x:c r="E3" s="36" t="n">
        <x:v>2030</x:v>
      </x:c>
      <x:c r="F3" s="36" t="n">
        <x:v>2031</x:v>
      </x:c>
    </x:row>
    <x:row r="4" ht="24" customHeight="1">
      <x:c r="A4" s="2" t="str">
        <x:v>Revenue growth</x:v>
      </x:c>
      <x:c r="B4" s="21" t="n">
        <x:f>IF(Drivers!$B$26=1,Drivers!$B$27,CHOOSE(Drivers!$B$3,Drivers!B30,Drivers!B31,Drivers!B32))</x:f>
        <x:v>0.03</x:v>
      </x:c>
      <x:c r="C4" s="21" t="n">
        <x:f>IF(Drivers!$B$26=1,Drivers!$B$27,CHOOSE(Drivers!$B$3,Drivers!C30,Drivers!C31,Drivers!C32))</x:f>
        <x:v>0.03</x:v>
      </x:c>
      <x:c r="D4" s="21" t="n">
        <x:f>IF(Drivers!$B$26=1,Drivers!$B$27,CHOOSE(Drivers!$B$3,Drivers!D30,Drivers!D31,Drivers!D32))</x:f>
        <x:v>0.03</x:v>
      </x:c>
      <x:c r="E4" s="21" t="n">
        <x:f>IF(Drivers!$B$26=1,Drivers!$B$27,CHOOSE(Drivers!$B$3,Drivers!E30,Drivers!E31,Drivers!E32))</x:f>
        <x:v>0.03</x:v>
      </x:c>
      <x:c r="F4" s="21" t="n">
        <x:f>IF(Drivers!$B$26=1,Drivers!$B$27,CHOOSE(Drivers!$B$3,Drivers!F30,Drivers!F31,Drivers!F32))</x:f>
        <x:v>0.03</x:v>
      </x:c>
    </x:row>
    <x:row r="5" ht="24" customHeight="1">
      <x:c r="A5" s="11" t="str">
        <x:v>Revenue</x:v>
      </x:c>
      <x:c r="B5" s="12" t="n">
        <x:f>Historical!F4*(1+B4)</x:f>
        <x:v>89642.96</x:v>
      </x:c>
      <x:c r="C5" s="12" t="n">
        <x:f>B5*(1+C4)</x:f>
        <x:v>92332.24880000002</x:v>
      </x:c>
      <x:c r="D5" s="12" t="n">
        <x:f>C5*(1+D4)</x:f>
        <x:v>95102.21626400002</x:v>
      </x:c>
      <x:c r="E5" s="12" t="n">
        <x:f>D5*(1+E4)</x:f>
        <x:v>97955.28275192002</x:v>
      </x:c>
      <x:c r="F5" s="12" t="n">
        <x:f>E5*(1+F4)</x:f>
        <x:v>100893.94123447762</x:v>
      </x:c>
    </x:row>
    <x:row r="6" ht="24" customHeight="1">
      <x:c r="A6" s="2" t="str">
        <x:v>Gross margin</x:v>
      </x:c>
      <x:c r="B6" s="21" t="n">
        <x:f>Historical!$F$25+CHOOSE(Drivers!$B$3,Drivers!B35,Drivers!B36,Drivers!B37)-Historical!$F$26</x:f>
        <x:v>0.501864417685449</x:v>
      </x:c>
      <x:c r="C6" s="21" t="n">
        <x:f>Historical!$F$25+CHOOSE(Drivers!$B$3,Drivers!C35,Drivers!C36,Drivers!C37)-Historical!$F$26</x:f>
        <x:v>0.504864417685449</x:v>
      </x:c>
      <x:c r="D6" s="21" t="n">
        <x:f>Historical!$F$25+CHOOSE(Drivers!$B$3,Drivers!D35,Drivers!D36,Drivers!D37)-Historical!$F$26</x:f>
        <x:v>0.506864417685449</x:v>
      </x:c>
      <x:c r="E6" s="21" t="n">
        <x:f>Historical!$F$25+CHOOSE(Drivers!$B$3,Drivers!E35,Drivers!E36,Drivers!E37)-Historical!$F$26</x:f>
        <x:v>0.508864417685449</x:v>
      </x:c>
      <x:c r="F6" s="21" t="n">
        <x:f>Historical!$F$25+CHOOSE(Drivers!$B$3,Drivers!F35,Drivers!F36,Drivers!F37)-Historical!$F$26</x:f>
        <x:v>0.509864417685449</x:v>
      </x:c>
    </x:row>
    <x:row r="7" ht="24" customHeight="1">
      <x:c r="A7" s="2" t="str">
        <x:v>Cost of sales</x:v>
      </x:c>
      <x:c r="B7" s="18" t="n">
        <x:f>B5*(1-B6)</x:f>
        <x:v>44654.34808000001</x:v>
      </x:c>
      <x:c r="C7" s="18" t="n">
        <x:f>C5*(1-C6)</x:f>
        <x:v>45716.981776000015</x:v>
      </x:c>
      <x:c r="D7" s="18" t="n">
        <x:f>D5*(1-D6)</x:f>
        <x:v>46898.286796752014</x:v>
      </x:c>
      <x:c r="E7" s="18" t="n">
        <x:f>E5*(1-E6)</x:f>
        <x:v>48109.324835150735</x:v>
      </x:c>
      <x:c r="F7" s="18" t="n">
        <x:f>F5*(1-F6)</x:f>
        <x:v>49451.71063897078</x:v>
      </x:c>
    </x:row>
    <x:row r="8" ht="24" customHeight="1">
      <x:c r="A8" s="2" t="str">
        <x:v>Selling &amp; administration</x:v>
      </x:c>
      <x:c r="B8" s="19" t="n">
        <x:f>B5*Historical!$F$6/Historical!$F$4</x:f>
        <x:v>24639.66</x:v>
      </x:c>
      <x:c r="C8" s="19" t="n">
        <x:f>C5*Historical!$F$6/Historical!$F$4</x:f>
        <x:v>25378.849800000007</x:v>
      </x:c>
      <x:c r="D8" s="19" t="n">
        <x:f>D5*Historical!$F$6/Historical!$F$4</x:f>
        <x:v>26140.215294</x:v>
      </x:c>
      <x:c r="E8" s="19" t="n">
        <x:f>E5*Historical!$F$6/Historical!$F$4</x:f>
        <x:v>26924.421752820006</x:v>
      </x:c>
      <x:c r="F8" s="19" t="n">
        <x:f>F5*Historical!$F$6/Historical!$F$4</x:f>
        <x:v>27732.154405404606</x:v>
      </x:c>
    </x:row>
    <x:row r="9" ht="24" customHeight="1">
      <x:c r="A9" s="11" t="str">
        <x:v>Operating profit (EBIT)</x:v>
      </x:c>
      <x:c r="B9" s="16" t="n">
        <x:f>B5-B7-B8</x:f>
        <x:v>20348.951919999996</x:v>
      </x:c>
      <x:c r="C9" s="16" t="n">
        <x:f>C5-C7-C8</x:f>
        <x:v>21236.417223999993</x:v>
      </x:c>
      <x:c r="D9" s="16" t="n">
        <x:f>D5-D7-D8</x:f>
        <x:v>22063.714173248</x:v>
      </x:c>
      <x:c r="E9" s="16" t="n">
        <x:f>E5-E7-E8</x:f>
        <x:v>22921.53616394928</x:v>
      </x:c>
      <x:c r="F9" s="16" t="n">
        <x:f>F5-F7-F8</x:f>
        <x:v>23710.076190102238</x:v>
      </x:c>
    </x:row>
    <x:row r="10" ht="24" customHeight="1">
      <x:c r="A10" s="2" t="str">
        <x:v>Interest expense</x:v>
      </x:c>
      <x:c r="B10" s="19" t="n">
        <x:f>Historical!$F$24*Drivers!$B$8</x:f>
        <x:v>1536.21</x:v>
      </x:c>
      <x:c r="C10" s="19" t="n">
        <x:f>Historical!$F$24*Drivers!$B$8</x:f>
        <x:v>1536.21</x:v>
      </x:c>
      <x:c r="D10" s="19" t="n">
        <x:f>Historical!$F$24*Drivers!$B$8</x:f>
        <x:v>1536.21</x:v>
      </x:c>
      <x:c r="E10" s="19" t="n">
        <x:f>Historical!$F$24*Drivers!$B$8</x:f>
        <x:v>1536.21</x:v>
      </x:c>
      <x:c r="F10" s="19" t="n">
        <x:f>Historical!$F$24*Drivers!$B$8</x:f>
        <x:v>1536.21</x:v>
      </x:c>
    </x:row>
    <x:row r="11" ht="24" customHeight="1">
      <x:c r="A11" s="2" t="str">
        <x:v>Income tax</x:v>
      </x:c>
      <x:c r="B11" s="19" t="n">
        <x:f>(B9-B10)*Drivers!$B$9</x:f>
        <x:v>3950.6758031999993</x:v>
      </x:c>
      <x:c r="C11" s="19" t="n">
        <x:f>(C9-C10)*Drivers!$B$9</x:f>
        <x:v>4137.043517039999</x:v>
      </x:c>
      <x:c r="D11" s="19" t="n">
        <x:f>(D9-D10)*Drivers!$B$9</x:f>
        <x:v>4310.77587638208</x:v>
      </x:c>
      <x:c r="E11" s="19" t="n">
        <x:f>(E9-E10)*Drivers!$B$9</x:f>
        <x:v>4490.918494429349</x:v>
      </x:c>
      <x:c r="F11" s="19" t="n">
        <x:f>(F9-F10)*Drivers!$B$9</x:f>
        <x:v>4656.51189992147</x:v>
      </x:c>
    </x:row>
    <x:row r="12" ht="24" customHeight="1">
      <x:c r="A12" s="11" t="str">
        <x:v>Consolidated net income</x:v>
      </x:c>
      <x:c r="B12" s="16" t="n">
        <x:f>B9-B10-B11</x:f>
        <x:v>14862.066116799997</x:v>
      </x:c>
      <x:c r="C12" s="16" t="n">
        <x:f>C9-C10-C11</x:f>
        <x:v>15563.163706959996</x:v>
      </x:c>
      <x:c r="D12" s="16" t="n">
        <x:f>D9-D10-D11</x:f>
        <x:v>16216.728296865922</x:v>
      </x:c>
      <x:c r="E12" s="16" t="n">
        <x:f>E9-E10-E11</x:f>
        <x:v>16894.407669519933</x:v>
      </x:c>
      <x:c r="F12" s="16" t="n">
        <x:f>F9-F10-F11</x:f>
        <x:v>17517.354290180767</x:v>
      </x:c>
    </x:row>
    <x:row r="13" ht="24" customHeight="1">
      <x:c r="A13" s="2" t="str">
        <x:v>D&amp;A</x:v>
      </x:c>
      <x:c r="B13" s="19" t="n">
        <x:f>B5*Drivers!$B$18</x:f>
        <x:v>3254.8</x:v>
      </x:c>
      <x:c r="C13" s="19" t="n">
        <x:f>C5*Drivers!$B$18</x:f>
        <x:v>3352.4440000000004</x:v>
      </x:c>
      <x:c r="D13" s="19" t="n">
        <x:f>D5*Drivers!$B$18</x:f>
        <x:v>3453.0173200000004</x:v>
      </x:c>
      <x:c r="E13" s="19" t="n">
        <x:f>E5*Drivers!$B$18</x:f>
        <x:v>3556.6078396000007</x:v>
      </x:c>
      <x:c r="F13" s="19" t="n">
        <x:f>F5*Drivers!$B$18</x:f>
        <x:v>3663.306074788001</x:v>
      </x:c>
    </x:row>
    <x:row r="14" ht="24" customHeight="1">
      <x:c r="A14" s="2" t="str">
        <x:v>Share-based compensation</x:v>
      </x:c>
      <x:c r="B14" s="19" t="n">
        <x:f>B5*Drivers!$B$19</x:f>
        <x:v>539.72</x:v>
      </x:c>
      <x:c r="C14" s="19" t="n">
        <x:f>C5*Drivers!$B$19</x:f>
        <x:v>555.9116000000001</x:v>
      </x:c>
      <x:c r="D14" s="19" t="n">
        <x:f>D5*Drivers!$B$19</x:f>
        <x:v>572.5889480000001</x:v>
      </x:c>
      <x:c r="E14" s="19" t="n">
        <x:f>E5*Drivers!$B$19</x:f>
        <x:v>589.7666164400001</x:v>
      </x:c>
      <x:c r="F14" s="19" t="n">
        <x:f>F5*Drivers!$B$19</x:f>
        <x:v>607.4596149332001</x:v>
      </x:c>
    </x:row>
    <x:row r="15" ht="24" customHeight="1">
      <x:c r="A15" s="2" t="str">
        <x:v>Capital expenditure</x:v>
      </x:c>
      <x:c r="B15" s="19" t="n">
        <x:f>B5*Drivers!$B$17</x:f>
        <x:v>4482.148</x:v>
      </x:c>
      <x:c r="C15" s="19" t="n">
        <x:f>C5*Drivers!$B$17</x:f>
        <x:v>4616.612440000001</x:v>
      </x:c>
      <x:c r="D15" s="19" t="n">
        <x:f>D5*Drivers!$B$17</x:f>
        <x:v>4755.110813200001</x:v>
      </x:c>
      <x:c r="E15" s="19" t="n">
        <x:f>E5*Drivers!$B$17</x:f>
        <x:v>4897.764137596001</x:v>
      </x:c>
      <x:c r="F15" s="19" t="n">
        <x:f>F5*Drivers!$B$17</x:f>
        <x:v>5044.697061723881</x:v>
      </x:c>
    </x:row>
    <x:row r="16" ht="24" customHeight="1">
      <x:c r="A16" s="2" t="str">
        <x:v>Receivables</x:v>
      </x:c>
      <x:c r="B16" s="19" t="n">
        <x:f>B5*Drivers!$B$21/365</x:f>
        <x:v>6237.68</x:v>
      </x:c>
      <x:c r="C16" s="19" t="n">
        <x:f>C5*Drivers!$B$21/365</x:f>
        <x:v>6424.810400000001</x:v>
      </x:c>
      <x:c r="D16" s="19" t="n">
        <x:f>D5*Drivers!$B$21/365</x:f>
        <x:v>6617.554712000001</x:v>
      </x:c>
      <x:c r="E16" s="19" t="n">
        <x:f>E5*Drivers!$B$21/365</x:f>
        <x:v>6816.081353360001</x:v>
      </x:c>
      <x:c r="F16" s="19" t="n">
        <x:f>F5*Drivers!$B$21/365</x:f>
        <x:v>7020.563793960801</x:v>
      </x:c>
    </x:row>
    <x:row r="17" ht="24" customHeight="1">
      <x:c r="A17" s="2" t="str">
        <x:v>Inventory</x:v>
      </x:c>
      <x:c r="B17" s="19" t="n">
        <x:f>B7*Drivers!$B$22/365</x:f>
        <x:v>8413.496236649604</x:v>
      </x:c>
      <x:c r="C17" s="19" t="n">
        <x:f>C7*Drivers!$B$22/365</x:f>
        <x:v>8613.71110903372</x:v>
      </x:c>
      <x:c r="D17" s="19" t="n">
        <x:f>D7*Drivers!$B$22/365</x:f>
        <x:v>8836.285298866842</x:v>
      </x:c>
      <x:c r="E17" s="19" t="n">
        <x:f>E7*Drivers!$B$22/365</x:f>
        <x:v>9064.461600091821</x:v>
      </x:c>
      <x:c r="F17" s="19" t="n">
        <x:f>F7*Drivers!$B$22/365</x:f>
        <x:v>9317.385635357947</x:v>
      </x:c>
    </x:row>
    <x:row r="18" ht="24" customHeight="1">
      <x:c r="A18" s="2" t="str">
        <x:v>Payables</x:v>
      </x:c>
      <x:c r="B18" s="19" t="n">
        <x:f>B7*Drivers!$B$23/365</x:f>
        <x:v>16791.979147467373</x:v>
      </x:c>
      <x:c r="C18" s="19" t="n">
        <x:f>C7*Drivers!$B$23/365</x:f>
        <x:v>17191.57568468835</x:v>
      </x:c>
      <x:c r="D18" s="19" t="n">
        <x:f>D7*Drivers!$B$23/365</x:f>
        <x:v>17635.797807016243</x:v>
      </x:c>
      <x:c r="E18" s="19" t="n">
        <x:f>E7*Drivers!$B$23/365</x:f>
        <x:v>18091.20083856759</x:v>
      </x:c>
      <x:c r="F18" s="19" t="n">
        <x:f>F7*Drivers!$B$23/365</x:f>
        <x:v>18595.996348855162</x:v>
      </x:c>
    </x:row>
    <x:row r="19" ht="24" customHeight="1">
      <x:c r="A19" s="2" t="str">
        <x:v>Operating working capital</x:v>
      </x:c>
      <x:c r="B19" s="18" t="n">
        <x:f>B16+B17-B18</x:f>
        <x:v>-2140.802910817769</x:v>
      </x:c>
      <x:c r="C19" s="18" t="n">
        <x:f>C16+C17-C18</x:f>
        <x:v>-2153.0541756546263</x:v>
      </x:c>
      <x:c r="D19" s="18" t="n">
        <x:f>D16+D17-D18</x:f>
        <x:v>-2181.9577961493997</x:v>
      </x:c>
      <x:c r="E19" s="18" t="n">
        <x:f>E16+E17-E18</x:f>
        <x:v>-2210.6578851157683</x:v>
      </x:c>
      <x:c r="F19" s="18" t="n">
        <x:f>F16+F17-F18</x:f>
        <x:v>-2258.046919536413</x:v>
      </x:c>
    </x:row>
    <x:row r="20" ht="24" customHeight="1">
      <x:c r="A20" s="2" t="str">
        <x:v>Change in working capital</x:v>
      </x:c>
      <x:c r="B20" s="19" t="n">
        <x:f>B19-(Historical!F18+Historical!F19-Historical!F20)</x:f>
        <x:v>-60.80291081776886</x:v>
      </x:c>
      <x:c r="C20" s="18" t="n">
        <x:f>C19-B19</x:f>
        <x:v>-12.251264836857445</x:v>
      </x:c>
      <x:c r="D20" s="18" t="n">
        <x:f>D19-C19</x:f>
        <x:v>-28.90362049477335</x:v>
      </x:c>
      <x:c r="E20" s="18" t="n">
        <x:f>E19-D19</x:f>
        <x:v>-28.70008896636864</x:v>
      </x:c>
      <x:c r="F20" s="18" t="n">
        <x:f>F19-E19</x:f>
        <x:v>-47.38903442064475</x:v>
      </x:c>
    </x:row>
    <x:row r="21" ht="24" customHeight="1">
      <x:c r="A21" s="11" t="str">
        <x:v>Cash from operations</x:v>
      </x:c>
      <x:c r="B21" s="16" t="n">
        <x:f>B12+B13+B14-B20</x:f>
        <x:v>18717.389027617766</x:v>
      </x:c>
      <x:c r="C21" s="16" t="n">
        <x:f>C12+C13+C14-C20</x:f>
        <x:v>19483.770571796853</x:v>
      </x:c>
      <x:c r="D21" s="16" t="n">
        <x:f>D12+D13+D14-D20</x:f>
        <x:v>20271.238185360697</x:v>
      </x:c>
      <x:c r="E21" s="16" t="n">
        <x:f>E12+E13+E14-E20</x:f>
        <x:v>21069.482214526302</x:v>
      </x:c>
      <x:c r="F21" s="16" t="n">
        <x:f>F12+F13+F14-F20</x:f>
        <x:v>21835.50901432261</x:v>
      </x:c>
    </x:row>
    <x:row r="22" ht="24" customHeight="1">
      <x:c r="A22" s="2" t="str">
        <x:v>Cash dividends</x:v>
      </x:c>
      <x:c r="B22" s="19" t="n">
        <x:f>MAX(0,B12*Drivers!$B$20)</x:f>
        <x:v>9419.51564092527</x:v>
      </x:c>
      <x:c r="C22" s="19" t="n">
        <x:f>MAX(0,C12*Drivers!$B$20)</x:f>
        <x:v>9863.868375223903</x:v>
      </x:c>
      <x:c r="D22" s="19" t="n">
        <x:f>MAX(0,D12*Drivers!$B$20)</x:f>
        <x:v>10278.094891819383</x:v>
      </x:c>
      <x:c r="E22" s="19" t="n">
        <x:f>MAX(0,E12*Drivers!$B$20)</x:f>
        <x:v>10707.60525734192</x:v>
      </x:c>
      <x:c r="F22" s="19" t="n">
        <x:f>MAX(0,F12*Drivers!$B$20)</x:f>
        <x:v>11102.426232478296</x:v>
      </x:c>
    </x:row>
    <x:row r="23" ht="24" customHeight="1">
      <x:c r="A23" s="2" t="str">
        <x:v>Closing cash</x:v>
      </x:c>
      <x:c r="B23" s="19" t="n">
        <x:f>Historical!F17+B21-B15-B22</x:f>
        <x:v>14757.725386692495</x:v>
      </x:c>
      <x:c r="C23" s="18" t="n">
        <x:f>B23+C21-C15-C22</x:f>
        <x:v>19761.015143265446</x:v>
      </x:c>
      <x:c r="D23" s="18" t="n">
        <x:f>C23+D21-D15-D22</x:f>
        <x:v>24999.047623606762</x:v>
      </x:c>
      <x:c r="E23" s="18" t="n">
        <x:f>D23+E21-E15-E22</x:f>
        <x:v>30463.160443195142</x:v>
      </x:c>
      <x:c r="F23" s="18" t="n">
        <x:f>E23+F21-F15-F22</x:f>
        <x:v>36151.54616331557</x:v>
      </x:c>
    </x:row>
    <x:row r="24" ht="24" customHeight="1">
      <x:c r="A24" s="2" t="str">
        <x:v>Other noncash assets</x:v>
      </x:c>
      <x:c r="B24" s="19" t="n">
        <x:f>(Historical!F21-Historical!F17-Historical!F18-Historical!F19)+B15-B13</x:f>
        <x:v>103580.348</x:v>
      </x:c>
      <x:c r="C24" s="18" t="n">
        <x:f>B24+C15-C13</x:f>
        <x:v>104844.51643999999</x:v>
      </x:c>
      <x:c r="D24" s="18" t="n">
        <x:f>C24+D15-D13</x:f>
        <x:v>106146.60993319999</x:v>
      </x:c>
      <x:c r="E24" s="18" t="n">
        <x:f>D24+E15-E13</x:f>
        <x:v>107487.76623119599</x:v>
      </x:c>
      <x:c r="F24" s="18" t="n">
        <x:f>E24+F15-F13</x:f>
        <x:v>108869.15721813188</x:v>
      </x:c>
    </x:row>
    <x:row r="25" ht="24" customHeight="1">
      <x:c r="A25" s="2" t="str">
        <x:v>Total assets</x:v>
      </x:c>
      <x:c r="B25" s="18" t="n">
        <x:f>B23+B16+B17+B24</x:f>
        <x:v>132989.2496233421</x:v>
      </x:c>
      <x:c r="C25" s="18" t="n">
        <x:f>C23+C16+C17+C24</x:f>
        <x:v>139644.05309229915</x:v>
      </x:c>
      <x:c r="D25" s="18" t="n">
        <x:f>D23+D16+D17+D24</x:f>
        <x:v>146599.4975676736</x:v>
      </x:c>
      <x:c r="E25" s="18" t="n">
        <x:f>E23+E16+E17+E24</x:f>
        <x:v>153831.46962784295</x:v>
      </x:c>
      <x:c r="F25" s="18" t="n">
        <x:f>F23+F16+F17+F24</x:f>
        <x:v>161358.6528107662</x:v>
      </x:c>
    </x:row>
    <x:row r="26" ht="24" customHeight="1">
      <x:c r="A26" s="2" t="str">
        <x:v>Total liabilities</x:v>
      </x:c>
      <x:c r="B26" s="19" t="n">
        <x:f>Historical!$F$22-Historical!$F$20+B18</x:f>
        <x:v>72695.97914746737</x:v>
      </x:c>
      <x:c r="C26" s="19" t="n">
        <x:f>Historical!$F$22-Historical!$F$20+C18</x:f>
        <x:v>73095.57568468835</x:v>
      </x:c>
      <x:c r="D26" s="19" t="n">
        <x:f>Historical!$F$22-Historical!$F$20+D18</x:f>
        <x:v>73539.79780701624</x:v>
      </x:c>
      <x:c r="E26" s="19" t="n">
        <x:f>Historical!$F$22-Historical!$F$20+E18</x:f>
        <x:v>73995.20083856759</x:v>
      </x:c>
      <x:c r="F26" s="19" t="n">
        <x:f>Historical!$F$22-Historical!$F$20+F18</x:f>
        <x:v>74499.99634885516</x:v>
      </x:c>
    </x:row>
    <x:row r="27" ht="24" customHeight="1">
      <x:c r="A27" s="2" t="str">
        <x:v>Closing equity</x:v>
      </x:c>
      <x:c r="B27" s="19" t="n">
        <x:f>Historical!F23+B12+B14-B22</x:f>
        <x:v>60293.27047587473</x:v>
      </x:c>
      <x:c r="C27" s="18" t="n">
        <x:f>B27+C12+C14-C22</x:f>
        <x:v>66548.47740761083</x:v>
      </x:c>
      <x:c r="D27" s="18" t="n">
        <x:f>C27+D12+D14-D22</x:f>
        <x:v>73059.69976065739</x:v>
      </x:c>
      <x:c r="E27" s="18" t="n">
        <x:f>D27+E12+E14-E22</x:f>
        <x:v>79836.2687892754</x:v>
      </x:c>
      <x:c r="F27" s="18" t="n">
        <x:f>E27+F12+F14-F22</x:f>
        <x:v>86858.65646191109</x:v>
      </x:c>
    </x:row>
    <x:row r="28" ht="24" customHeight="1">
      <x:c r="A28" s="11" t="str">
        <x:v>Balance-sheet check</x:v>
      </x:c>
      <x:c r="B28" s="16" t="n">
        <x:f>ROUND(B25-B26-B27,6)</x:f>
        <x:v>0</x:v>
      </x:c>
      <x:c r="C28" s="16" t="n">
        <x:f>ROUND(C25-C26-C27,6)</x:f>
        <x:v>0</x:v>
      </x:c>
      <x:c r="D28" s="16" t="n">
        <x:f>ROUND(D25-D26-D27,6)</x:f>
        <x:v>0</x:v>
      </x:c>
      <x:c r="E28" s="16" t="n">
        <x:f>ROUND(E25-E26-E27,6)</x:f>
        <x:v>0</x:v>
      </x:c>
      <x:c r="F28" s="16" t="n">
        <x:f>ROUND(F25-F26-F27,6)</x:f>
        <x:v>0</x:v>
      </x:c>
    </x:row>
    <x:row r="29" ht="24" customHeight="1">
      <x:c r="A29" s="11" t="str">
        <x:v>Unlevered free cash flow</x:v>
      </x:c>
      <x:c r="B29" s="26" t="n">
        <x:f>B9*(1-Drivers!$B$9)+B13-B15-B20</x:f>
        <x:v>14909.126927617766</x:v>
      </x:c>
      <x:c r="C29" s="26" t="n">
        <x:f>C9*(1-Drivers!$B$9)+C13-C15-C20</x:f>
        <x:v>15524.852431796851</x:v>
      </x:c>
      <x:c r="D29" s="26" t="n">
        <x:f>D9*(1-Drivers!$B$9)+D13-D15-D20</x:f>
        <x:v>16157.144324160694</x:v>
      </x:c>
      <x:c r="E29" s="26" t="n">
        <x:f>E9*(1-Drivers!$B$9)+E13-E15-E20</x:f>
        <x:v>16795.5573604903</x:v>
      </x:c>
      <x:c r="F29" s="26" t="n">
        <x:f>F9*(1-Drivers!$B$9)+F13-F15-F20</x:f>
        <x:v>17396.958237665534</x:v>
      </x:c>
    </x:row>
    <x:row r="30" ht="24" customHeight="1">
      <x:c r="A30" s="2" t="str">
        <x:v>Years from valuation date</x:v>
      </x:c>
      <x:c r="B30" s="19" t="n">
        <x:f>1-Drivers!$B$25</x:f>
        <x:v>0.8301369863013699</x:v>
      </x:c>
      <x:c r="C30" s="19" t="n">
        <x:f>2-Drivers!$B$25</x:f>
        <x:v>1.83013698630137</x:v>
      </x:c>
      <x:c r="D30" s="19" t="n">
        <x:f>3-Drivers!$B$25</x:f>
        <x:v>2.83013698630137</x:v>
      </x:c>
      <x:c r="E30" s="19" t="n">
        <x:f>4-Drivers!$B$25</x:f>
        <x:v>3.83013698630137</x:v>
      </x:c>
      <x:c r="F30" s="19" t="n">
        <x:f>5-Drivers!$B$25</x:f>
        <x:v>4.83013698630137</x:v>
      </x:c>
    </x:row>
    <x:row r="31" ht="24" customHeight="1">
      <x:c r="A31" s="2" t="str">
        <x:v>Remaining-year cash fraction</x:v>
      </x:c>
      <x:c r="B31" s="21" t="n">
        <x:f>1-Drivers!$B$25</x:f>
        <x:v>0.8301369863013699</x:v>
      </x:c>
      <x:c r="C31" s="15" t="n">
        <x:f>1</x:f>
        <x:v>1</x:v>
      </x:c>
      <x:c r="D31" s="15" t="n">
        <x:f>1</x:f>
        <x:v>1</x:v>
      </x:c>
      <x:c r="E31" s="15" t="n">
        <x:f>1</x:f>
        <x:v>1</x:v>
      </x:c>
      <x:c r="F31" s="15" t="n">
        <x:f>1</x:f>
        <x:v>1</x:v>
      </x:c>
    </x:row>
    <x:row r="32" ht="24" customHeight="1">
      <x:c r="A32" s="11" t="str">
        <x:v>Discounted free cash flow</x:v>
      </x:c>
      <x:c r="B32" s="26" t="n">
        <x:f>B29*B31/(1+Drivers!$B$24)^B30</x:f>
        <x:v>11673.799690700247</x:v>
      </x:c>
      <x:c r="C32" s="26" t="n">
        <x:f>C29*C31/(1+Drivers!$B$24)^C30</x:f>
        <x:v>13647.488669627994</x:v>
      </x:c>
      <x:c r="D32" s="26" t="n">
        <x:f>D29*D31/(1+Drivers!$B$24)^D30</x:f>
        <x:v>13237.466277170699</x:v>
      </x:c>
      <x:c r="E32" s="26" t="n">
        <x:f>E29*E31/(1+Drivers!$B$24)^E30</x:f>
        <x:v>12824.772906505625</x:v>
      </x:c>
      <x:c r="F32" s="26" t="n">
        <x:f>F29*F31/(1+Drivers!$B$24)^F30</x:f>
        <x:v>12380.65394876184</x:v>
      </x:c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Valuation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WACC</x:v>
      </x:c>
      <x:c r="B3" s="21" t="n">
        <x:f>Drivers!B24</x:f>
        <x:v>0.07296362558895521</x:v>
      </x:c>
      <x:c r="C3" s="6"/>
      <x:c r="D3" s="6"/>
      <x:c r="E3" s="6"/>
      <x:c r="F3" s="6"/>
    </x:row>
    <x:row r="4" ht="24" customHeight="1">
      <x:c r="A4" s="2" t="str">
        <x:v>Terminal growth</x:v>
      </x:c>
      <x:c r="B4" s="21" t="n">
        <x:f>Drivers!B10</x:f>
        <x:v>0.025</x:v>
      </x:c>
      <x:c r="C4" s="6"/>
      <x:c r="D4" s="6"/>
      <x:c r="E4" s="6"/>
      <x:c r="F4" s="6"/>
    </x:row>
    <x:row r="5" ht="24" customHeight="1">
      <x:c r="A5" s="2" t="str">
        <x:v>PV of forecast free cash flow</x:v>
      </x:c>
      <x:c r="B5" s="19" t="n">
        <x:f>SUM(Forecast!B32:F32)</x:f>
        <x:v>63764.18149276641</x:v>
      </x:c>
      <x:c r="C5" s="6"/>
      <x:c r="D5" s="6"/>
      <x:c r="E5" s="6"/>
      <x:c r="F5" s="6"/>
    </x:row>
    <x:row r="6" ht="24" customHeight="1">
      <x:c r="A6" s="2" t="str">
        <x:v>Terminal-year free cash flow</x:v>
      </x:c>
      <x:c r="B6" s="19" t="n">
        <x:f>Forecast!F29*(1+B4)</x:f>
        <x:v>17831.882193607173</x:v>
      </x:c>
      <x:c r="C6" s="6"/>
      <x:c r="D6" s="6"/>
      <x:c r="E6" s="6"/>
      <x:c r="F6" s="6"/>
    </x:row>
    <x:row r="7" ht="24" customHeight="1">
      <x:c r="A7" s="2" t="str">
        <x:v>Terminal enterprise value</x:v>
      </x:c>
      <x:c r="B7" s="18" t="n">
        <x:f>B6/(B3-B4)</x:f>
        <x:v>371779.2801241739</x:v>
      </x:c>
      <x:c r="C7" s="6"/>
      <x:c r="D7" s="6"/>
      <x:c r="E7" s="6"/>
      <x:c r="F7" s="6"/>
    </x:row>
    <x:row r="8" ht="24" customHeight="1">
      <x:c r="A8" s="2" t="str">
        <x:v>PV of terminal value</x:v>
      </x:c>
      <x:c r="B8" s="19" t="n">
        <x:f>B7/(1+B3)^Forecast!F30</x:f>
        <x:v>264579.0459260675</x:v>
      </x:c>
      <x:c r="C8" s="6"/>
      <x:c r="D8" s="6"/>
      <x:c r="E8" s="6"/>
      <x:c r="F8" s="6"/>
    </x:row>
    <x:row r="9" ht="24" customHeight="1">
      <x:c r="A9" s="11" t="str">
        <x:v>Enterprise value</x:v>
      </x:c>
      <x:c r="B9" s="16" t="n">
        <x:f>B5+B8</x:f>
        <x:v>328343.22741883394</x:v>
      </x:c>
      <x:c r="C9" s="14"/>
      <x:c r="D9" s="14"/>
      <x:c r="E9" s="14"/>
      <x:c r="F9" s="14"/>
    </x:row>
    <x:row r="10" ht="24" customHeight="1">
      <x:c r="A10" s="2" t="str">
        <x:v>Cash &amp; equivalents</x:v>
      </x:c>
      <x:c r="B10" s="19" t="n">
        <x:f>Historical!F17</x:f>
        <x:v>9942</x:v>
      </x:c>
      <x:c r="C10" s="6"/>
      <x:c r="D10" s="6"/>
      <x:c r="E10" s="6"/>
      <x:c r="F10" s="6"/>
    </x:row>
    <x:row r="11" ht="24" customHeight="1">
      <x:c r="A11" s="2" t="str">
        <x:v>Short-term investments</x:v>
      </x:c>
      <x:c r="B11" s="19" t="n">
        <x:f>Drivers!B15</x:f>
        <x:v>0</x:v>
      </x:c>
      <x:c r="C11" s="6"/>
      <x:c r="D11" s="6"/>
      <x:c r="E11" s="6"/>
      <x:c r="F11" s="6"/>
    </x:row>
    <x:row r="12" ht="24" customHeight="1">
      <x:c r="A12" s="2" t="str">
        <x:v>Less: interest-bearing debt</x:v>
      </x:c>
      <x:c r="B12" s="19" t="n">
        <x:f>Historical!F24</x:f>
        <x:v>34138</x:v>
      </x:c>
      <x:c r="C12" s="6"/>
      <x:c r="D12" s="6"/>
      <x:c r="E12" s="6"/>
      <x:c r="F12" s="6"/>
    </x:row>
    <x:row r="13" ht="24" customHeight="1">
      <x:c r="A13" s="2" t="str">
        <x:v>Less: noncontrolling interest</x:v>
      </x:c>
      <x:c r="B13" s="19" t="n">
        <x:f>Drivers!B16</x:f>
        <x:v>230</x:v>
      </x:c>
      <x:c r="C13" s="6"/>
      <x:c r="D13" s="6"/>
      <x:c r="E13" s="6"/>
      <x:c r="F13" s="6"/>
    </x:row>
    <x:row r="14" ht="24" customHeight="1">
      <x:c r="A14" s="11" t="str">
        <x:v>Equity value</x:v>
      </x:c>
      <x:c r="B14" s="16" t="n">
        <x:f>B9+B10+B11-B12-B13</x:f>
        <x:v>303917.22741883394</x:v>
      </x:c>
      <x:c r="C14" s="14"/>
      <x:c r="D14" s="14"/>
      <x:c r="E14" s="14"/>
      <x:c r="F14" s="14"/>
    </x:row>
    <x:row r="15" ht="24" customHeight="1">
      <x:c r="A15" s="2" t="str">
        <x:v>Diluted shares (millions)</x:v>
      </x:c>
      <x:c r="B15" s="19" t="n">
        <x:f>Drivers!B14</x:f>
        <x:v>2413.23306</x:v>
      </x:c>
      <x:c r="C15" s="6"/>
      <x:c r="D15" s="6"/>
      <x:c r="E15" s="6"/>
      <x:c r="F15" s="6"/>
    </x:row>
    <x:row r="16" ht="24" customHeight="1">
      <x:c r="A16" s="11" t="str">
        <x:v>Value per share</x:v>
      </x:c>
      <x:c r="B16" s="30" t="n">
        <x:f>B14/B15</x:f>
        <x:v>125.93778547805654</x:v>
      </x:c>
      <x:c r="C16" s="14"/>
      <x:c r="D16" s="14"/>
      <x:c r="E16" s="14"/>
      <x:c r="F16" s="14"/>
    </x:row>
    <x:row r="17" ht="24" customHeight="1">
      <x:c r="A17" s="2" t="str">
        <x:v>Observed share price</x:v>
      </x:c>
      <x:c r="B17" s="28" t="n">
        <x:f>Drivers!B4</x:f>
        <x:v>145.12</x:v>
      </x:c>
      <x:c r="C17" s="6"/>
      <x:c r="D17" s="6"/>
      <x:c r="E17" s="6"/>
      <x:c r="F17" s="6"/>
    </x:row>
    <x:row r="18" ht="24" customHeight="1">
      <x:c r="A18" s="2" t="str">
        <x:v>Upside / (downside)</x:v>
      </x:c>
      <x:c r="B18" s="15" t="n">
        <x:f>B16/B17-1</x:f>
        <x:v>-0.1321817428469092</x:v>
      </x:c>
      <x:c r="C18" s="6"/>
      <x:c r="D18" s="6"/>
      <x:c r="E18" s="6"/>
      <x:c r="F18" s="6"/>
    </x:row>
    <x:row r="19" ht="24" customHeight="1">
      <x:c r="A19" s="2" t="str">
        <x:v>Terminal value / enterprise value</x:v>
      </x:c>
      <x:c r="B19" s="15" t="n">
        <x:f>B8/B9</x:f>
        <x:v>0.8058002231566391</x:v>
      </x:c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Sensitivity</x:v>
      </x:c>
      <x:c r="B1" s="5"/>
      <x:c r="C1" s="5"/>
      <x:c r="D1" s="5"/>
      <x:c r="E1" s="5"/>
      <x:c r="F1" s="5"/>
    </x:row>
    <x:row r="2" ht="24" customHeight="1">
      <x:c r="A2" s="2" t="str">
        <x:v>Live DCF sensitivity | WACC down rows; terminal growth across</x:v>
      </x:c>
      <x:c r="B2" s="2"/>
      <x:c r="C2" s="2"/>
      <x:c r="D2" s="2"/>
      <x:c r="E2" s="2"/>
      <x:c r="F2" s="2"/>
    </x:row>
    <x:row r="3" ht="24" customHeight="1">
      <x:c r="A3" s="2"/>
      <x:c r="B3" s="6"/>
      <x:c r="C3" s="6"/>
      <x:c r="D3" s="6"/>
      <x:c r="E3" s="6"/>
      <x:c r="F3" s="6"/>
    </x:row>
    <x:row r="4" ht="24" customHeight="1">
      <x:c r="A4" s="2"/>
      <x:c r="B4" s="7" t="n">
        <x:v>0.015</x:v>
      </x:c>
      <x:c r="C4" s="7" t="n">
        <x:v>0.02</x:v>
      </x:c>
      <x:c r="D4" s="7" t="n">
        <x:v>0.025</x:v>
      </x:c>
      <x:c r="E4" s="7" t="n">
        <x:v>0.03</x:v>
      </x:c>
      <x:c r="F4" s="7" t="n">
        <x:v>0.035</x:v>
      </x:c>
    </x:row>
    <x:row r="5" ht="24" customHeight="1">
      <x:c r="A5" s="21" t="n">
        <x:f>Drivers!B24+-0.01</x:f>
        <x:v>0.06296362558895521</x:v>
      </x:c>
      <x:c r="B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B$4)/($A5-B$4)/(1+$A5)^Forecast!F30+Valuation!B10+Valuation!B11-Valuation!B12-Valuation!B13)/Valuation!B15</x:f>
        <x:v>130.6053720627514</x:v>
      </x:c>
      <x:c r="C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C$4)/($A5-C$4)/(1+$A5)^Forecast!F30+Valuation!B10+Valuation!B11-Valuation!B12-Valuation!B13)/Valuation!B15</x:f>
        <x:v>144.4493855677354</x:v>
      </x:c>
      <x:c r="D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D$4)/($A5-D$4)/(1+$A5)^Forecast!F30+Valuation!B10+Valuation!B11-Valuation!B12-Valuation!B13)/Valuation!B15</x:f>
        <x:v>161.94005117462282</x:v>
      </x:c>
      <x:c r="E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E$4)/($A5-E$4)/(1+$A5)^Forecast!F30+Valuation!B10+Valuation!B11-Valuation!B12-Valuation!B13)/Valuation!B15</x:f>
        <x:v>184.73676710042537</x:v>
      </x:c>
      <x:c r="F5" s="28" t="n">
        <x:f>(Forecast!B29*Forecast!B31/(1+$A5)^Forecast!B30+Forecast!C29*Forecast!C31/(1+$A5)^Forecast!C30+Forecast!D29*Forecast!D31/(1+$A5)^Forecast!D30+Forecast!E29*Forecast!E31/(1+$A5)^Forecast!E30+Forecast!F29*Forecast!F31/(1+$A5)^Forecast!F30+Forecast!F29*(1+F$4)/($A5-F$4)/(1+$A5)^Forecast!F30+Valuation!B10+Valuation!B11-Valuation!B12-Valuation!B13)/Valuation!B15</x:f>
        <x:v>215.68575779234638</x:v>
      </x:c>
    </x:row>
    <x:row r="6" ht="24" customHeight="1">
      <x:c r="A6" s="21" t="n">
        <x:f>Drivers!B24+-0.005</x:f>
        <x:v>0.0679636255889552</x:v>
      </x:c>
      <x:c r="B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B$4)/($A6-B$4)/(1+$A6)^Forecast!F30+Valuation!B10+Valuation!B11-Valuation!B12-Valuation!B13)/Valuation!B15</x:f>
        <x:v>117.21563197082769</x:v>
      </x:c>
      <x:c r="C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C$4)/($A6-C$4)/(1+$A6)^Forecast!F30+Valuation!B10+Valuation!B11-Valuation!B12-Valuation!B13)/Valuation!B15</x:f>
        <x:v>128.24572538151722</x:v>
      </x:c>
      <x:c r="D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D$4)/($A6-D$4)/(1+$A6)^Forecast!F30+Valuation!B10+Valuation!B11-Valuation!B12-Valuation!B13)/Valuation!B15</x:f>
        <x:v>141.84312852444802</x:v>
      </x:c>
      <x:c r="E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E$4)/($A6-E$4)/(1+$A6)^Forecast!F30+Valuation!B10+Valuation!B11-Valuation!B12-Valuation!B13)/Valuation!B15</x:f>
        <x:v>159.022224124826</x:v>
      </x:c>
      <x:c r="F6" s="28" t="n">
        <x:f>(Forecast!B29*Forecast!B31/(1+$A6)^Forecast!B30+Forecast!C29*Forecast!C31/(1+$A6)^Forecast!C30+Forecast!D29*Forecast!D31/(1+$A6)^Forecast!D30+Forecast!E29*Forecast!E31/(1+$A6)^Forecast!E30+Forecast!F29*Forecast!F31/(1+$A6)^Forecast!F30+Forecast!F29*(1+F$4)/($A6-F$4)/(1+$A6)^Forecast!F30+Valuation!B10+Valuation!B11-Valuation!B12-Valuation!B13)/Valuation!B15</x:f>
        <x:v>181.41285070622985</x:v>
      </x:c>
    </x:row>
    <x:row r="7" ht="24" customHeight="1">
      <x:c r="A7" s="21" t="n">
        <x:f>Drivers!B24+0</x:f>
        <x:v>0.07296362558895521</x:v>
      </x:c>
      <x:c r="B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B$4)/($A7-B$4)/(1+$A7)^Forecast!F30+Valuation!B10+Valuation!B11-Valuation!B12-Valuation!B13)/Valuation!B15</x:f>
        <x:v>106.13794135993702</x:v>
      </x:c>
      <x:c r="C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C$4)/($A7-C$4)/(1+$A7)^Forecast!F30+Valuation!B10+Valuation!B11-Valuation!B12-Valuation!B13)/Valuation!B15</x:f>
        <x:v>115.10326708528919</x:v>
      </x:c>
      <x:c r="D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D$4)/($A7-D$4)/(1+$A7)^Forecast!F30+Valuation!B10+Valuation!B11-Valuation!B12-Valuation!B13)/Valuation!B15</x:f>
        <x:v>125.93778547805654</x:v>
      </x:c>
      <x:c r="E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E$4)/($A7-E$4)/(1+$A7)^Forecast!F30+Valuation!B10+Valuation!B11-Valuation!B12-Valuation!B13)/Valuation!B15</x:f>
        <x:v>139.29409253373237</x:v>
      </x:c>
      <x:c r="F7" s="28" t="n">
        <x:f>(Forecast!B29*Forecast!B31/(1+$A7)^Forecast!B30+Forecast!C29*Forecast!C31/(1+$A7)^Forecast!C30+Forecast!D29*Forecast!D31/(1+$A7)^Forecast!D30+Forecast!E29*Forecast!E31/(1+$A7)^Forecast!E30+Forecast!F29*Forecast!F31/(1+$A7)^Forecast!F30+Forecast!F29*(1+F$4)/($A7-F$4)/(1+$A7)^Forecast!F30+Valuation!B10+Valuation!B11-Valuation!B12-Valuation!B13)/Valuation!B15</x:f>
        <x:v>156.16858491772456</x:v>
      </x:c>
    </x:row>
    <x:row r="8" ht="24" customHeight="1">
      <x:c r="A8" s="21" t="n">
        <x:f>Drivers!B24+0.005</x:f>
        <x:v>0.07796362558895521</x:v>
      </x:c>
      <x:c r="B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B$4)/($A8-B$4)/(1+$A8)^Forecast!F30+Valuation!B10+Valuation!B11-Valuation!B12-Valuation!B13)/Valuation!B15</x:f>
        <x:v>96.82145269002746</x:v>
      </x:c>
      <x:c r="C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C$4)/($A8-C$4)/(1+$A8)^Forecast!F30+Valuation!B10+Valuation!B11-Valuation!B12-Valuation!B13)/Valuation!B15</x:f>
        <x:v>104.22978738621623</x:v>
      </x:c>
      <x:c r="D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D$4)/($A8-D$4)/(1+$A8)^Forecast!F30+Valuation!B10+Valuation!B11-Valuation!B12-Valuation!B13)/Valuation!B15</x:f>
        <x:v>113.03688106346192</x:v>
      </x:c>
      <x:c r="E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E$4)/($A8-E$4)/(1+$A8)^Forecast!F30+Valuation!B10+Valuation!B11-Valuation!B12-Valuation!B13)/Valuation!B15</x:f>
        <x:v>123.68017739826352</x:v>
      </x:c>
      <x:c r="F8" s="28" t="n">
        <x:f>(Forecast!B29*Forecast!B31/(1+$A8)^Forecast!B30+Forecast!C29*Forecast!C31/(1+$A8)^Forecast!C30+Forecast!D29*Forecast!D31/(1+$A8)^Forecast!D30+Forecast!E29*Forecast!E31/(1+$A8)^Forecast!E30+Forecast!F29*Forecast!F31/(1+$A8)^Forecast!F30+Forecast!F29*(1+F$4)/($A8-F$4)/(1+$A8)^Forecast!F30+Valuation!B10+Valuation!B11-Valuation!B12-Valuation!B13)/Valuation!B15</x:f>
        <x:v>136.80075449996986</x:v>
      </x:c>
    </x:row>
    <x:row r="9" ht="24" customHeight="1">
      <x:c r="A9" s="21" t="n">
        <x:f>Drivers!B24+0.01</x:f>
        <x:v>0.0829636255889552</x:v>
      </x:c>
      <x:c r="B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B$4)/($A9-B$4)/(1+$A9)^Forecast!F30+Valuation!B10+Valuation!B11-Valuation!B12-Valuation!B13)/Valuation!B15</x:f>
        <x:v>88.87742016692538</x:v>
      </x:c>
      <x:c r="C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C$4)/($A9-C$4)/(1+$A9)^Forecast!F30+Valuation!B10+Valuation!B11-Valuation!B12-Valuation!B13)/Valuation!B15</x:f>
        <x:v>95.08470864598178</x:v>
      </x:c>
      <x:c r="D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D$4)/($A9-D$4)/(1+$A9)^Forecast!F30+Valuation!B10+Valuation!B11-Valuation!B12-Valuation!B13)/Valuation!B15</x:f>
        <x:v>102.36289088228429</x:v>
      </x:c>
      <x:c r="E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E$4)/($A9-E$4)/(1+$A9)^Forecast!F30+Valuation!B10+Valuation!B11-Valuation!B12-Valuation!B13)/Valuation!B15</x:f>
        <x:v>111.01525816641333</x:v>
      </x:c>
      <x:c r="F9" s="28" t="n">
        <x:f>(Forecast!B29*Forecast!B31/(1+$A9)^Forecast!B30+Forecast!C29*Forecast!C31/(1+$A9)^Forecast!C30+Forecast!D29*Forecast!D31/(1+$A9)^Forecast!D30+Forecast!E29*Forecast!E31/(1+$A9)^Forecast!E30+Forecast!F29*Forecast!F31/(1+$A9)^Forecast!F30+Forecast!F29*(1+F$4)/($A9-F$4)/(1+$A9)^Forecast!F30+Valuation!B10+Valuation!B11-Valuation!B12-Valuation!B13)/Valuation!B15</x:f>
        <x:v>121.47156899690376</x:v>
      </x:c>
    </x:row>
    <x:row r="10" ht="24" customHeight="1">
      <x:c r="A10" s="2"/>
      <x:c r="B10" s="6"/>
      <x:c r="C10" s="6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7" customHeight="1">
      <x:c r="A12" s="32" t="str">
        <x:v>Reverse DCF: set Drivers B26 to 1. B27 holds the constant annual growth rate that matches the observed price while the Base margin path stays fixed.</x:v>
      </x:c>
      <x:c r="B12" s="6"/>
      <x:c r="C12" s="6"/>
      <x:c r="D12" s="6"/>
      <x:c r="E12" s="6"/>
      <x:c r="F12" s="6"/>
    </x:row>
    <x:row r="13" ht="27" customHeight="1">
      <x:c r="A13" s="2"/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 t="str">
        <x:v>Required constant growth</x:v>
      </x:c>
      <x:c r="B15" s="20" t="n">
        <x:v>0.058980999583570726</x:v>
      </x:c>
      <x:c r="C15" s="6"/>
      <x:c r="D15" s="6"/>
      <x:c r="E15" s="6"/>
      <x:c r="F15" s="6"/>
    </x:row>
    <x:row r="16" ht="24" customHeight="1">
      <x:c r="A16" s="2" t="str">
        <x:v>Price using this growth</x:v>
      </x:c>
      <x:c r="B16" s="23" t="n">
        <x:v>145.11999999999995</x:v>
      </x:c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2:F2"/>
    <x:mergeCell ref="A12:F13"/>
  </x:mergeCells>
  <x:conditionalFormatting sqref="B5:F9">
    <x:cfRule type="colorScale" priority="1">
      <x:colorScale>
        <x:cfvo type="min"/>
        <x:cfvo type="percentile" val="50"/>
        <x:cfvo type="max"/>
        <x:color rgb="FFFADBD8"/>
        <x:color rgb="FFFFFFFF"/>
        <x:color rgb="FFB7DFD5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Peers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Company</x:v>
      </x:c>
      <x:c r="B3" s="6" t="str">
        <x:v>Price</x:v>
      </x:c>
      <x:c r="C3" s="6" t="str">
        <x:v>TTM sales $m</x:v>
      </x:c>
      <x:c r="D3" s="6" t="str">
        <x:v>TTM net income $m</x:v>
      </x:c>
      <x:c r="E3" s="6" t="str">
        <x:v>Shares m</x:v>
      </x:c>
      <x:c r="F3" s="6" t="str">
        <x:v>P/E</x:v>
      </x:c>
    </x:row>
    <x:row r="4" ht="24" customHeight="1">
      <x:c r="A4" s="2" t="str">
        <x:v>CL</x:v>
      </x:c>
      <x:c r="B4" s="6" t="n">
        <x:v>89.82</x:v>
      </x:c>
      <x:c r="C4" s="6" t="n">
        <x:v>21047</x:v>
      </x:c>
      <x:c r="D4" s="6" t="n">
        <x:v>2038</x:v>
      </x:c>
      <x:c r="E4" s="6" t="n">
        <x:v>797.172829</x:v>
      </x:c>
      <x:c r="F4" s="18" t="n">
        <x:f>B4*E4/D4</x:f>
        <x:v>35.13349533894994</x:v>
      </x:c>
    </x:row>
    <x:row r="5" ht="24" customHeight="1">
      <x:c r="A5" s="2" t="str">
        <x:v>KMB</x:v>
      </x:c>
      <x:c r="B5" s="6" t="n">
        <x:v>107.95</x:v>
      </x:c>
      <x:c r="C5" s="6" t="n">
        <x:v>16582</x:v>
      </x:c>
      <x:c r="D5" s="6" t="n">
        <x:v>1955</x:v>
      </x:c>
      <x:c r="E5" s="6" t="n">
        <x:v>332.579038</x:v>
      </x:c>
      <x:c r="F5" s="18" t="n">
        <x:f>B5*E5/D5</x:f>
        <x:v>18.364146880869566</x:v>
      </x:c>
    </x:row>
    <x:row r="6" ht="24" customHeight="1">
      <x:c r="A6" s="2"/>
      <x:c r="B6" s="6"/>
      <x:c r="C6" s="6"/>
      <x:c r="D6" s="6"/>
      <x:c r="E6" s="6"/>
      <x:c r="F6" s="6"/>
    </x:row>
    <x:row r="7" ht="24" customHeight="1">
      <x:c r="A7" s="2" t="str">
        <x:v>Median peer P/E</x:v>
      </x:c>
      <x:c r="B7" s="18" t="n">
        <x:f>MEDIAN(F4:F5)</x:f>
        <x:v>26.748821109909755</x:v>
      </x:c>
      <x:c r="C7" s="6"/>
      <x:c r="D7" s="6"/>
      <x:c r="E7" s="6"/>
      <x:c r="F7" s="6"/>
    </x:row>
    <x:row r="8" ht="24" customHeight="1">
      <x:c r="A8" s="2" t="str">
        <x:v>Peer-implied price (rough check)</x:v>
      </x:c>
      <x:c r="B8" s="19" t="n">
        <x:f>B7*Historical!F11/Drivers!B11</x:f>
        <x:v>184.65215923646</x:v>
      </x:c>
      <x:c r="C8" s="6"/>
      <x:c r="D8" s="6"/>
      <x:c r="E8" s="6"/>
      <x:c r="F8" s="6"/>
    </x:row>
    <x:row r="9" ht="24" customHeight="1">
      <x:c r="A9" s="2"/>
      <x:c r="B9" s="6"/>
      <x:c r="C9" s="6"/>
      <x:c r="D9" s="6"/>
      <x:c r="E9" s="6"/>
      <x:c r="F9" s="6"/>
    </x:row>
    <x:row r="10" ht="24" customHeight="1">
      <x:c r="A10" s="32" t="str">
        <x:v>Market cap / GAAP net income; two peers only. Different business mix, fiscal ends, buybacks and exceptional gains distort comparability. No mechanical target-price average.</x:v>
      </x:c>
      <x:c r="B10" s="6"/>
      <x:c r="C10" s="6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4" customHeight="1">
      <x:c r="A12" s="2"/>
      <x:c r="B12" s="6"/>
      <x:c r="C12" s="6"/>
      <x:c r="D12" s="6"/>
      <x:c r="E12" s="6"/>
      <x:c r="F12" s="6"/>
    </x:row>
    <x:row r="13" ht="24" customHeight="1">
      <x:c r="A13" s="2"/>
      <x:c r="B13" s="6"/>
      <x:c r="C13" s="6"/>
      <x:c r="D13" s="6"/>
      <x:c r="E13" s="6"/>
      <x:c r="F13" s="6"/>
    </x:row>
    <x:row r="14" ht="24" customHeight="1">
      <x:c r="A14" s="2" t="str">
        <x:v>Company</x:v>
      </x:c>
      <x:c r="B14" s="6" t="str">
        <x:v>TTM end</x:v>
      </x:c>
      <x:c r="C14" s="6" t="str">
        <x:v>Share count date</x:v>
      </x:c>
      <x:c r="D14" s="6" t="str">
        <x:v>Price date</x:v>
      </x:c>
      <x:c r="E14" s="6"/>
      <x:c r="F14" s="6"/>
    </x:row>
    <x:row r="15" ht="24" customHeight="1">
      <x:c r="A15" s="2" t="str">
        <x:v>CL</x:v>
      </x:c>
      <x:c r="B15" s="6" t="str">
        <x:v>2026-06-30</x:v>
      </x:c>
      <x:c r="C15" s="6" t="str">
        <x:v>2026-06-30</x:v>
      </x:c>
      <x:c r="D15" s="6" t="str">
        <x:v>2026-08-31</x:v>
      </x:c>
      <x:c r="E15" s="6"/>
      <x:c r="F15" s="6"/>
    </x:row>
    <x:row r="16" ht="24" customHeight="1">
      <x:c r="A16" s="2" t="str">
        <x:v>KMB</x:v>
      </x:c>
      <x:c r="B16" s="6" t="str">
        <x:v>2026-06-30</x:v>
      </x:c>
      <x:c r="C16" s="6" t="str">
        <x:v>2026-07-28</x:v>
      </x:c>
      <x:c r="D16" s="6" t="str">
        <x:v>2026-08-31</x:v>
      </x:c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Segments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2" t="str">
        <x:v>Business / geography</x:v>
      </x:c>
      <x:c r="B3" s="6" t="str">
        <x:v>Revenue $m</x:v>
      </x:c>
      <x:c r="C3" s="6" t="str">
        <x:v>Share of reported total</x:v>
      </x:c>
      <x:c r="D3" s="6"/>
      <x:c r="E3" s="6"/>
      <x:c r="F3" s="6"/>
    </x:row>
    <x:row r="4" ht="40" customHeight="1">
      <x:c r="A4" s="32" t="str">
        <x:v>Beauty</x:v>
      </x:c>
      <x:c r="B4" s="8" t="n">
        <x:v>16023</x:v>
      </x:c>
      <x:c r="C4" s="21" t="n">
        <x:f>B4/Historical!$F$4</x:f>
        <x:v>0.18410469712289732</x:v>
      </x:c>
      <x:c r="D4" s="6"/>
      <x:c r="E4" s="6"/>
      <x:c r="F4" s="6"/>
    </x:row>
    <x:row r="5" ht="40" customHeight="1">
      <x:c r="A5" s="32" t="str">
        <x:v>Grooming</x:v>
      </x:c>
      <x:c r="B5" s="8" t="n">
        <x:v>6918</x:v>
      </x:c>
      <x:c r="C5" s="21" t="n">
        <x:f>B5/Historical!$F$4</x:f>
        <x:v>0.07948800441217023</x:v>
      </x:c>
      <x:c r="D5" s="6"/>
      <x:c r="E5" s="6"/>
      <x:c r="F5" s="6"/>
    </x:row>
    <x:row r="6" ht="40" customHeight="1">
      <x:c r="A6" s="32" t="str">
        <x:v>Health Care</x:v>
      </x:c>
      <x:c r="B6" s="8" t="n">
        <x:v>12456</x:v>
      </x:c>
      <x:c r="C6" s="21" t="n">
        <x:f>B6/Historical!$F$4</x:f>
        <x:v>0.14311977203787113</x:v>
      </x:c>
      <x:c r="D6" s="6"/>
      <x:c r="E6" s="6"/>
      <x:c r="F6" s="6"/>
    </x:row>
    <x:row r="7" ht="40" customHeight="1">
      <x:c r="A7" s="32" t="str">
        <x:v>Fabric &amp; Home Care</x:v>
      </x:c>
      <x:c r="B7" s="8" t="n">
        <x:v>30314</x:v>
      </x:c>
      <x:c r="C7" s="21" t="n">
        <x:f>B7/Historical!$F$4</x:f>
        <x:v>0.34830866807610994</x:v>
      </x:c>
      <x:c r="D7" s="6"/>
      <x:c r="E7" s="6"/>
      <x:c r="F7" s="6"/>
    </x:row>
    <x:row r="8" ht="40" customHeight="1">
      <x:c r="A8" s="32" t="str">
        <x:v>Baby, Feminine &amp; Family Care</x:v>
      </x:c>
      <x:c r="B8" s="8" t="n">
        <x:v>20401</x:v>
      </x:c>
      <x:c r="C8" s="21" t="n">
        <x:f>B8/Historical!$F$4</x:f>
        <x:v>0.23440803382663847</x:v>
      </x:c>
      <x:c r="D8" s="6"/>
      <x:c r="E8" s="6"/>
      <x:c r="F8" s="6"/>
    </x:row>
    <x:row r="9" ht="40" customHeight="1">
      <x:c r="A9" s="32" t="str">
        <x:v>Corporate</x:v>
      </x:c>
      <x:c r="B9" s="8" t="n">
        <x:v>919</x:v>
      </x:c>
      <x:c r="C9" s="21" t="n">
        <x:f>B9/Historical!$F$4</x:f>
        <x:v>0.010559334497656035</x:v>
      </x:c>
      <x:c r="D9" s="6"/>
      <x:c r="E9" s="6"/>
      <x:c r="F9" s="6"/>
    </x:row>
    <x:row r="10" ht="40" customHeight="1">
      <x:c r="A10" s="32"/>
      <x:c r="B10" s="8"/>
      <x:c r="C10" s="7"/>
      <x:c r="D10" s="6"/>
      <x:c r="E10" s="6"/>
      <x:c r="F10" s="6"/>
    </x:row>
    <x:row r="11" ht="24" customHeight="1">
      <x:c r="A11" s="2"/>
      <x:c r="B11" s="6"/>
      <x:c r="C11" s="6"/>
      <x:c r="D11" s="6"/>
      <x:c r="E11" s="6"/>
      <x:c r="F11" s="6"/>
    </x:row>
    <x:row r="12" ht="24" customHeight="1">
      <x:c r="A12" s="2"/>
      <x:c r="B12" s="6"/>
      <x:c r="C12" s="6"/>
      <x:c r="D12" s="6"/>
      <x:c r="E12" s="6"/>
      <x:c r="F12" s="6"/>
    </x:row>
    <x:row r="13" ht="24" customHeight="1">
      <x:c r="A13" s="32" t="str">
        <x:v>Fiscal year ended 30 June 2026; USD millions; segment total differs by $1m because the filing rounds segment values.</x:v>
      </x:c>
      <x:c r="B13" s="6"/>
      <x:c r="C13" s="6"/>
      <x:c r="D13" s="6"/>
      <x:c r="E13" s="6"/>
      <x:c r="F13" s="6"/>
    </x:row>
    <x:row r="14" ht="24" customHeight="1">
      <x:c r="A14" s="2"/>
      <x:c r="B14" s="6"/>
      <x:c r="C14" s="6"/>
      <x:c r="D14" s="6"/>
      <x:c r="E14" s="6"/>
      <x:c r="F14" s="6"/>
    </x:row>
    <x:row r="15" ht="24" customHeight="1">
      <x:c r="A15" s="2"/>
      <x:c r="B15" s="6"/>
      <x:c r="C15" s="6"/>
      <x:c r="D15" s="6"/>
      <x:c r="E15" s="6"/>
      <x:c r="F15" s="6"/>
    </x:row>
    <x:row r="16" ht="24" customHeight="1">
      <x:c r="A16" s="2"/>
      <x:c r="B16" s="6"/>
      <x:c r="C16" s="6"/>
      <x:c r="D16" s="6"/>
      <x:c r="E16" s="6"/>
      <x:c r="F16" s="6"/>
    </x:row>
    <x:row r="17" ht="24" customHeight="1">
      <x:c r="A17" s="2"/>
      <x:c r="B17" s="6"/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A13:F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04B9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2" customHeight="1">
      <x:c r="A1" s="5" t="str">
        <x:v>PG | Sources</x:v>
      </x:c>
      <x:c r="B1" s="5"/>
      <x:c r="C1" s="5"/>
      <x:c r="D1" s="5"/>
      <x:c r="E1" s="5"/>
      <x:c r="F1" s="5"/>
    </x:row>
    <x:row r="2" ht="24" customHeight="1">
      <x:c r="A2" s="2"/>
      <x:c r="B2" s="2"/>
      <x:c r="C2" s="2"/>
      <x:c r="D2" s="2"/>
      <x:c r="E2" s="2"/>
      <x:c r="F2" s="2"/>
    </x:row>
    <x:row r="3" ht="40" customHeight="1">
      <x:c r="A3" s="2" t="str">
        <x:v>Information cutoff</x:v>
      </x:c>
      <x:c r="B3" s="35" t="str">
        <x:v>2026-08-31</x:v>
      </x:c>
      <x:c r="C3" s="6"/>
      <x:c r="D3" s="6"/>
      <x:c r="E3" s="6"/>
      <x:c r="F3" s="6"/>
    </x:row>
    <x:row r="4" ht="55" customHeight="1">
      <x:c r="A4" s="2" t="str">
        <x:v>Annual report</x:v>
      </x:c>
      <x:c r="B4" s="35" t="str">
        <x:v>https://www.sec.gov/Archives/edgar/data/80424/000008042426000103/pg-20260630.htm</x:v>
      </x:c>
      <x:c r="C4" s="6"/>
      <x:c r="D4" s="6"/>
      <x:c r="E4" s="6"/>
      <x:c r="F4" s="6"/>
    </x:row>
    <x:row r="5" ht="40" customHeight="1">
      <x:c r="A5" s="2" t="str">
        <x:v>Historical facts</x:v>
      </x:c>
      <x:c r="B5" s="35" t="str">
        <x:v>SEC Company Facts; provenance JSON in processed_data</x:v>
      </x:c>
      <x:c r="C5" s="6"/>
      <x:c r="D5" s="6"/>
      <x:c r="E5" s="6"/>
      <x:c r="F5" s="6"/>
    </x:row>
    <x:row r="6" ht="40" customHeight="1">
      <x:c r="A6" s="2" t="str">
        <x:v>Treasury yield</x:v>
      </x:c>
      <x:c r="B6" s="35" t="str">
        <x:v>Official Treasury 31 Aug 2026: 10-year 4.75%</x:v>
      </x:c>
      <x:c r="C6" s="6"/>
      <x:c r="D6" s="6"/>
      <x:c r="E6" s="6"/>
      <x:c r="F6" s="6"/>
    </x:row>
    <x:row r="7" ht="40" customHeight="1">
      <x:c r="A7" s="2" t="str">
        <x:v>Prices</x:v>
      </x:c>
      <x:c r="B7" s="35" t="str">
        <x:v>31 Aug 2026 US-listed close, Yahoo / StockAnalysis</x:v>
      </x:c>
      <x:c r="C7" s="6"/>
      <x:c r="D7" s="6"/>
      <x:c r="E7" s="6"/>
      <x:c r="F7" s="6"/>
    </x:row>
    <x:row r="8" ht="40" customHeight="1">
      <x:c r="A8" s="2" t="str">
        <x:v>Cash-flow timing</x:v>
      </x:c>
      <x:c r="B8" s="35" t="str">
        <x:v>End-year discount; first forecast year prorated from valuation date</x:v>
      </x:c>
      <x:c r="C8" s="6"/>
      <x:c r="D8" s="6"/>
      <x:c r="E8" s="6"/>
      <x:c r="F8" s="6"/>
    </x:row>
    <x:row r="9" ht="40" customHeight="1">
      <x:c r="A9" s="2" t="str">
        <x:v>Balance-sheet proxy</x:v>
      </x:c>
      <x:c r="B9" s="35" t="str">
        <x:v>Latest fiscal-year-end cash and debt; no invented interim balance</x:v>
      </x:c>
      <x:c r="C9" s="6"/>
      <x:c r="D9" s="6"/>
      <x:c r="E9" s="6"/>
      <x:c r="F9" s="6"/>
    </x:row>
    <x:row r="10" ht="40" customHeight="1">
      <x:c r="A10" s="2" t="str">
        <x:v>Balance-sheet forecast</x:v>
      </x:c>
      <x:c r="B10" s="35" t="str">
        <x:v>Debt / other liabilities fixed; other noncash assets roll capex less D&amp;A</x:v>
      </x:c>
      <x:c r="C10" s="6"/>
      <x:c r="D10" s="6"/>
      <x:c r="E10" s="6"/>
      <x:c r="F10" s="6"/>
    </x:row>
    <x:row r="11" ht="40" customHeight="1">
      <x:c r="A11" s="2" t="str">
        <x:v>Cash-flow forecast</x:v>
      </x:c>
      <x:c r="B11" s="35" t="str">
        <x:v>No acquisitions, FX cash effects, buybacks or new funding</x:v>
      </x:c>
      <x:c r="C11" s="6"/>
      <x:c r="D11" s="6"/>
      <x:c r="E11" s="6"/>
      <x:c r="F11" s="6"/>
    </x:row>
    <x:row r="12" ht="40" customHeight="1">
      <x:c r="A12" s="2" t="str">
        <x:v>SBC treatment</x:v>
      </x:c>
      <x:c r="B12" s="35" t="str">
        <x:v>Expense retained in EBIT for DCF; added in CFO and equity for statement forecast</x:v>
      </x:c>
      <x:c r="C12" s="6"/>
      <x:c r="D12" s="6"/>
      <x:c r="E12" s="6"/>
      <x:c r="F12" s="6"/>
    </x:row>
    <x:row r="13" ht="40" customHeight="1">
      <x:c r="A13" s="2" t="str">
        <x:v>Lease treatment</x:v>
      </x:c>
      <x:c r="B13" s="35" t="str">
        <x:v>Rent remains operating expense; operating lease liabilities excluded from debt</x:v>
      </x:c>
      <x:c r="C13" s="6"/>
      <x:c r="D13" s="6"/>
      <x:c r="E13" s="6"/>
      <x:c r="F13" s="6"/>
    </x:row>
    <x:row r="14" ht="40" customHeight="1">
      <x:c r="A14" s="2" t="str">
        <x:v>Share denominator</x:v>
      </x:c>
      <x:c r="B14" s="35" t="str">
        <x:v>Latest disclosed common shares plus conversion / incremental dilution proxy</x:v>
      </x:c>
      <x:c r="C14" s="6"/>
      <x:c r="D14" s="6"/>
      <x:c r="E14" s="6"/>
      <x:c r="F14" s="6"/>
    </x:row>
    <x:row r="15" ht="40" customHeight="1">
      <x:c r="A15" s="2" t="str">
        <x:v>Forecast assumptions</x:v>
      </x:c>
      <x:c r="B15" s="35" t="str">
        <x:v>Growth, margins, beta, equity premium and debt cost are analyst inputs</x:v>
      </x:c>
      <x:c r="C15" s="6"/>
      <x:c r="D15" s="6"/>
      <x:c r="E15" s="6"/>
      <x:c r="F15" s="6"/>
    </x:row>
    <x:row r="16" ht="40" customHeight="1">
      <x:c r="A16" s="2" t="str">
        <x:v>Terminal model</x:v>
      </x:c>
      <x:c r="B16" s="35" t="str">
        <x:v>Year-five FCFF grows at terminal rate; sensitivity shows dependence</x:v>
      </x:c>
      <x:c r="C16" s="6"/>
      <x:c r="D16" s="6"/>
      <x:c r="E16" s="6"/>
      <x:c r="F16" s="6"/>
    </x:row>
    <x:row r="17" ht="40" customHeight="1">
      <x:c r="A17" s="2" t="str">
        <x:v>Rebuild</x:v>
      </x:c>
      <x:c r="B17" s="35" t="str">
        <x:v>See src and processed_data; requires Node artifact-tool for workbook build</x:v>
      </x:c>
      <x:c r="C17" s="6"/>
      <x:c r="D17" s="6"/>
      <x:c r="E17" s="6"/>
      <x:c r="F17" s="6"/>
    </x:row>
    <x:row r="18" ht="24" customHeight="1">
      <x:c r="A18" s="2"/>
      <x:c r="B18" s="6"/>
      <x:c r="C18" s="6"/>
      <x:c r="D18" s="6"/>
      <x:c r="E18" s="6"/>
      <x:c r="F18" s="6"/>
    </x:row>
    <x:row r="19" ht="24" customHeight="1">
      <x:c r="A19" s="2"/>
      <x:c r="B19" s="6"/>
      <x:c r="C19" s="6"/>
      <x:c r="D19" s="6"/>
      <x:c r="E19" s="6"/>
      <x:c r="F19" s="6"/>
    </x:row>
    <x:row r="20" ht="24" customHeight="1">
      <x:c r="A20" s="2"/>
      <x:c r="B20" s="6"/>
      <x:c r="C20" s="6"/>
      <x:c r="D20" s="6"/>
      <x:c r="E20" s="6"/>
      <x:c r="F20" s="6"/>
    </x:row>
    <x:row r="21" ht="24" customHeight="1">
      <x:c r="A21" s="2"/>
      <x:c r="B21" s="6"/>
      <x:c r="C21" s="6"/>
      <x:c r="D21" s="6"/>
      <x:c r="E21" s="6"/>
      <x:c r="F21" s="6"/>
    </x:row>
    <x:row r="22" ht="24" customHeight="1">
      <x:c r="A22" s="2"/>
      <x:c r="B22" s="6"/>
      <x:c r="C22" s="6"/>
      <x:c r="D22" s="6"/>
      <x:c r="E22" s="6"/>
      <x:c r="F22" s="6"/>
    </x:row>
    <x:row r="23" ht="24" customHeight="1">
      <x:c r="A23" s="2"/>
      <x:c r="B23" s="6"/>
      <x:c r="C23" s="6"/>
      <x:c r="D23" s="6"/>
      <x:c r="E23" s="6"/>
      <x:c r="F23" s="6"/>
    </x:row>
    <x:row r="24" ht="24" customHeight="1">
      <x:c r="A24" s="2"/>
      <x:c r="B24" s="6"/>
      <x:c r="C24" s="6"/>
      <x:c r="D24" s="6"/>
      <x:c r="E24" s="6"/>
      <x:c r="F24" s="6"/>
    </x:row>
    <x:row r="25" ht="24" customHeight="1">
      <x:c r="A25" s="2"/>
      <x:c r="B25" s="6"/>
      <x:c r="C25" s="6"/>
      <x:c r="D25" s="6"/>
      <x:c r="E25" s="6"/>
      <x:c r="F25" s="6"/>
    </x:row>
    <x:row r="26" ht="24" customHeight="1">
      <x:c r="A26" s="2"/>
      <x:c r="B26" s="6"/>
      <x:c r="C26" s="6"/>
      <x:c r="D26" s="6"/>
      <x:c r="E26" s="6"/>
      <x:c r="F26" s="6"/>
    </x:row>
    <x:row r="27" ht="24" customHeight="1">
      <x:c r="A27" s="2"/>
      <x:c r="B27" s="6"/>
      <x:c r="C27" s="6"/>
      <x:c r="D27" s="6"/>
      <x:c r="E27" s="6"/>
      <x:c r="F27" s="6"/>
    </x:row>
    <x:row r="28" ht="24" customHeight="1">
      <x:c r="A28" s="2"/>
      <x:c r="B28" s="6"/>
      <x:c r="C28" s="6"/>
      <x:c r="D28" s="6"/>
      <x:c r="E28" s="6"/>
      <x:c r="F28" s="6"/>
    </x:row>
    <x:row r="29" ht="24" customHeight="1">
      <x:c r="A29" s="2"/>
      <x:c r="B29" s="6"/>
      <x:c r="C29" s="6"/>
      <x:c r="D29" s="6"/>
      <x:c r="E29" s="6"/>
      <x:c r="F29" s="6"/>
    </x:row>
    <x:row r="30" ht="24" customHeight="1">
      <x:c r="A30" s="2"/>
      <x:c r="B30" s="6"/>
      <x:c r="C30" s="6"/>
      <x:c r="D30" s="6"/>
      <x:c r="E30" s="6"/>
      <x:c r="F30" s="6"/>
    </x:row>
    <x:row r="31" ht="24" customHeight="1">
      <x:c r="A31" s="2"/>
      <x:c r="B31" s="6"/>
      <x:c r="C31" s="6"/>
      <x:c r="D31" s="6"/>
      <x:c r="E31" s="6"/>
      <x:c r="F31" s="6"/>
    </x:row>
    <x:row r="32" ht="24" customHeight="1">
      <x:c r="A32" s="2"/>
      <x:c r="B32" s="6"/>
      <x:c r="C32" s="6"/>
      <x:c r="D32" s="6"/>
      <x:c r="E32" s="6"/>
      <x:c r="F32" s="6"/>
    </x:row>
    <x:row r="33" ht="24" customHeight="1">
      <x:c r="A33" s="2"/>
      <x:c r="B33" s="6"/>
      <x:c r="C33" s="6"/>
      <x:c r="D33" s="6"/>
      <x:c r="E33" s="6"/>
      <x:c r="F33" s="6"/>
    </x:row>
    <x:row r="34" ht="24" customHeight="1">
      <x:c r="A34" s="2"/>
      <x:c r="B34" s="6"/>
      <x:c r="C34" s="6"/>
      <x:c r="D34" s="6"/>
      <x:c r="E34" s="6"/>
      <x:c r="F34" s="6"/>
    </x:row>
    <x:row r="35" ht="24" customHeight="1">
      <x:c r="A35" s="2"/>
      <x:c r="B35" s="6"/>
      <x:c r="C35" s="6"/>
      <x:c r="D35" s="6"/>
      <x:c r="E35" s="6"/>
      <x:c r="F35" s="6"/>
    </x:row>
    <x:row r="36" ht="24" customHeight="1">
      <x:c r="A36" s="2"/>
      <x:c r="B36" s="6"/>
      <x:c r="C36" s="6"/>
      <x:c r="D36" s="6"/>
      <x:c r="E36" s="6"/>
      <x:c r="F36" s="6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