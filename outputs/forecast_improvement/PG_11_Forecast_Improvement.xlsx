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e77b19db4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 review" sheetId="1" r:id="R0d57eb408827498b"/>
    <x:sheet xmlns:r="http://schemas.openxmlformats.org/officeDocument/2006/relationships" name="Backtest" sheetId="2" r:id="Rb3f66f74b25943c0"/>
    <x:sheet xmlns:r="http://schemas.openxmlformats.org/officeDocument/2006/relationships" name="Inputs" sheetId="3" r:id="R20f8e9d4a53b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;[Red](0.00);&quot;—&quot;"/>
    <x:numFmt numFmtId="201" formatCode="#,##0"/>
    <x:numFmt numFmtId="202" formatCode="0.0%"/>
    <x:numFmt numFmtId="203" formatCode="dd-mmm-yy"/>
  </x:numFmts>
  <x:fonts count="9">
    <x:font>
      <x:sz val="11"/>
      <x:name val="Carlito"/>
    </x:font>
    <x:font>
      <x:sz val="12"/>
      <x:color rgb="FF183A55"/>
      <x:name val="Arial"/>
    </x:font>
    <x:font>
      <x:b/>
      <x:sz val="18"/>
      <x:color rgb="FF183A55"/>
      <x:name val="Arial"/>
    </x:font>
    <x:font>
      <x:b/>
      <x:sz val="12"/>
      <x:color rgb="FFFFFFFF"/>
      <x:name val="Arial"/>
    </x:font>
    <x:font>
      <x:sz val="12"/>
      <x:color rgb="FF0000FF"/>
      <x:name val="Arial"/>
    </x:font>
    <x:font>
      <x:b/>
      <x:sz val="12"/>
      <x:color rgb="FF183A55"/>
      <x:name val="Arial"/>
    </x:font>
    <x:font>
      <x:b/>
      <x:sz val="12"/>
      <x:color rgb="FFB52B2D"/>
      <x:name val="Arial"/>
    </x:font>
    <x:font>
      <x:sz val="12"/>
      <x:color rgb="FF008000"/>
      <x:name val="Arial"/>
    </x:font>
    <x:font>
      <x:sz val="12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5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dd018b2cc4392" /><Relationship Type="http://schemas.openxmlformats.org/officeDocument/2006/relationships/theme" Target="/xl/theme/theme1.xml" Id="Re71abad67fb8469a" /><Relationship Type="http://schemas.openxmlformats.org/officeDocument/2006/relationships/sharedStrings" Target="/xl/sharedStrings.xml" Id="Rdd9cc2831f3e43a2" /><Relationship Type="http://schemas.openxmlformats.org/officeDocument/2006/relationships/worksheet" Target="/xl/worksheets/sheet1.xml" Id="R0d57eb408827498b" /><Relationship Type="http://schemas.openxmlformats.org/officeDocument/2006/relationships/worksheet" Target="/xl/worksheets/sheet2.xml" Id="Rb3f66f74b25943c0" /><Relationship Type="http://schemas.openxmlformats.org/officeDocument/2006/relationships/worksheet" Target="/xl/worksheets/sheet3.xml" Id="R20f8e9d4a53b46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7" customHeight="1">
      <x:c r="A2" s="2"/>
      <x:c r="B2" s="3" t="str">
        <x:v>P&amp;G forecast improvement</x:v>
      </x:c>
      <x:c r="C2" s="2"/>
      <x:c r="D2" s="2"/>
      <x:c r="E2" s="2"/>
      <x:c r="F2" s="2"/>
      <x:c r="G2" s="2"/>
      <x:c r="H2" s="2"/>
      <x:c r="I2" s="2"/>
      <x:c r="J2" s="2"/>
    </x:row>
    <x:row r="3" ht="27" customHeight="1">
      <x:c r="A3" s="2"/>
      <x:c r="B3" s="2" t="str">
        <x:v>April–June 2026. Growth rates (%), pricing contributions (pp), absolute errors (pp).</x:v>
      </x:c>
      <x:c r="C3" s="2"/>
      <x:c r="D3" s="2"/>
      <x:c r="E3" s="2"/>
      <x:c r="F3" s="2"/>
      <x:c r="G3" s="2"/>
      <x:c r="H3" s="2"/>
      <x:c r="I3" s="2"/>
      <x:c r="J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8" customHeight="1">
      <x:c r="A5" s="2"/>
      <x:c r="B5" s="7" t="str">
        <x:v>Measure</x:v>
      </x:c>
      <x:c r="C5" s="7" t="str">
        <x:v>Original</x:v>
      </x:c>
      <x:c r="D5" s="7" t="str">
        <x:v>Revised</x:v>
      </x:c>
      <x:c r="E5" s="7" t="str">
        <x:v>Actual</x:v>
      </x:c>
      <x:c r="F5" s="7" t="str">
        <x:v>Original error</x:v>
      </x:c>
      <x:c r="G5" s="7" t="str">
        <x:v>Revised error</x:v>
      </x:c>
      <x:c r="H5" s="2"/>
      <x:c r="I5" s="2"/>
      <x:c r="J5" s="2"/>
    </x:row>
    <x:row r="6" ht="44" customHeight="1">
      <x:c r="A6" s="2"/>
      <x:c r="B6" s="8" t="str">
        <x:v>Baby / Feminine / Family volume</x:v>
      </x:c>
      <x:c r="C6" s="12" t="n">
        <x:f>Inputs!C6</x:f>
        <x:v>-1.652062168789822</x:v>
      </x:c>
      <x:c r="D6" s="12" t="n">
        <x:f>Inputs!D6</x:f>
        <x:v>-0.5</x:v>
      </x:c>
      <x:c r="E6" s="12" t="n">
        <x:f>Inputs!E6</x:f>
        <x:v>-1</x:v>
      </x:c>
      <x:c r="F6" s="12" t="n">
        <x:f>ABS(C6-E6)</x:f>
        <x:v>0.652062168789822</x:v>
      </x:c>
      <x:c r="G6" s="12" t="n">
        <x:f>ABS(D6-E6)</x:f>
        <x:v>0.5</x:v>
      </x:c>
      <x:c r="H6" s="2"/>
      <x:c r="I6" s="2"/>
      <x:c r="J6" s="2"/>
    </x:row>
    <x:row r="7" ht="44" customHeight="1">
      <x:c r="A7" s="2"/>
      <x:c r="B7" s="8" t="str">
        <x:v>Beauty organic sales</x:v>
      </x:c>
      <x:c r="C7" s="12" t="n">
        <x:f>Inputs!C7</x:f>
        <x:v>3.289568967374506</x:v>
      </x:c>
      <x:c r="D7" s="12" t="n">
        <x:f>Inputs!D7</x:f>
        <x:v>3.8392820319313055</x:v>
      </x:c>
      <x:c r="E7" s="12" t="n">
        <x:f>Inputs!E7</x:f>
        <x:v>4</x:v>
      </x:c>
      <x:c r="F7" s="12" t="n">
        <x:f>ABS(C7-E7)</x:f>
        <x:v>0.7104310326254941</x:v>
      </x:c>
      <x:c r="G7" s="12" t="n">
        <x:f>ABS(D7-E7)</x:f>
        <x:v>0.16071796806869454</x:v>
      </x:c>
      <x:c r="H7" s="2"/>
      <x:c r="I7" s="2"/>
      <x:c r="J7" s="2"/>
    </x:row>
    <x:row r="8" ht="44" customHeight="1">
      <x:c r="A8" s="2"/>
      <x:c r="B8" s="8" t="str">
        <x:v>Beauty volume</x:v>
      </x:c>
      <x:c r="C8" s="12" t="n">
        <x:f>Inputs!C8</x:f>
        <x:v>5</x:v>
      </x:c>
      <x:c r="D8" s="12" t="n">
        <x:f>Inputs!D8</x:f>
        <x:v>5</x:v>
      </x:c>
      <x:c r="E8" s="12" t="n">
        <x:f>Inputs!E8</x:f>
        <x:v>3</x:v>
      </x:c>
      <x:c r="F8" s="12" t="n">
        <x:f>ABS(C8-E8)</x:f>
        <x:v>2</x:v>
      </x:c>
      <x:c r="G8" s="12" t="n">
        <x:f>ABS(D8-E8)</x:f>
        <x:v>2</x:v>
      </x:c>
      <x:c r="H8" s="2"/>
      <x:c r="I8" s="2"/>
      <x:c r="J8" s="2"/>
    </x:row>
    <x:row r="9" ht="44" customHeight="1">
      <x:c r="A9" s="2"/>
      <x:c r="B9" s="8" t="str">
        <x:v>Beauty pricing</x:v>
      </x:c>
      <x:c r="C9" s="15" t="n">
        <x:f>Inputs!C9</x:f>
        <x:v>4.308198652998944</x:v>
      </x:c>
      <x:c r="D9" s="15" t="n">
        <x:f>Inputs!D9</x:f>
        <x:v>1.5</x:v>
      </x:c>
      <x:c r="E9" s="15" t="n">
        <x:f>Inputs!E9</x:f>
        <x:v>1</x:v>
      </x:c>
      <x:c r="F9" s="15" t="n">
        <x:f>ABS(C9-E9)</x:f>
        <x:v>3.308198652998944</x:v>
      </x:c>
      <x:c r="G9" s="15" t="n">
        <x:f>ABS(D9-E9)</x:f>
        <x:v>0.5</x:v>
      </x:c>
      <x:c r="H9" s="2"/>
      <x:c r="I9" s="2"/>
      <x:c r="J9" s="2"/>
    </x:row>
    <x:row r="10" ht="44" customHeight="1">
      <x:c r="A10" s="2"/>
      <x:c r="B10" s="8" t="str">
        <x:v>Fabric &amp; Home volume</x:v>
      </x:c>
      <x:c r="C10" s="12" t="n">
        <x:f>Inputs!C10</x:f>
        <x:v>0</x:v>
      </x:c>
      <x:c r="D10" s="12" t="n">
        <x:f>Inputs!D10</x:f>
        <x:v>0.6790497883522549</x:v>
      </x:c>
      <x:c r="E10" s="12" t="n">
        <x:f>Inputs!E10</x:f>
        <x:v>1</x:v>
      </x:c>
      <x:c r="F10" s="12" t="n">
        <x:f>ABS(C10-E10)</x:f>
        <x:v>1</x:v>
      </x:c>
      <x:c r="G10" s="12" t="n">
        <x:f>ABS(D10-E10)</x:f>
        <x:v>0.32095021164774507</x:v>
      </x:c>
      <x:c r="H10" s="2"/>
      <x:c r="I10" s="2"/>
      <x:c r="J10" s="2"/>
    </x:row>
    <x:row r="11" ht="44" customHeight="1">
      <x:c r="A11" s="2"/>
      <x:c r="B11" s="8" t="str">
        <x:v>Health Care pricing</x:v>
      </x:c>
      <x:c r="C11" s="12" t="n">
        <x:f>Inputs!C11</x:f>
        <x:v>2.6809914443502034</x:v>
      </x:c>
      <x:c r="D11" s="12" t="n">
        <x:f>Inputs!D11</x:f>
        <x:v>2</x:v>
      </x:c>
      <x:c r="E11" s="12" t="n">
        <x:f>Inputs!E11</x:f>
        <x:v>2</x:v>
      </x:c>
      <x:c r="F11" s="12" t="n">
        <x:f>ABS(C11-E11)</x:f>
        <x:v>0.6809914443502034</x:v>
      </x:c>
      <x:c r="G11" s="12" t="n">
        <x:f>ABS(D11-E11)</x:f>
        <x:v>0</x:v>
      </x:c>
      <x:c r="H11" s="2"/>
      <x:c r="I11" s="2"/>
      <x:c r="J11" s="2"/>
    </x:row>
    <x:row r="12" ht="27" customHeight="1">
      <x:c r="A12" s="2"/>
      <x:c r="B12" s="2"/>
      <x:c r="C12" s="12"/>
      <x:c r="D12" s="12"/>
      <x:c r="E12" s="12"/>
      <x:c r="F12" s="12"/>
      <x:c r="G12" s="12"/>
      <x:c r="H12" s="2"/>
      <x:c r="I12" s="2"/>
      <x:c r="J12" s="2"/>
    </x:row>
    <x:row r="13" ht="27" customHeight="1">
      <x:c r="A13" s="2"/>
      <x:c r="B13" s="13" t="str">
        <x:v>Average absolute error</x:v>
      </x:c>
      <x:c r="C13" s="14"/>
      <x:c r="D13" s="14"/>
      <x:c r="E13" s="14"/>
      <x:c r="F13" s="14" t="n">
        <x:f>AVERAGE(F6:F11)</x:f>
        <x:v>1.3919472164607438</x:v>
      </x:c>
      <x:c r="G13" s="14" t="n">
        <x:f>AVERAGE(G6:G11)</x:f>
        <x:v>0.5802780299527399</x:v>
      </x:c>
      <x:c r="H13" s="2"/>
      <x:c r="I13" s="2"/>
      <x:c r="J13" s="2"/>
    </x:row>
    <x:row r="14" ht="27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7" customHeight="1">
      <x:c r="A15" s="2"/>
      <x:c r="B15" s="2" t="str">
        <x:v>Four-quarter mean error: 0.58pp. The revised 0.58pp result is effectively tied.</x:v>
      </x:c>
      <x:c r="C15" s="2"/>
      <x:c r="D15" s="2"/>
      <x:c r="E15" s="2"/>
      <x:c r="F15" s="2"/>
      <x:c r="G15" s="2"/>
      <x:c r="H15" s="2"/>
      <x:c r="I15" s="2"/>
      <x:c r="J15" s="2"/>
    </x:row>
    <x:row r="16" ht="27" customHeight="1">
      <x:c r="A16" s="2"/>
      <x:c r="B16" s="2" t="str">
        <x:v>All six outcomes were previously seen. This is a retrospective model revision.</x:v>
      </x:c>
      <x:c r="C16" s="2"/>
      <x:c r="D16" s="2"/>
      <x:c r="E16" s="2"/>
      <x:c r="F16" s="2"/>
      <x:c r="G16" s="2"/>
      <x:c r="H16" s="2"/>
      <x:c r="I16" s="2"/>
      <x:c r="J16" s="2"/>
    </x:row>
    <x:row r="17" ht="27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7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48" customHeight="1">
      <x:c r="A19" s="2"/>
      <x:c r="B19" s="7" t="str">
        <x:v>Historical mean error</x:v>
      </x:c>
      <x:c r="C19" s="7" t="str">
        <x:v>Selected rule</x:v>
      </x:c>
      <x:c r="D19" s="7" t="str">
        <x:v>Last actual</x:v>
      </x:c>
      <x:c r="E19" s="7" t="str">
        <x:v>Four-quarter mean</x:v>
      </x:c>
      <x:c r="F19" s="7" t="str">
        <x:v>Tests</x:v>
      </x:c>
      <x:c r="G19" s="2"/>
      <x:c r="H19" s="2"/>
      <x:c r="I19" s="2"/>
      <x:c r="J19" s="2"/>
    </x:row>
    <x:row r="20" ht="44" customHeight="1">
      <x:c r="A20" s="2"/>
      <x:c r="B20" s="8" t="str">
        <x:v>Baby / Feminine / Family volume</x:v>
      </x:c>
      <x:c r="C20" s="12" t="n">
        <x:f>SUMIF(Backtest!$B$6:$B$53,B20,Backtest!$F$6:$F$53)/COUNTIF(Backtest!$B$6:$B$53,B20)</x:f>
        <x:v>2.4804054313299306</x:v>
      </x:c>
      <x:c r="D20" s="12" t="n">
        <x:f>SUMIF(Backtest!$B$6:$B$53,B20,Backtest!$G$6:$G$53)/COUNTIF(Backtest!$B$6:$B$53,B20)</x:f>
        <x:v>3.5</x:v>
      </x:c>
      <x:c r="E20" s="12" t="n">
        <x:f>SUMIF(Backtest!$B$6:$B$53,B20,Backtest!$H$6:$H$53)/COUNTIF(Backtest!$B$6:$B$53,B20)</x:f>
        <x:v>2.53125</x:v>
      </x:c>
      <x:c r="F20" s="2" t="n">
        <x:f>COUNTIF(Backtest!$B$6:$B$53,B20)</x:f>
        <x:v>8</x:v>
      </x:c>
      <x:c r="G20" s="2"/>
      <x:c r="H20" s="2"/>
      <x:c r="I20" s="2"/>
      <x:c r="J20" s="2"/>
    </x:row>
    <x:row r="21" ht="44" customHeight="1">
      <x:c r="A21" s="2"/>
      <x:c r="B21" s="8" t="str">
        <x:v>Beauty organic sales</x:v>
      </x:c>
      <x:c r="C21" s="12" t="n">
        <x:f>SUMIF(Backtest!$B$6:$B$53,B21,Backtest!$F$6:$F$53)/COUNTIF(Backtest!$B$6:$B$53,B21)</x:f>
        <x:v>2.0203355598757637</x:v>
      </x:c>
      <x:c r="D21" s="12" t="n">
        <x:f>SUMIF(Backtest!$B$6:$B$53,B21,Backtest!$G$6:$G$53)/COUNTIF(Backtest!$B$6:$B$53,B21)</x:f>
        <x:v>2.5</x:v>
      </x:c>
      <x:c r="E21" s="12" t="n">
        <x:f>SUMIF(Backtest!$B$6:$B$53,B21,Backtest!$H$6:$H$53)/COUNTIF(Backtest!$B$6:$B$53,B21)</x:f>
        <x:v>2.34375</x:v>
      </x:c>
      <x:c r="F21" s="2" t="n">
        <x:f>COUNTIF(Backtest!$B$6:$B$53,B21)</x:f>
        <x:v>8</x:v>
      </x:c>
      <x:c r="G21" s="2"/>
      <x:c r="H21" s="2"/>
      <x:c r="I21" s="2"/>
      <x:c r="J21" s="2"/>
    </x:row>
    <x:row r="22" ht="44" customHeight="1">
      <x:c r="A22" s="2"/>
      <x:c r="B22" s="8" t="str">
        <x:v>Beauty volume</x:v>
      </x:c>
      <x:c r="C22" s="12" t="n">
        <x:f>SUMIF(Backtest!$B$6:$B$53,B22,Backtest!$F$6:$F$53)/COUNTIF(Backtest!$B$6:$B$53,B22)</x:f>
        <x:v>1.2404367347154266</x:v>
      </x:c>
      <x:c r="D22" s="12" t="n">
        <x:f>SUMIF(Backtest!$B$6:$B$53,B22,Backtest!$G$6:$G$53)/COUNTIF(Backtest!$B$6:$B$53,B22)</x:f>
        <x:v>1</x:v>
      </x:c>
      <x:c r="E22" s="12" t="n">
        <x:f>SUMIF(Backtest!$B$6:$B$53,B22,Backtest!$H$6:$H$53)/COUNTIF(Backtest!$B$6:$B$53,B22)</x:f>
        <x:v>1.3125</x:v>
      </x:c>
      <x:c r="F22" s="2" t="n">
        <x:f>COUNTIF(Backtest!$B$6:$B$53,B22)</x:f>
        <x:v>8</x:v>
      </x:c>
      <x:c r="G22" s="2"/>
      <x:c r="H22" s="2"/>
      <x:c r="I22" s="2"/>
      <x:c r="J22" s="2"/>
    </x:row>
    <x:row r="23" ht="44" customHeight="1">
      <x:c r="A23" s="2"/>
      <x:c r="B23" s="8" t="str">
        <x:v>Beauty pricing</x:v>
      </x:c>
      <x:c r="C23" s="12" t="n">
        <x:f>SUMIF(Backtest!$B$6:$B$53,B23,Backtest!$F$6:$F$53)/COUNTIF(Backtest!$B$6:$B$53,B23)</x:f>
        <x:v>1.125</x:v>
      </x:c>
      <x:c r="D23" s="12" t="n">
        <x:f>SUMIF(Backtest!$B$6:$B$53,B23,Backtest!$G$6:$G$53)/COUNTIF(Backtest!$B$6:$B$53,B23)</x:f>
        <x:v>1.125</x:v>
      </x:c>
      <x:c r="E23" s="12" t="n">
        <x:f>SUMIF(Backtest!$B$6:$B$53,B23,Backtest!$H$6:$H$53)/COUNTIF(Backtest!$B$6:$B$53,B23)</x:f>
        <x:v>1.28125</x:v>
      </x:c>
      <x:c r="F23" s="2" t="n">
        <x:f>COUNTIF(Backtest!$B$6:$B$53,B23)</x:f>
        <x:v>8</x:v>
      </x:c>
      <x:c r="G23" s="2"/>
      <x:c r="H23" s="2"/>
      <x:c r="I23" s="2"/>
      <x:c r="J23" s="2"/>
    </x:row>
    <x:row r="24" ht="44" customHeight="1">
      <x:c r="A24" s="2"/>
      <x:c r="B24" s="8" t="str">
        <x:v>Fabric &amp; Home volume</x:v>
      </x:c>
      <x:c r="C24" s="12" t="n">
        <x:f>SUMIF(Backtest!$B$6:$B$53,B24,Backtest!$F$6:$F$53)/COUNTIF(Backtest!$B$6:$B$53,B24)</x:f>
        <x:v>1.8730106812388165</x:v>
      </x:c>
      <x:c r="D24" s="12" t="n">
        <x:f>SUMIF(Backtest!$B$6:$B$53,B24,Backtest!$G$6:$G$53)/COUNTIF(Backtest!$B$6:$B$53,B24)</x:f>
        <x:v>1.625</x:v>
      </x:c>
      <x:c r="E24" s="12" t="n">
        <x:f>SUMIF(Backtest!$B$6:$B$53,B24,Backtest!$H$6:$H$53)/COUNTIF(Backtest!$B$6:$B$53,B24)</x:f>
        <x:v>1.53125</x:v>
      </x:c>
      <x:c r="F24" s="2" t="n">
        <x:f>COUNTIF(Backtest!$B$6:$B$53,B24)</x:f>
        <x:v>8</x:v>
      </x:c>
      <x:c r="G24" s="2"/>
      <x:c r="H24" s="2"/>
      <x:c r="I24" s="2"/>
      <x:c r="J24" s="2"/>
    </x:row>
    <x:row r="25" ht="44" customHeight="1">
      <x:c r="A25" s="2"/>
      <x:c r="B25" s="8" t="str">
        <x:v>Health Care pricing</x:v>
      </x:c>
      <x:c r="C25" s="12" t="n">
        <x:f>SUMIF(Backtest!$B$6:$B$53,B25,Backtest!$F$6:$F$53)/COUNTIF(Backtest!$B$6:$B$53,B25)</x:f>
        <x:v>0.6641962198468575</x:v>
      </x:c>
      <x:c r="D25" s="12" t="n">
        <x:f>SUMIF(Backtest!$B$6:$B$53,B25,Backtest!$G$6:$G$53)/COUNTIF(Backtest!$B$6:$B$53,B25)</x:f>
        <x:v>0.5</x:v>
      </x:c>
      <x:c r="E25" s="12" t="n">
        <x:f>SUMIF(Backtest!$B$6:$B$53,B25,Backtest!$H$6:$H$53)/COUNTIF(Backtest!$B$6:$B$53,B25)</x:f>
        <x:v>1.34375</x:v>
      </x:c>
      <x:c r="F25" s="2" t="n">
        <x:f>COUNTIF(Backtest!$B$6:$B$53,B25)</x:f>
        <x:v>8</x:v>
      </x:c>
      <x:c r="G25" s="2"/>
      <x:c r="H25" s="2"/>
      <x:c r="I25" s="2"/>
      <x:c r="J25" s="2"/>
    </x:row>
    <x:row r="26" ht="27" customHeight="1">
      <x:c r="A26" s="2"/>
      <x:c r="B26" s="2"/>
      <x:c r="C26" s="12"/>
      <x:c r="D26" s="12"/>
      <x:c r="E26" s="12"/>
      <x:c r="F26" s="2"/>
      <x:c r="G26" s="2"/>
      <x:c r="H26" s="2"/>
      <x:c r="I26" s="2"/>
      <x:c r="J26" s="2"/>
    </x:row>
    <x:row r="27" ht="27" customHeight="1">
      <x:c r="A27" s="2"/>
      <x:c r="B27" s="2" t="str">
        <x:v>All measures, equal weight</x:v>
      </x:c>
      <x:c r="C27" s="12" t="n">
        <x:f>AVERAGE(Backtest!F6:F53)</x:f>
        <x:v>1.5672307711677995</x:v>
      </x:c>
      <x:c r="D27" s="12" t="n">
        <x:f>AVERAGE(Backtest!G6:G53)</x:f>
        <x:v>1.7083333333333333</x:v>
      </x:c>
      <x:c r="E27" s="12" t="n">
        <x:f>AVERAGE(Backtest!H6:H53)</x:f>
        <x:v>1.7239583333333333</x:v>
      </x:c>
      <x:c r="F27" s="2"/>
      <x:c r="G27" s="2"/>
      <x:c r="H27" s="2"/>
      <x:c r="I27" s="2"/>
      <x:c r="J27" s="2"/>
    </x:row>
    <x:row r="28" ht="27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7" customHeight="1">
      <x:c r="A29" s="2"/>
      <x:c r="B29" s="2" t="str">
        <x:v>Eight evaluated quarters, June 2024–March 2026; four earlier quarters start selection.</x:v>
      </x:c>
      <x:c r="C29" s="2"/>
      <x:c r="D29" s="2"/>
      <x:c r="E29" s="2"/>
      <x:c r="F29" s="2"/>
      <x:c r="G29" s="2"/>
      <x:c r="H29" s="2"/>
      <x:c r="I29" s="2"/>
      <x:c r="J29" s="2"/>
    </x:row>
    <x:row r="30" ht="27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7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48" customHeight="1">
      <x:c r="A32" s="2"/>
      <x:c r="B32" s="7" t="str">
        <x:v>Revised uncertainty</x:v>
      </x:c>
      <x:c r="C32" s="7" t="str">
        <x:v>Point</x:v>
      </x:c>
      <x:c r="D32" s="7" t="str">
        <x:v>P10</x:v>
      </x:c>
      <x:c r="E32" s="7" t="str">
        <x:v>P90</x:v>
      </x:c>
      <x:c r="F32" s="7" t="str">
        <x:v>Below −1pp</x:v>
      </x:c>
      <x:c r="G32" s="7" t="str">
        <x:v>Within ±1pp</x:v>
      </x:c>
      <x:c r="H32" s="7" t="str">
        <x:v>Above +1pp</x:v>
      </x:c>
      <x:c r="I32" s="2"/>
      <x:c r="J32" s="2"/>
    </x:row>
    <x:row r="33" ht="44" customHeight="1">
      <x:c r="A33" s="2"/>
      <x:c r="B33" s="8" t="str">
        <x:v>Baby / Feminine / Family volume</x:v>
      </x:c>
      <x:c r="C33" s="12" t="n">
        <x:f>D6</x:f>
        <x:v>-0.5</x:v>
      </x:c>
      <x:c r="D33" s="12" t="n">
        <x:f>Inputs!G20</x:f>
        <x:v>-4.362547387885158</x:v>
      </x:c>
      <x:c r="E33" s="12" t="n">
        <x:f>Inputs!I20</x:f>
        <x:v>3.337162518705729</x:v>
      </x:c>
      <x:c r="F33" s="16" t="n">
        <x:f>Inputs!C20/Inputs!F20</x:f>
        <x:v>0.35771</x:v>
      </x:c>
      <x:c r="G33" s="16" t="n">
        <x:f>Inputs!D20/Inputs!F20</x:f>
        <x:v>0.28225</x:v>
      </x:c>
      <x:c r="H33" s="16" t="n">
        <x:f>Inputs!E20/Inputs!F20</x:f>
        <x:v>0.36004</x:v>
      </x:c>
      <x:c r="I33" s="2"/>
      <x:c r="J33" s="2"/>
    </x:row>
    <x:row r="34" ht="44" customHeight="1">
      <x:c r="A34" s="2"/>
      <x:c r="B34" s="8" t="str">
        <x:v>Beauty organic sales</x:v>
      </x:c>
      <x:c r="C34" s="12" t="n">
        <x:f>D7</x:f>
        <x:v>3.8392820319313055</x:v>
      </x:c>
      <x:c r="D34" s="12" t="n">
        <x:f>Inputs!G21</x:f>
        <x:v>0.8807265308078134</x:v>
      </x:c>
      <x:c r="E34" s="12" t="n">
        <x:f>Inputs!I21</x:f>
        <x:v>6.797176409112972</x:v>
      </x:c>
      <x:c r="F34" s="16" t="n">
        <x:f>Inputs!C21/Inputs!F21</x:f>
        <x:v>0.31748</x:v>
      </x:c>
      <x:c r="G34" s="16" t="n">
        <x:f>Inputs!D21/Inputs!F21</x:f>
        <x:v>0.3612</x:v>
      </x:c>
      <x:c r="H34" s="16" t="n">
        <x:f>Inputs!E21/Inputs!F21</x:f>
        <x:v>0.32132</x:v>
      </x:c>
      <x:c r="I34" s="2"/>
      <x:c r="J34" s="2"/>
    </x:row>
    <x:row r="35" ht="44" customHeight="1">
      <x:c r="A35" s="2"/>
      <x:c r="B35" s="8" t="str">
        <x:v>Beauty volume</x:v>
      </x:c>
      <x:c r="C35" s="12" t="n">
        <x:f>D8</x:f>
        <x:v>5</x:v>
      </x:c>
      <x:c r="D35" s="12" t="n">
        <x:f>Inputs!G22</x:f>
        <x:v>3.295355365448568</x:v>
      </x:c>
      <x:c r="E35" s="12" t="n">
        <x:f>Inputs!I22</x:f>
        <x:v>6.7135547432715486</x:v>
      </x:c>
      <x:c r="F35" s="16" t="n">
        <x:f>Inputs!C22/Inputs!F22</x:f>
        <x:v>0.21337</x:v>
      </x:c>
      <x:c r="G35" s="16" t="n">
        <x:f>Inputs!D22/Inputs!F22</x:f>
        <x:v>0.57226</x:v>
      </x:c>
      <x:c r="H35" s="16" t="n">
        <x:f>Inputs!E22/Inputs!F22</x:f>
        <x:v>0.21437</x:v>
      </x:c>
      <x:c r="I35" s="2"/>
      <x:c r="J35" s="2"/>
    </x:row>
    <x:row r="36" ht="44" customHeight="1">
      <x:c r="A36" s="2"/>
      <x:c r="B36" s="8" t="str">
        <x:v>Beauty pricing</x:v>
      </x:c>
      <x:c r="C36" s="12" t="n">
        <x:f>D9</x:f>
        <x:v>1.5</x:v>
      </x:c>
      <x:c r="D36" s="12" t="n">
        <x:f>Inputs!G23</x:f>
        <x:v>0.04638729182621949</x:v>
      </x:c>
      <x:c r="E36" s="12" t="n">
        <x:f>Inputs!I23</x:f>
        <x:v>2.964271407297328</x:v>
      </x:c>
      <x:c r="F36" s="16" t="n">
        <x:f>Inputs!C23/Inputs!F23</x:f>
        <x:v>0.17732</x:v>
      </x:c>
      <x:c r="G36" s="16" t="n">
        <x:f>Inputs!D23/Inputs!F23</x:f>
        <x:v>0.64413</x:v>
      </x:c>
      <x:c r="H36" s="16" t="n">
        <x:f>Inputs!E23/Inputs!F23</x:f>
        <x:v>0.17855</x:v>
      </x:c>
      <x:c r="I36" s="2"/>
      <x:c r="J36" s="2"/>
    </x:row>
    <x:row r="37" ht="44" customHeight="1">
      <x:c r="A37" s="2"/>
      <x:c r="B37" s="8" t="str">
        <x:v>Fabric &amp; Home volume</x:v>
      </x:c>
      <x:c r="C37" s="12" t="n">
        <x:f>D10</x:f>
        <x:v>0.6790497883522549</x:v>
      </x:c>
      <x:c r="D37" s="12" t="n">
        <x:f>Inputs!G24</x:f>
        <x:v>-1.6956610809031636</x:v>
      </x:c>
      <x:c r="E37" s="12" t="n">
        <x:f>Inputs!I24</x:f>
        <x:v>3.064342920314575</x:v>
      </x:c>
      <x:c r="F37" s="16" t="n">
        <x:f>Inputs!C24/Inputs!F24</x:f>
        <x:v>0.28</x:v>
      </x:c>
      <x:c r="G37" s="16" t="n">
        <x:f>Inputs!D24/Inputs!F24</x:f>
        <x:v>0.43836</x:v>
      </x:c>
      <x:c r="H37" s="16" t="n">
        <x:f>Inputs!E24/Inputs!F24</x:f>
        <x:v>0.28164</x:v>
      </x:c>
      <x:c r="I37" s="2"/>
      <x:c r="J37" s="2"/>
    </x:row>
    <x:row r="38" ht="44" customHeight="1">
      <x:c r="A38" s="2"/>
      <x:c r="B38" s="8" t="str">
        <x:v>Health Care pricing</x:v>
      </x:c>
      <x:c r="C38" s="12" t="n">
        <x:f>D11</x:f>
        <x:v>2</x:v>
      </x:c>
      <x:c r="D38" s="12" t="n">
        <x:f>Inputs!G25</x:f>
        <x:v>0.8583662415630727</x:v>
      </x:c>
      <x:c r="E38" s="12" t="n">
        <x:f>Inputs!I25</x:f>
        <x:v>3.144476250259789</x:v>
      </x:c>
      <x:c r="F38" s="16" t="n">
        <x:f>Inputs!C25/Inputs!F25</x:f>
        <x:v>0.12638</x:v>
      </x:c>
      <x:c r="G38" s="16" t="n">
        <x:f>Inputs!D25/Inputs!F25</x:f>
        <x:v>0.74694</x:v>
      </x:c>
      <x:c r="H38" s="16" t="n">
        <x:f>Inputs!E25/Inputs!F25</x:f>
        <x:v>0.12668</x:v>
      </x:c>
      <x:c r="I38" s="2"/>
      <x:c r="J38" s="2"/>
    </x:row>
    <x:row r="39" ht="27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7" customHeight="1">
      <x:c r="A40" s="2"/>
      <x:c r="B40" s="2" t="str">
        <x:v>Bands use the REVISED point. P10–P90 is an 80% model interval, not validated 80% coverage.</x:v>
      </x:c>
      <x:c r="C40" s="2"/>
      <x:c r="D40" s="2"/>
      <x:c r="E40" s="2"/>
      <x:c r="F40" s="2"/>
      <x:c r="G40" s="2"/>
      <x:c r="H40" s="2"/>
      <x:c r="I40" s="2"/>
      <x:c r="J40" s="2"/>
    </x:row>
    <x:row r="41" ht="27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7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48" customHeight="1">
      <x:c r="A43" s="2"/>
      <x:c r="B43" s="7" t="str">
        <x:v>Interval reliability</x:v>
      </x:c>
      <x:c r="C43" s="7" t="str">
        <x:v>Observed</x:v>
      </x:c>
      <x:c r="D43" s="7" t="str">
        <x:v>Target</x:v>
      </x:c>
      <x:c r="E43" s="2"/>
      <x:c r="F43" s="2"/>
      <x:c r="G43" s="2"/>
      <x:c r="H43" s="2"/>
      <x:c r="I43" s="2"/>
      <x:c r="J43" s="2"/>
    </x:row>
    <x:row r="44" ht="27" customHeight="1">
      <x:c r="A44" s="2"/>
      <x:c r="B44" s="2" t="str">
        <x:v>Historical coverage</x:v>
      </x:c>
      <x:c r="C44" s="16" t="n">
        <x:f>AVERAGE(Backtest!D58:D81)</x:f>
        <x:v>0.6666666666666666</x:v>
      </x:c>
      <x:c r="D44" s="16" t="n">
        <x:v>0.8</x:v>
      </x:c>
      <x:c r="E44" s="2"/>
      <x:c r="F44" s="2"/>
      <x:c r="G44" s="2"/>
      <x:c r="H44" s="2"/>
      <x:c r="I44" s="2"/>
      <x:c r="J44" s="2"/>
    </x:row>
    <x:row r="45" ht="27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7" customHeight="1">
      <x:c r="A46" s="2"/>
      <x:c r="B46" s="2" t="str">
        <x:v>Only 16 of 24 historical outcomes were covered. Risk ranges remain too narrow.</x:v>
      </x:c>
      <x:c r="C46" s="2"/>
      <x:c r="D46" s="2"/>
      <x:c r="E46" s="2"/>
      <x:c r="F46" s="2"/>
      <x:c r="G46" s="2"/>
      <x:c r="H46" s="2"/>
      <x:c r="I46" s="2"/>
      <x:c r="J46" s="2"/>
    </x:row>
    <x:row r="47" ht="27" customHeight="1">
      <x:c r="A47" s="2"/>
      <x:c r="B47" s="2" t="str">
        <x:v>The revised target interval includes 5 of 6 actual outcomes; Beauty volume is outside.</x:v>
      </x:c>
      <x:c r="C47" s="2"/>
      <x:c r="D47" s="2"/>
      <x:c r="E47" s="2"/>
      <x:c r="F47" s="2"/>
      <x:c r="G47" s="2"/>
      <x:c r="H47" s="2"/>
      <x:c r="I47" s="2"/>
      <x:c r="J47" s="2"/>
    </x:row>
    <x:row r="48" ht="27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7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7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7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27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7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7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7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27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7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7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7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7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 ht="27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7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7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7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7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7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7" customHeight="1">
      <x:c r="A2" s="2"/>
      <x:c r="B2" s="3" t="str">
        <x:v>Rolling forecast errors</x:v>
      </x:c>
      <x:c r="C2" s="2"/>
      <x:c r="D2" s="2"/>
      <x:c r="E2" s="2"/>
      <x:c r="F2" s="2"/>
      <x:c r="G2" s="2"/>
      <x:c r="H2" s="2"/>
      <x:c r="I2" s="2"/>
      <x:c r="J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8" customHeight="1">
      <x:c r="A5" s="2"/>
      <x:c r="B5" s="7" t="str">
        <x:v>Measure</x:v>
      </x:c>
      <x:c r="C5" s="7" t="str">
        <x:v>Quarter end</x:v>
      </x:c>
      <x:c r="D5" s="7" t="str">
        <x:v>Selected</x:v>
      </x:c>
      <x:c r="E5" s="7" t="str">
        <x:v>Actual</x:v>
      </x:c>
      <x:c r="F5" s="7" t="str">
        <x:v>Selected error</x:v>
      </x:c>
      <x:c r="G5" s="7" t="str">
        <x:v>Last-value error</x:v>
      </x:c>
      <x:c r="H5" s="7" t="str">
        <x:v>Four-quarter error</x:v>
      </x:c>
      <x:c r="I5" s="7" t="str">
        <x:v>Signed error</x:v>
      </x:c>
      <x:c r="J5" s="2"/>
    </x:row>
    <x:row r="6" ht="42" customHeight="1">
      <x:c r="A6" s="2"/>
      <x:c r="B6" s="8" t="str">
        <x:v>Baby / Feminine / Family volume</x:v>
      </x:c>
      <x:c r="C6" s="17" t="n">
        <x:v>45473</x:v>
      </x:c>
      <x:c r="D6" s="18" t="n">
        <x:f>Inputs!D35</x:f>
        <x:v>-1.929424714830222</x:v>
      </x:c>
      <x:c r="E6" s="18" t="n">
        <x:f>Inputs!G35</x:f>
        <x:v>-1</x:v>
      </x:c>
      <x:c r="F6" s="19" t="n">
        <x:f>ABS(D6-E6)</x:f>
        <x:v>0.9294247148302219</x:v>
      </x:c>
      <x:c r="G6" s="19" t="n">
        <x:f>ABS(Inputs!E35-E6)</x:f>
        <x:v>2</x:v>
      </x:c>
      <x:c r="H6" s="19" t="n">
        <x:f>ABS(Inputs!F35-E6)</x:f>
        <x:v>1</x:v>
      </x:c>
      <x:c r="I6" s="19" t="n">
        <x:f>E6-D6</x:f>
        <x:v>0.9294247148302219</x:v>
      </x:c>
      <x:c r="J6" s="2"/>
    </x:row>
    <x:row r="7" ht="42" customHeight="1">
      <x:c r="A7" s="2"/>
      <x:c r="B7" s="8" t="str">
        <x:v>Baby / Feminine / Family volume</x:v>
      </x:c>
      <x:c r="C7" s="17" t="n">
        <x:v>45565</x:v>
      </x:c>
      <x:c r="D7" s="18" t="n">
        <x:f>Inputs!D36</x:f>
        <x:v>-1.9335751121489584</x:v>
      </x:c>
      <x:c r="E7" s="18" t="n">
        <x:f>Inputs!G36</x:f>
        <x:v>-1</x:v>
      </x:c>
      <x:c r="F7" s="19" t="n">
        <x:f>ABS(D7-E7)</x:f>
        <x:v>0.9335751121489584</x:v>
      </x:c>
      <x:c r="G7" s="19" t="n">
        <x:f>ABS(Inputs!E36-E7)</x:f>
        <x:v>0</x:v>
      </x:c>
      <x:c r="H7" s="19" t="n">
        <x:f>ABS(Inputs!F36-E7)</x:f>
        <x:v>1.25</x:v>
      </x:c>
      <x:c r="I7" s="19" t="n">
        <x:f>E7-D7</x:f>
        <x:v>0.9335751121489584</x:v>
      </x:c>
      <x:c r="J7" s="2"/>
    </x:row>
    <x:row r="8" ht="42" customHeight="1">
      <x:c r="A8" s="2"/>
      <x:c r="B8" s="8" t="str">
        <x:v>Baby / Feminine / Family volume</x:v>
      </x:c>
      <x:c r="C8" s="17" t="n">
        <x:v>45657</x:v>
      </x:c>
      <x:c r="D8" s="18" t="n">
        <x:f>Inputs!D37</x:f>
        <x:v>-1.862489404553953</x:v>
      </x:c>
      <x:c r="E8" s="18" t="n">
        <x:f>Inputs!G37</x:f>
        <x:v>4</x:v>
      </x:c>
      <x:c r="F8" s="19" t="n">
        <x:f>ABS(D8-E8)</x:f>
        <x:v>5.862489404553953</x:v>
      </x:c>
      <x:c r="G8" s="19" t="n">
        <x:f>ABS(Inputs!E37-E8)</x:f>
        <x:v>5</x:v>
      </x:c>
      <x:c r="H8" s="19" t="n">
        <x:f>ABS(Inputs!F37-E8)</x:f>
        <x:v>5.75</x:v>
      </x:c>
      <x:c r="I8" s="19" t="n">
        <x:f>E8-D8</x:f>
        <x:v>5.862489404553953</x:v>
      </x:c>
      <x:c r="J8" s="2"/>
    </x:row>
    <x:row r="9" ht="42" customHeight="1">
      <x:c r="A9" s="2"/>
      <x:c r="B9" s="8" t="str">
        <x:v>Baby / Feminine / Family volume</x:v>
      </x:c>
      <x:c r="C9" s="17" t="n">
        <x:v>45747</x:v>
      </x:c>
      <x:c r="D9" s="18" t="n">
        <x:f>Inputs!D38</x:f>
        <x:v>-1.7923250922589065</x:v>
      </x:c>
      <x:c r="E9" s="18" t="n">
        <x:f>Inputs!G38</x:f>
        <x:v>-2</x:v>
      </x:c>
      <x:c r="F9" s="19" t="n">
        <x:f>ABS(D9-E9)</x:f>
        <x:v>0.20767490774109354</x:v>
      </x:c>
      <x:c r="G9" s="19" t="n">
        <x:f>ABS(Inputs!E38-E9)</x:f>
        <x:v>6</x:v>
      </x:c>
      <x:c r="H9" s="19" t="n">
        <x:f>ABS(Inputs!F38-E9)</x:f>
        <x:v>1.75</x:v>
      </x:c>
      <x:c r="I9" s="19" t="n">
        <x:f>E9-D9</x:f>
        <x:v>-0.20767490774109354</x:v>
      </x:c>
      <x:c r="J9" s="2"/>
    </x:row>
    <x:row r="10" ht="42" customHeight="1">
      <x:c r="A10" s="2"/>
      <x:c r="B10" s="8" t="str">
        <x:v>Baby / Feminine / Family volume</x:v>
      </x:c>
      <x:c r="C10" s="17" t="n">
        <x:v>45838</x:v>
      </x:c>
      <x:c r="D10" s="18" t="n">
        <x:f>Inputs!D39</x:f>
        <x:v>-1.410079311365218</x:v>
      </x:c>
      <x:c r="E10" s="18" t="n">
        <x:f>Inputs!G39</x:f>
        <x:v>0</x:v>
      </x:c>
      <x:c r="F10" s="19" t="n">
        <x:f>ABS(D10-E10)</x:f>
        <x:v>1.410079311365218</x:v>
      </x:c>
      <x:c r="G10" s="19" t="n">
        <x:f>ABS(Inputs!E39-E10)</x:f>
        <x:v>2</x:v>
      </x:c>
      <x:c r="H10" s="19" t="n">
        <x:f>ABS(Inputs!F39-E10)</x:f>
        <x:v>0</x:v>
      </x:c>
      <x:c r="I10" s="19" t="n">
        <x:f>E10-D10</x:f>
        <x:v>1.410079311365218</x:v>
      </x:c>
      <x:c r="J10" s="2"/>
    </x:row>
    <x:row r="11" ht="42" customHeight="1">
      <x:c r="A11" s="2"/>
      <x:c r="B11" s="8" t="str">
        <x:v>Baby / Feminine / Family volume</x:v>
      </x:c>
      <x:c r="C11" s="17" t="n">
        <x:v>45930</x:v>
      </x:c>
      <x:c r="D11" s="18" t="n">
        <x:f>Inputs!D40</x:f>
        <x:v>0.25</x:v>
      </x:c>
      <x:c r="E11" s="18" t="n">
        <x:f>Inputs!G40</x:f>
        <x:v>0</x:v>
      </x:c>
      <x:c r="F11" s="19" t="n">
        <x:f>ABS(D11-E11)</x:f>
        <x:v>0.25</x:v>
      </x:c>
      <x:c r="G11" s="19" t="n">
        <x:f>ABS(Inputs!E40-E11)</x:f>
        <x:v>0</x:v>
      </x:c>
      <x:c r="H11" s="19" t="n">
        <x:f>ABS(Inputs!F40-E11)</x:f>
        <x:v>0.25</x:v>
      </x:c>
      <x:c r="I11" s="19" t="n">
        <x:f>E11-D11</x:f>
        <x:v>-0.25</x:v>
      </x:c>
      <x:c r="J11" s="2"/>
    </x:row>
    <x:row r="12" ht="42" customHeight="1">
      <x:c r="A12" s="2"/>
      <x:c r="B12" s="8" t="str">
        <x:v>Baby / Feminine / Family volume</x:v>
      </x:c>
      <x:c r="C12" s="17" t="n">
        <x:v>46022</x:v>
      </x:c>
      <x:c r="D12" s="18" t="n">
        <x:f>Inputs!D41</x:f>
        <x:v>0.5</x:v>
      </x:c>
      <x:c r="E12" s="18" t="n">
        <x:f>Inputs!G41</x:f>
        <x:v>-5</x:v>
      </x:c>
      <x:c r="F12" s="19" t="n">
        <x:f>ABS(D12-E12)</x:f>
        <x:v>5.5</x:v>
      </x:c>
      <x:c r="G12" s="19" t="n">
        <x:f>ABS(Inputs!E41-E12)</x:f>
        <x:v>5</x:v>
      </x:c>
      <x:c r="H12" s="19" t="n">
        <x:f>ABS(Inputs!F41-E12)</x:f>
        <x:v>5.5</x:v>
      </x:c>
      <x:c r="I12" s="19" t="n">
        <x:f>E12-D12</x:f>
        <x:v>-5.5</x:v>
      </x:c>
      <x:c r="J12" s="2"/>
    </x:row>
    <x:row r="13" ht="42" customHeight="1">
      <x:c r="A13" s="2"/>
      <x:c r="B13" s="8" t="str">
        <x:v>Baby / Feminine / Family volume</x:v>
      </x:c>
      <x:c r="C13" s="17" t="n">
        <x:v>46112</x:v>
      </x:c>
      <x:c r="D13" s="18" t="n">
        <x:f>Inputs!D42</x:f>
        <x:v>-1.75</x:v>
      </x:c>
      <x:c r="E13" s="18" t="n">
        <x:f>Inputs!G42</x:f>
        <x:v>3</x:v>
      </x:c>
      <x:c r="F13" s="19" t="n">
        <x:f>ABS(D13-E13)</x:f>
        <x:v>4.75</x:v>
      </x:c>
      <x:c r="G13" s="19" t="n">
        <x:f>ABS(Inputs!E42-E13)</x:f>
        <x:v>8</x:v>
      </x:c>
      <x:c r="H13" s="19" t="n">
        <x:f>ABS(Inputs!F42-E13)</x:f>
        <x:v>4.75</x:v>
      </x:c>
      <x:c r="I13" s="19" t="n">
        <x:f>E13-D13</x:f>
        <x:v>4.75</x:v>
      </x:c>
      <x:c r="J13" s="2"/>
    </x:row>
    <x:row r="14" ht="42" customHeight="1">
      <x:c r="A14" s="2"/>
      <x:c r="B14" s="8" t="str">
        <x:v>Beauty organic sales</x:v>
      </x:c>
      <x:c r="C14" s="17" t="n">
        <x:v>45473</x:v>
      </x:c>
      <x:c r="D14" s="18" t="n">
        <x:f>Inputs!D43</x:f>
        <x:v>3.2018905825898383</x:v>
      </x:c>
      <x:c r="E14" s="18" t="n">
        <x:f>Inputs!G43</x:f>
        <x:v>3</x:v>
      </x:c>
      <x:c r="F14" s="19" t="n">
        <x:f>ABS(D14-E14)</x:f>
        <x:v>0.20189058258983827</x:v>
      </x:c>
      <x:c r="G14" s="19" t="n">
        <x:f>ABS(Inputs!E43-E14)</x:f>
        <x:v>0</x:v>
      </x:c>
      <x:c r="H14" s="19" t="n">
        <x:f>ABS(Inputs!F43-E14)</x:f>
        <x:v>2</x:v>
      </x:c>
      <x:c r="I14" s="19" t="n">
        <x:f>E14-D14</x:f>
        <x:v>-0.20189058258983827</x:v>
      </x:c>
      <x:c r="J14" s="2"/>
    </x:row>
    <x:row r="15" ht="42" customHeight="1">
      <x:c r="A15" s="2"/>
      <x:c r="B15" s="8" t="str">
        <x:v>Beauty organic sales</x:v>
      </x:c>
      <x:c r="C15" s="17" t="n">
        <x:v>45565</x:v>
      </x:c>
      <x:c r="D15" s="18" t="n">
        <x:f>Inputs!D44</x:f>
        <x:v>3.038011159895085</x:v>
      </x:c>
      <x:c r="E15" s="18" t="n">
        <x:f>Inputs!G44</x:f>
        <x:v>-2</x:v>
      </x:c>
      <x:c r="F15" s="19" t="n">
        <x:f>ABS(D15-E15)</x:f>
        <x:v>5.038011159895085</x:v>
      </x:c>
      <x:c r="G15" s="19" t="n">
        <x:f>ABS(Inputs!E44-E15)</x:f>
        <x:v>5</x:v>
      </x:c>
      <x:c r="H15" s="19" t="n">
        <x:f>ABS(Inputs!F44-E15)</x:f>
        <x:v>5</x:v>
      </x:c>
      <x:c r="I15" s="19" t="n">
        <x:f>E15-D15</x:f>
        <x:v>-5.038011159895085</x:v>
      </x:c>
      <x:c r="J15" s="2"/>
    </x:row>
    <x:row r="16" ht="42" customHeight="1">
      <x:c r="A16" s="2"/>
      <x:c r="B16" s="8" t="str">
        <x:v>Beauty organic sales</x:v>
      </x:c>
      <x:c r="C16" s="17" t="n">
        <x:v>45657</x:v>
      </x:c>
      <x:c r="D16" s="18" t="n">
        <x:f>Inputs!D45</x:f>
        <x:v>0.6210243564971965</x:v>
      </x:c>
      <x:c r="E16" s="18" t="n">
        <x:f>Inputs!G45</x:f>
        <x:v>2</x:v>
      </x:c>
      <x:c r="F16" s="19" t="n">
        <x:f>ABS(D16-E16)</x:f>
        <x:v>1.3789756435028035</x:v>
      </x:c>
      <x:c r="G16" s="19" t="n">
        <x:f>ABS(Inputs!E45-E16)</x:f>
        <x:v>4</x:v>
      </x:c>
      <x:c r="H16" s="19" t="n">
        <x:f>ABS(Inputs!F45-E16)</x:f>
        <x:v>0.75</x:v>
      </x:c>
      <x:c r="I16" s="19" t="n">
        <x:f>E16-D16</x:f>
        <x:v>1.3789756435028035</x:v>
      </x:c>
      <x:c r="J16" s="2"/>
    </x:row>
    <x:row r="17" ht="42" customHeight="1">
      <x:c r="A17" s="2"/>
      <x:c r="B17" s="8" t="str">
        <x:v>Beauty organic sales</x:v>
      </x:c>
      <x:c r="C17" s="17" t="n">
        <x:v>45747</x:v>
      </x:c>
      <x:c r="D17" s="18" t="n">
        <x:f>Inputs!D46</x:f>
        <x:v>1.6832428638579442</x:v>
      </x:c>
      <x:c r="E17" s="18" t="n">
        <x:f>Inputs!G46</x:f>
        <x:v>2</x:v>
      </x:c>
      <x:c r="F17" s="19" t="n">
        <x:f>ABS(D17-E17)</x:f>
        <x:v>0.3167571361420558</x:v>
      </x:c>
      <x:c r="G17" s="19" t="n">
        <x:f>ABS(Inputs!E46-E17)</x:f>
        <x:v>0</x:v>
      </x:c>
      <x:c r="H17" s="19" t="n">
        <x:f>ABS(Inputs!F46-E17)</x:f>
        <x:v>0.5</x:v>
      </x:c>
      <x:c r="I17" s="19" t="n">
        <x:f>E17-D17</x:f>
        <x:v>0.3167571361420558</x:v>
      </x:c>
      <x:c r="J17" s="2"/>
    </x:row>
    <x:row r="18" ht="42" customHeight="1">
      <x:c r="A18" s="2"/>
      <x:c r="B18" s="8" t="str">
        <x:v>Beauty organic sales</x:v>
      </x:c>
      <x:c r="C18" s="17" t="n">
        <x:v>45838</x:v>
      </x:c>
      <x:c r="D18" s="18" t="n">
        <x:f>Inputs!D47</x:f>
        <x:v>2.5123240245511873</x:v>
      </x:c>
      <x:c r="E18" s="18" t="n">
        <x:f>Inputs!G47</x:f>
        <x:v>1</x:v>
      </x:c>
      <x:c r="F18" s="19" t="n">
        <x:f>ABS(D18-E18)</x:f>
        <x:v>1.5123240245511873</x:v>
      </x:c>
      <x:c r="G18" s="19" t="n">
        <x:f>ABS(Inputs!E47-E18)</x:f>
        <x:v>1</x:v>
      </x:c>
      <x:c r="H18" s="19" t="n">
        <x:f>ABS(Inputs!F47-E18)</x:f>
        <x:v>0.25</x:v>
      </x:c>
      <x:c r="I18" s="19" t="n">
        <x:f>E18-D18</x:f>
        <x:v>-1.5123240245511873</x:v>
      </x:c>
      <x:c r="J18" s="2"/>
    </x:row>
    <x:row r="19" ht="42" customHeight="1">
      <x:c r="A19" s="2"/>
      <x:c r="B19" s="8" t="str">
        <x:v>Beauty organic sales</x:v>
      </x:c>
      <x:c r="C19" s="17" t="n">
        <x:v>45930</x:v>
      </x:c>
      <x:c r="D19" s="18" t="n">
        <x:f>Inputs!D48</x:f>
        <x:v>2.4239600950795355</x:v>
      </x:c>
      <x:c r="E19" s="18" t="n">
        <x:f>Inputs!G48</x:f>
        <x:v>6</x:v>
      </x:c>
      <x:c r="F19" s="19" t="n">
        <x:f>ABS(D19-E19)</x:f>
        <x:v>3.5760399049204645</x:v>
      </x:c>
      <x:c r="G19" s="19" t="n">
        <x:f>ABS(Inputs!E48-E19)</x:f>
        <x:v>5</x:v>
      </x:c>
      <x:c r="H19" s="19" t="n">
        <x:f>ABS(Inputs!F48-E19)</x:f>
        <x:v>5.25</x:v>
      </x:c>
      <x:c r="I19" s="19" t="n">
        <x:f>E19-D19</x:f>
        <x:v>3.5760399049204645</x:v>
      </x:c>
      <x:c r="J19" s="2"/>
    </x:row>
    <x:row r="20" ht="42" customHeight="1">
      <x:c r="A20" s="2"/>
      <x:c r="B20" s="8" t="str">
        <x:v>Beauty organic sales</x:v>
      </x:c>
      <x:c r="C20" s="17" t="n">
        <x:v>46022</x:v>
      </x:c>
      <x:c r="D20" s="18" t="n">
        <x:f>Inputs!D49</x:f>
        <x:v>3.1366038819089055</x:v>
      </x:c>
      <x:c r="E20" s="18" t="n">
        <x:f>Inputs!G49</x:f>
        <x:v>4</x:v>
      </x:c>
      <x:c r="F20" s="19" t="n">
        <x:f>ABS(D20-E20)</x:f>
        <x:v>0.8633961180910945</x:v>
      </x:c>
      <x:c r="G20" s="19" t="n">
        <x:f>ABS(Inputs!E49-E20)</x:f>
        <x:v>2</x:v>
      </x:c>
      <x:c r="H20" s="19" t="n">
        <x:f>ABS(Inputs!F49-E20)</x:f>
        <x:v>1.25</x:v>
      </x:c>
      <x:c r="I20" s="19" t="n">
        <x:f>E20-D20</x:f>
        <x:v>0.8633961180910945</x:v>
      </x:c>
      <x:c r="J20" s="2"/>
    </x:row>
    <x:row r="21" ht="42" customHeight="1">
      <x:c r="A21" s="2"/>
      <x:c r="B21" s="8" t="str">
        <x:v>Beauty organic sales</x:v>
      </x:c>
      <x:c r="C21" s="17" t="n">
        <x:v>46112</x:v>
      </x:c>
      <x:c r="D21" s="18" t="n">
        <x:f>Inputs!D50</x:f>
        <x:v>3.7247100906864166</x:v>
      </x:c>
      <x:c r="E21" s="18" t="n">
        <x:f>Inputs!G50</x:f>
        <x:v>7</x:v>
      </x:c>
      <x:c r="F21" s="19" t="n">
        <x:f>ABS(D21-E21)</x:f>
        <x:v>3.2752899093135834</x:v>
      </x:c>
      <x:c r="G21" s="19" t="n">
        <x:f>ABS(Inputs!E50-E21)</x:f>
        <x:v>3</x:v>
      </x:c>
      <x:c r="H21" s="19" t="n">
        <x:f>ABS(Inputs!F50-E21)</x:f>
        <x:v>3.75</x:v>
      </x:c>
      <x:c r="I21" s="19" t="n">
        <x:f>E21-D21</x:f>
        <x:v>3.2752899093135834</x:v>
      </x:c>
      <x:c r="J21" s="2"/>
    </x:row>
    <x:row r="22" ht="42" customHeight="1">
      <x:c r="A22" s="2"/>
      <x:c r="B22" s="8" t="str">
        <x:v>Beauty volume</x:v>
      </x:c>
      <x:c r="C22" s="17" t="n">
        <x:v>45473</x:v>
      </x:c>
      <x:c r="D22" s="18" t="n">
        <x:f>Inputs!D51</x:f>
        <x:v>0</x:v>
      </x:c>
      <x:c r="E22" s="18" t="n">
        <x:f>Inputs!G51</x:f>
        <x:v>1</x:v>
      </x:c>
      <x:c r="F22" s="19" t="n">
        <x:f>ABS(D22-E22)</x:f>
        <x:v>1</x:v>
      </x:c>
      <x:c r="G22" s="19" t="n">
        <x:f>ABS(Inputs!E51-E22)</x:f>
        <x:v>0</x:v>
      </x:c>
      <x:c r="H22" s="19" t="n">
        <x:f>ABS(Inputs!F51-E22)</x:f>
        <x:v>1.25</x:v>
      </x:c>
      <x:c r="I22" s="19" t="n">
        <x:f>E22-D22</x:f>
        <x:v>1</x:v>
      </x:c>
      <x:c r="J22" s="2"/>
    </x:row>
    <x:row r="23" ht="42" customHeight="1">
      <x:c r="A23" s="2"/>
      <x:c r="B23" s="8" t="str">
        <x:v>Beauty volume</x:v>
      </x:c>
      <x:c r="C23" s="17" t="n">
        <x:v>45565</x:v>
      </x:c>
      <x:c r="D23" s="18" t="n">
        <x:f>Inputs!D52</x:f>
        <x:v>1</x:v>
      </x:c>
      <x:c r="E23" s="18" t="n">
        <x:f>Inputs!G52</x:f>
        <x:v>0</x:v>
      </x:c>
      <x:c r="F23" s="19" t="n">
        <x:f>ABS(D23-E23)</x:f>
        <x:v>1</x:v>
      </x:c>
      <x:c r="G23" s="19" t="n">
        <x:f>ABS(Inputs!E52-E23)</x:f>
        <x:v>1</x:v>
      </x:c>
      <x:c r="H23" s="19" t="n">
        <x:f>ABS(Inputs!F52-E23)</x:f>
        <x:v>0.25</x:v>
      </x:c>
      <x:c r="I23" s="19" t="n">
        <x:f>E23-D23</x:f>
        <x:v>-1</x:v>
      </x:c>
      <x:c r="J23" s="2"/>
    </x:row>
    <x:row r="24" ht="42" customHeight="1">
      <x:c r="A24" s="2"/>
      <x:c r="B24" s="8" t="str">
        <x:v>Beauty volume</x:v>
      </x:c>
      <x:c r="C24" s="17" t="n">
        <x:v>45657</x:v>
      </x:c>
      <x:c r="D24" s="18" t="n">
        <x:f>Inputs!D53</x:f>
        <x:v>-0.22548608847670445</x:v>
      </x:c>
      <x:c r="E24" s="18" t="n">
        <x:f>Inputs!G53</x:f>
        <x:v>0</x:v>
      </x:c>
      <x:c r="F24" s="19" t="n">
        <x:f>ABS(D24-E24)</x:f>
        <x:v>0.22548608847670445</x:v>
      </x:c>
      <x:c r="G24" s="19" t="n">
        <x:f>ABS(Inputs!E53-E24)</x:f>
        <x:v>0</x:v>
      </x:c>
      <x:c r="H24" s="19" t="n">
        <x:f>ABS(Inputs!F53-E24)</x:f>
        <x:v>0.25</x:v>
      </x:c>
      <x:c r="I24" s="19" t="n">
        <x:f>E24-D24</x:f>
        <x:v>0.22548608847670445</x:v>
      </x:c>
      <x:c r="J24" s="2"/>
    </x:row>
    <x:row r="25" ht="42" customHeight="1">
      <x:c r="A25" s="2"/>
      <x:c r="B25" s="8" t="str">
        <x:v>Beauty volume</x:v>
      </x:c>
      <x:c r="C25" s="17" t="n">
        <x:v>45747</x:v>
      </x:c>
      <x:c r="D25" s="18" t="n">
        <x:f>Inputs!D54</x:f>
        <x:v>-0.19800778924670956</x:v>
      </x:c>
      <x:c r="E25" s="18" t="n">
        <x:f>Inputs!G54</x:f>
        <x:v>1</x:v>
      </x:c>
      <x:c r="F25" s="19" t="n">
        <x:f>ABS(D25-E25)</x:f>
        <x:v>1.1980077892467096</x:v>
      </x:c>
      <x:c r="G25" s="19" t="n">
        <x:f>ABS(Inputs!E54-E25)</x:f>
        <x:v>1</x:v>
      </x:c>
      <x:c r="H25" s="19" t="n">
        <x:f>ABS(Inputs!F54-E25)</x:f>
        <x:v>0.5</x:v>
      </x:c>
      <x:c r="I25" s="19" t="n">
        <x:f>E25-D25</x:f>
        <x:v>1.1980077892467096</x:v>
      </x:c>
      <x:c r="J25" s="2"/>
    </x:row>
    <x:row r="26" ht="42" customHeight="1">
      <x:c r="A26" s="2"/>
      <x:c r="B26" s="8" t="str">
        <x:v>Beauty volume</x:v>
      </x:c>
      <x:c r="C26" s="17" t="n">
        <x:v>45838</x:v>
      </x:c>
      <x:c r="D26" s="18" t="n">
        <x:f>Inputs!D55</x:f>
        <x:v>0.5</x:v>
      </x:c>
      <x:c r="E26" s="18" t="n">
        <x:f>Inputs!G55</x:f>
        <x:v>1</x:v>
      </x:c>
      <x:c r="F26" s="19" t="n">
        <x:f>ABS(D26-E26)</x:f>
        <x:v>0.5</x:v>
      </x:c>
      <x:c r="G26" s="19" t="n">
        <x:f>ABS(Inputs!E55-E26)</x:f>
        <x:v>0</x:v>
      </x:c>
      <x:c r="H26" s="19" t="n">
        <x:f>ABS(Inputs!F55-E26)</x:f>
        <x:v>0.5</x:v>
      </x:c>
      <x:c r="I26" s="19" t="n">
        <x:f>E26-D26</x:f>
        <x:v>0.5</x:v>
      </x:c>
      <x:c r="J26" s="2"/>
    </x:row>
    <x:row r="27" ht="42" customHeight="1">
      <x:c r="A27" s="2"/>
      <x:c r="B27" s="8" t="str">
        <x:v>Beauty volume</x:v>
      </x:c>
      <x:c r="C27" s="17" t="n">
        <x:v>45930</x:v>
      </x:c>
      <x:c r="D27" s="18" t="n">
        <x:f>Inputs!D56</x:f>
        <x:v>1</x:v>
      </x:c>
      <x:c r="E27" s="18" t="n">
        <x:f>Inputs!G56</x:f>
        <x:v>4</x:v>
      </x:c>
      <x:c r="F27" s="19" t="n">
        <x:f>ABS(D27-E27)</x:f>
        <x:v>3</x:v>
      </x:c>
      <x:c r="G27" s="19" t="n">
        <x:f>ABS(Inputs!E56-E27)</x:f>
        <x:v>3</x:v>
      </x:c>
      <x:c r="H27" s="19" t="n">
        <x:f>ABS(Inputs!F56-E27)</x:f>
        <x:v>3.5</x:v>
      </x:c>
      <x:c r="I27" s="19" t="n">
        <x:f>E27-D27</x:f>
        <x:v>3</x:v>
      </x:c>
      <x:c r="J27" s="2"/>
    </x:row>
    <x:row r="28" ht="42" customHeight="1">
      <x:c r="A28" s="2"/>
      <x:c r="B28" s="8" t="str">
        <x:v>Beauty volume</x:v>
      </x:c>
      <x:c r="C28" s="17" t="n">
        <x:v>46022</x:v>
      </x:c>
      <x:c r="D28" s="18" t="n">
        <x:f>Inputs!D57</x:f>
        <x:v>4</x:v>
      </x:c>
      <x:c r="E28" s="18" t="n">
        <x:f>Inputs!G57</x:f>
        <x:v>3</x:v>
      </x:c>
      <x:c r="F28" s="19" t="n">
        <x:f>ABS(D28-E28)</x:f>
        <x:v>1</x:v>
      </x:c>
      <x:c r="G28" s="19" t="n">
        <x:f>ABS(Inputs!E57-E28)</x:f>
        <x:v>1</x:v>
      </x:c>
      <x:c r="H28" s="19" t="n">
        <x:f>ABS(Inputs!F57-E28)</x:f>
        <x:v>1.5</x:v>
      </x:c>
      <x:c r="I28" s="19" t="n">
        <x:f>E28-D28</x:f>
        <x:v>-1</x:v>
      </x:c>
      <x:c r="J28" s="2"/>
    </x:row>
    <x:row r="29" ht="42" customHeight="1">
      <x:c r="A29" s="2"/>
      <x:c r="B29" s="8" t="str">
        <x:v>Beauty volume</x:v>
      </x:c>
      <x:c r="C29" s="17" t="n">
        <x:v>46112</x:v>
      </x:c>
      <x:c r="D29" s="18" t="n">
        <x:f>Inputs!D58</x:f>
        <x:v>3</x:v>
      </x:c>
      <x:c r="E29" s="18" t="n">
        <x:f>Inputs!G58</x:f>
        <x:v>5</x:v>
      </x:c>
      <x:c r="F29" s="19" t="n">
        <x:f>ABS(D29-E29)</x:f>
        <x:v>2</x:v>
      </x:c>
      <x:c r="G29" s="19" t="n">
        <x:f>ABS(Inputs!E58-E29)</x:f>
        <x:v>2</x:v>
      </x:c>
      <x:c r="H29" s="19" t="n">
        <x:f>ABS(Inputs!F58-E29)</x:f>
        <x:v>2.75</x:v>
      </x:c>
      <x:c r="I29" s="19" t="n">
        <x:f>E29-D29</x:f>
        <x:v>2</x:v>
      </x:c>
      <x:c r="J29" s="2"/>
    </x:row>
    <x:row r="30" ht="42" customHeight="1">
      <x:c r="A30" s="2"/>
      <x:c r="B30" s="8" t="str">
        <x:v>Beauty pricing</x:v>
      </x:c>
      <x:c r="C30" s="17" t="n">
        <x:v>45473</x:v>
      </x:c>
      <x:c r="D30" s="18" t="n">
        <x:f>Inputs!D59</x:f>
        <x:v>4</x:v>
      </x:c>
      <x:c r="E30" s="18" t="n">
        <x:f>Inputs!G59</x:f>
        <x:v>3</x:v>
      </x:c>
      <x:c r="F30" s="19" t="n">
        <x:f>ABS(D30-E30)</x:f>
        <x:v>1</x:v>
      </x:c>
      <x:c r="G30" s="19" t="n">
        <x:f>ABS(Inputs!E59-E30)</x:f>
        <x:v>1</x:v>
      </x:c>
      <x:c r="H30" s="19" t="n">
        <x:f>ABS(Inputs!F59-E30)</x:f>
        <x:v>2.75</x:v>
      </x:c>
      <x:c r="I30" s="19" t="n">
        <x:f>E30-D30</x:f>
        <x:v>-1</x:v>
      </x:c>
      <x:c r="J30" s="2"/>
    </x:row>
    <x:row r="31" ht="42" customHeight="1">
      <x:c r="A31" s="2"/>
      <x:c r="B31" s="8" t="str">
        <x:v>Beauty pricing</x:v>
      </x:c>
      <x:c r="C31" s="17" t="n">
        <x:v>45565</x:v>
      </x:c>
      <x:c r="D31" s="18" t="n">
        <x:f>Inputs!D60</x:f>
        <x:v>3</x:v>
      </x:c>
      <x:c r="E31" s="18" t="n">
        <x:f>Inputs!G60</x:f>
        <x:v>1</x:v>
      </x:c>
      <x:c r="F31" s="19" t="n">
        <x:f>ABS(D31-E31)</x:f>
        <x:v>2</x:v>
      </x:c>
      <x:c r="G31" s="19" t="n">
        <x:f>ABS(Inputs!E60-E31)</x:f>
        <x:v>2</x:v>
      </x:c>
      <x:c r="H31" s="19" t="n">
        <x:f>ABS(Inputs!F60-E31)</x:f>
        <x:v>3.5</x:v>
      </x:c>
      <x:c r="I31" s="19" t="n">
        <x:f>E31-D31</x:f>
        <x:v>-2</x:v>
      </x:c>
      <x:c r="J31" s="2"/>
    </x:row>
    <x:row r="32" ht="42" customHeight="1">
      <x:c r="A32" s="2"/>
      <x:c r="B32" s="8" t="str">
        <x:v>Beauty pricing</x:v>
      </x:c>
      <x:c r="C32" s="17" t="n">
        <x:v>45657</x:v>
      </x:c>
      <x:c r="D32" s="18" t="n">
        <x:f>Inputs!D61</x:f>
        <x:v>1</x:v>
      </x:c>
      <x:c r="E32" s="18" t="n">
        <x:f>Inputs!G61</x:f>
        <x:v>2</x:v>
      </x:c>
      <x:c r="F32" s="19" t="n">
        <x:f>ABS(D32-E32)</x:f>
        <x:v>1</x:v>
      </x:c>
      <x:c r="G32" s="19" t="n">
        <x:f>ABS(Inputs!E61-E32)</x:f>
        <x:v>1</x:v>
      </x:c>
      <x:c r="H32" s="19" t="n">
        <x:f>ABS(Inputs!F61-E32)</x:f>
        <x:v>1</x:v>
      </x:c>
      <x:c r="I32" s="19" t="n">
        <x:f>E32-D32</x:f>
        <x:v>1</x:v>
      </x:c>
      <x:c r="J32" s="2"/>
    </x:row>
    <x:row r="33" ht="42" customHeight="1">
      <x:c r="A33" s="2"/>
      <x:c r="B33" s="8" t="str">
        <x:v>Beauty pricing</x:v>
      </x:c>
      <x:c r="C33" s="17" t="n">
        <x:v>45747</x:v>
      </x:c>
      <x:c r="D33" s="18" t="n">
        <x:f>Inputs!D62</x:f>
        <x:v>2</x:v>
      </x:c>
      <x:c r="E33" s="18" t="n">
        <x:f>Inputs!G62</x:f>
        <x:v>3</x:v>
      </x:c>
      <x:c r="F33" s="19" t="n">
        <x:f>ABS(D33-E33)</x:f>
        <x:v>1</x:v>
      </x:c>
      <x:c r="G33" s="19" t="n">
        <x:f>ABS(Inputs!E62-E33)</x:f>
        <x:v>1</x:v>
      </x:c>
      <x:c r="H33" s="19" t="n">
        <x:f>ABS(Inputs!F62-E33)</x:f>
        <x:v>0.5</x:v>
      </x:c>
      <x:c r="I33" s="19" t="n">
        <x:f>E33-D33</x:f>
        <x:v>1</x:v>
      </x:c>
      <x:c r="J33" s="2"/>
    </x:row>
    <x:row r="34" ht="42" customHeight="1">
      <x:c r="A34" s="2"/>
      <x:c r="B34" s="8" t="str">
        <x:v>Beauty pricing</x:v>
      </x:c>
      <x:c r="C34" s="17" t="n">
        <x:v>45838</x:v>
      </x:c>
      <x:c r="D34" s="18" t="n">
        <x:f>Inputs!D63</x:f>
        <x:v>3</x:v>
      </x:c>
      <x:c r="E34" s="18" t="n">
        <x:f>Inputs!G63</x:f>
        <x:v>1</x:v>
      </x:c>
      <x:c r="F34" s="19" t="n">
        <x:f>ABS(D34-E34)</x:f>
        <x:v>2</x:v>
      </x:c>
      <x:c r="G34" s="19" t="n">
        <x:f>ABS(Inputs!E63-E34)</x:f>
        <x:v>2</x:v>
      </x:c>
      <x:c r="H34" s="19" t="n">
        <x:f>ABS(Inputs!F63-E34)</x:f>
        <x:v>1.25</x:v>
      </x:c>
      <x:c r="I34" s="19" t="n">
        <x:f>E34-D34</x:f>
        <x:v>-2</x:v>
      </x:c>
      <x:c r="J34" s="2"/>
    </x:row>
    <x:row r="35" ht="42" customHeight="1">
      <x:c r="A35" s="2"/>
      <x:c r="B35" s="8" t="str">
        <x:v>Beauty pricing</x:v>
      </x:c>
      <x:c r="C35" s="17" t="n">
        <x:v>45930</x:v>
      </x:c>
      <x:c r="D35" s="18" t="n">
        <x:f>Inputs!D64</x:f>
        <x:v>1</x:v>
      </x:c>
      <x:c r="E35" s="18" t="n">
        <x:f>Inputs!G64</x:f>
        <x:v>2</x:v>
      </x:c>
      <x:c r="F35" s="19" t="n">
        <x:f>ABS(D35-E35)</x:f>
        <x:v>1</x:v>
      </x:c>
      <x:c r="G35" s="19" t="n">
        <x:f>ABS(Inputs!E64-E35)</x:f>
        <x:v>1</x:v>
      </x:c>
      <x:c r="H35" s="19" t="n">
        <x:f>ABS(Inputs!F64-E35)</x:f>
        <x:v>0.25</x:v>
      </x:c>
      <x:c r="I35" s="19" t="n">
        <x:f>E35-D35</x:f>
        <x:v>1</x:v>
      </x:c>
      <x:c r="J35" s="2"/>
    </x:row>
    <x:row r="36" ht="42" customHeight="1">
      <x:c r="A36" s="2"/>
      <x:c r="B36" s="8" t="str">
        <x:v>Beauty pricing</x:v>
      </x:c>
      <x:c r="C36" s="17" t="n">
        <x:v>46022</x:v>
      </x:c>
      <x:c r="D36" s="18" t="n">
        <x:f>Inputs!D65</x:f>
        <x:v>2</x:v>
      </x:c>
      <x:c r="E36" s="18" t="n">
        <x:f>Inputs!G65</x:f>
        <x:v>2</x:v>
      </x:c>
      <x:c r="F36" s="19" t="n">
        <x:f>ABS(D36-E36)</x:f>
        <x:v>0</x:v>
      </x:c>
      <x:c r="G36" s="19" t="n">
        <x:f>ABS(Inputs!E65-E36)</x:f>
        <x:v>0</x:v>
      </x:c>
      <x:c r="H36" s="19" t="n">
        <x:f>ABS(Inputs!F65-E36)</x:f>
        <x:v>0</x:v>
      </x:c>
      <x:c r="I36" s="19" t="n">
        <x:f>E36-D36</x:f>
        <x:v>0</x:v>
      </x:c>
      <x:c r="J36" s="2"/>
    </x:row>
    <x:row r="37" ht="42" customHeight="1">
      <x:c r="A37" s="2"/>
      <x:c r="B37" s="8" t="str">
        <x:v>Beauty pricing</x:v>
      </x:c>
      <x:c r="C37" s="17" t="n">
        <x:v>46112</x:v>
      </x:c>
      <x:c r="D37" s="18" t="n">
        <x:f>Inputs!D66</x:f>
        <x:v>2</x:v>
      </x:c>
      <x:c r="E37" s="18" t="n">
        <x:f>Inputs!G66</x:f>
        <x:v>1</x:v>
      </x:c>
      <x:c r="F37" s="19" t="n">
        <x:f>ABS(D37-E37)</x:f>
        <x:v>1</x:v>
      </x:c>
      <x:c r="G37" s="19" t="n">
        <x:f>ABS(Inputs!E66-E37)</x:f>
        <x:v>1</x:v>
      </x:c>
      <x:c r="H37" s="19" t="n">
        <x:f>ABS(Inputs!F66-E37)</x:f>
        <x:v>1</x:v>
      </x:c>
      <x:c r="I37" s="19" t="n">
        <x:f>E37-D37</x:f>
        <x:v>-1</x:v>
      </x:c>
      <x:c r="J37" s="2"/>
    </x:row>
    <x:row r="38" ht="42" customHeight="1">
      <x:c r="A38" s="2"/>
      <x:c r="B38" s="8" t="str">
        <x:v>Fabric &amp; Home volume</x:v>
      </x:c>
      <x:c r="C38" s="17" t="n">
        <x:v>45473</x:v>
      </x:c>
      <x:c r="D38" s="18" t="n">
        <x:f>Inputs!D67</x:f>
        <x:v>0.16977988483347128</x:v>
      </x:c>
      <x:c r="E38" s="18" t="n">
        <x:f>Inputs!G67</x:f>
        <x:v>3</x:v>
      </x:c>
      <x:c r="F38" s="19" t="n">
        <x:f>ABS(D38-E38)</x:f>
        <x:v>2.8302201151665285</x:v>
      </x:c>
      <x:c r="G38" s="19" t="n">
        <x:f>ABS(Inputs!E67-E38)</x:f>
        <x:v>2</x:v>
      </x:c>
      <x:c r="H38" s="19" t="n">
        <x:f>ABS(Inputs!F67-E38)</x:f>
        <x:v>3</x:v>
      </x:c>
      <x:c r="I38" s="19" t="n">
        <x:f>E38-D38</x:f>
        <x:v>2.8302201151665285</x:v>
      </x:c>
      <x:c r="J38" s="2"/>
    </x:row>
    <x:row r="39" ht="42" customHeight="1">
      <x:c r="A39" s="2"/>
      <x:c r="B39" s="8" t="str">
        <x:v>Fabric &amp; Home volume</x:v>
      </x:c>
      <x:c r="C39" s="17" t="n">
        <x:v>45565</x:v>
      </x:c>
      <x:c r="D39" s="18" t="n">
        <x:f>Inputs!D68</x:f>
        <x:v>3</x:v>
      </x:c>
      <x:c r="E39" s="18" t="n">
        <x:f>Inputs!G68</x:f>
        <x:v>1</x:v>
      </x:c>
      <x:c r="F39" s="19" t="n">
        <x:f>ABS(D39-E39)</x:f>
        <x:v>2</x:v>
      </x:c>
      <x:c r="G39" s="19" t="n">
        <x:f>ABS(Inputs!E68-E39)</x:f>
        <x:v>2</x:v>
      </x:c>
      <x:c r="H39" s="19" t="n">
        <x:f>ABS(Inputs!F68-E39)</x:f>
        <x:v>0.25</x:v>
      </x:c>
      <x:c r="I39" s="19" t="n">
        <x:f>E39-D39</x:f>
        <x:v>-2</x:v>
      </x:c>
      <x:c r="J39" s="2"/>
    </x:row>
    <x:row r="40" ht="42" customHeight="1">
      <x:c r="A40" s="2"/>
      <x:c r="B40" s="8" t="str">
        <x:v>Fabric &amp; Home volume</x:v>
      </x:c>
      <x:c r="C40" s="17" t="n">
        <x:v>45657</x:v>
      </x:c>
      <x:c r="D40" s="18" t="n">
        <x:f>Inputs!D69</x:f>
        <x:v>1</x:v>
      </x:c>
      <x:c r="E40" s="18" t="n">
        <x:f>Inputs!G69</x:f>
        <x:v>2</x:v>
      </x:c>
      <x:c r="F40" s="19" t="n">
        <x:f>ABS(D40-E40)</x:f>
        <x:v>1</x:v>
      </x:c>
      <x:c r="G40" s="19" t="n">
        <x:f>ABS(Inputs!E69-E40)</x:f>
        <x:v>1</x:v>
      </x:c>
      <x:c r="H40" s="19" t="n">
        <x:f>ABS(Inputs!F69-E40)</x:f>
        <x:v>0.5</x:v>
      </x:c>
      <x:c r="I40" s="19" t="n">
        <x:f>E40-D40</x:f>
        <x:v>1</x:v>
      </x:c>
      <x:c r="J40" s="2"/>
    </x:row>
    <x:row r="41" ht="42" customHeight="1">
      <x:c r="A41" s="2"/>
      <x:c r="B41" s="8" t="str">
        <x:v>Fabric &amp; Home volume</x:v>
      </x:c>
      <x:c r="C41" s="17" t="n">
        <x:v>45747</x:v>
      </x:c>
      <x:c r="D41" s="18" t="n">
        <x:f>Inputs!D70</x:f>
        <x:v>2.153865334744004</x:v>
      </x:c>
      <x:c r="E41" s="18" t="n">
        <x:f>Inputs!G70</x:f>
        <x:v>0</x:v>
      </x:c>
      <x:c r="F41" s="19" t="n">
        <x:f>ABS(D41-E41)</x:f>
        <x:v>2.153865334744004</x:v>
      </x:c>
      <x:c r="G41" s="19" t="n">
        <x:f>ABS(Inputs!E70-E41)</x:f>
        <x:v>2</x:v>
      </x:c>
      <x:c r="H41" s="19" t="n">
        <x:f>ABS(Inputs!F70-E41)</x:f>
        <x:v>1.75</x:v>
      </x:c>
      <x:c r="I41" s="19" t="n">
        <x:f>E41-D41</x:f>
        <x:v>-2.153865334744004</x:v>
      </x:c>
      <x:c r="J41" s="2"/>
    </x:row>
    <x:row r="42" ht="42" customHeight="1">
      <x:c r="A42" s="2"/>
      <x:c r="B42" s="8" t="str">
        <x:v>Fabric &amp; Home volume</x:v>
      </x:c>
      <x:c r="C42" s="17" t="n">
        <x:v>45838</x:v>
      </x:c>
      <x:c r="D42" s="18" t="n">
        <x:f>Inputs!D71</x:f>
        <x:v>0</x:v>
      </x:c>
      <x:c r="E42" s="18" t="n">
        <x:f>Inputs!G71</x:f>
        <x:v>0</x:v>
      </x:c>
      <x:c r="F42" s="19" t="n">
        <x:f>ABS(D42-E42)</x:f>
        <x:v>0</x:v>
      </x:c>
      <x:c r="G42" s="19" t="n">
        <x:f>ABS(Inputs!E71-E42)</x:f>
        <x:v>0</x:v>
      </x:c>
      <x:c r="H42" s="19" t="n">
        <x:f>ABS(Inputs!F71-E42)</x:f>
        <x:v>1.5</x:v>
      </x:c>
      <x:c r="I42" s="19" t="n">
        <x:f>E42-D42</x:f>
        <x:v>0</x:v>
      </x:c>
      <x:c r="J42" s="2"/>
    </x:row>
    <x:row r="43" ht="42" customHeight="1">
      <x:c r="A43" s="2"/>
      <x:c r="B43" s="8" t="str">
        <x:v>Fabric &amp; Home volume</x:v>
      </x:c>
      <x:c r="C43" s="17" t="n">
        <x:v>45930</x:v>
      </x:c>
      <x:c r="D43" s="18" t="n">
        <x:f>Inputs!D72</x:f>
        <x:v>0</x:v>
      </x:c>
      <x:c r="E43" s="18" t="n">
        <x:f>Inputs!G72</x:f>
        <x:v>-2</x:v>
      </x:c>
      <x:c r="F43" s="19" t="n">
        <x:f>ABS(D43-E43)</x:f>
        <x:v>2</x:v>
      </x:c>
      <x:c r="G43" s="19" t="n">
        <x:f>ABS(Inputs!E72-E43)</x:f>
        <x:v>2</x:v>
      </x:c>
      <x:c r="H43" s="19" t="n">
        <x:f>ABS(Inputs!F72-E43)</x:f>
        <x:v>2.75</x:v>
      </x:c>
      <x:c r="I43" s="19" t="n">
        <x:f>E43-D43</x:f>
        <x:v>-2</x:v>
      </x:c>
      <x:c r="J43" s="2"/>
    </x:row>
    <x:row r="44" ht="42" customHeight="1">
      <x:c r="A44" s="2"/>
      <x:c r="B44" s="8" t="str">
        <x:v>Fabric &amp; Home volume</x:v>
      </x:c>
      <x:c r="C44" s="17" t="n">
        <x:v>46022</x:v>
      </x:c>
      <x:c r="D44" s="18" t="n">
        <x:f>Inputs!D73</x:f>
        <x:v>-2</x:v>
      </x:c>
      <x:c r="E44" s="18" t="n">
        <x:f>Inputs!G73</x:f>
        <x:v>0</x:v>
      </x:c>
      <x:c r="F44" s="19" t="n">
        <x:f>ABS(D44-E44)</x:f>
        <x:v>2</x:v>
      </x:c>
      <x:c r="G44" s="19" t="n">
        <x:f>ABS(Inputs!E73-E44)</x:f>
        <x:v>2</x:v>
      </x:c>
      <x:c r="H44" s="19" t="n">
        <x:f>ABS(Inputs!F73-E44)</x:f>
        <x:v>0</x:v>
      </x:c>
      <x:c r="I44" s="19" t="n">
        <x:f>E44-D44</x:f>
        <x:v>2</x:v>
      </x:c>
      <x:c r="J44" s="2"/>
    </x:row>
    <x:row r="45" ht="42" customHeight="1">
      <x:c r="A45" s="2"/>
      <x:c r="B45" s="8" t="str">
        <x:v>Fabric &amp; Home volume</x:v>
      </x:c>
      <x:c r="C45" s="17" t="n">
        <x:v>46112</x:v>
      </x:c>
      <x:c r="D45" s="18" t="n">
        <x:f>Inputs!D74</x:f>
        <x:v>-1</x:v>
      </x:c>
      <x:c r="E45" s="18" t="n">
        <x:f>Inputs!G74</x:f>
        <x:v>2</x:v>
      </x:c>
      <x:c r="F45" s="19" t="n">
        <x:f>ABS(D45-E45)</x:f>
        <x:v>3</x:v>
      </x:c>
      <x:c r="G45" s="19" t="n">
        <x:f>ABS(Inputs!E74-E45)</x:f>
        <x:v>2</x:v>
      </x:c>
      <x:c r="H45" s="19" t="n">
        <x:f>ABS(Inputs!F74-E45)</x:f>
        <x:v>2.5</x:v>
      </x:c>
      <x:c r="I45" s="19" t="n">
        <x:f>E45-D45</x:f>
        <x:v>3</x:v>
      </x:c>
      <x:c r="J45" s="2"/>
    </x:row>
    <x:row r="46" ht="42" customHeight="1">
      <x:c r="A46" s="2"/>
      <x:c r="B46" s="8" t="str">
        <x:v>Health Care pricing</x:v>
      </x:c>
      <x:c r="C46" s="17" t="n">
        <x:v>45473</x:v>
      </x:c>
      <x:c r="D46" s="18" t="n">
        <x:f>Inputs!D75</x:f>
        <x:v>3.9825509359098126</x:v>
      </x:c>
      <x:c r="E46" s="18" t="n">
        <x:f>Inputs!G75</x:f>
        <x:v>2</x:v>
      </x:c>
      <x:c r="F46" s="19" t="n">
        <x:f>ABS(D46-E46)</x:f>
        <x:v>1.9825509359098126</x:v>
      </x:c>
      <x:c r="G46" s="19" t="n">
        <x:f>ABS(Inputs!E75-E46)</x:f>
        <x:v>2</x:v>
      </x:c>
      <x:c r="H46" s="19" t="n">
        <x:f>ABS(Inputs!F75-E46)</x:f>
        <x:v>3.25</x:v>
      </x:c>
      <x:c r="I46" s="19" t="n">
        <x:f>E46-D46</x:f>
        <x:v>-1.9825509359098126</x:v>
      </x:c>
      <x:c r="J46" s="2"/>
    </x:row>
    <x:row r="47" ht="42" customHeight="1">
      <x:c r="A47" s="2"/>
      <x:c r="B47" s="8" t="str">
        <x:v>Health Care pricing</x:v>
      </x:c>
      <x:c r="C47" s="17" t="n">
        <x:v>45565</x:v>
      </x:c>
      <x:c r="D47" s="18" t="n">
        <x:f>Inputs!D76</x:f>
        <x:v>2.1927884318629043</x:v>
      </x:c>
      <x:c r="E47" s="18" t="n">
        <x:f>Inputs!G76</x:f>
        <x:v>1</x:v>
      </x:c>
      <x:c r="F47" s="19" t="n">
        <x:f>ABS(D47-E47)</x:f>
        <x:v>1.1927884318629043</x:v>
      </x:c>
      <x:c r="G47" s="19" t="n">
        <x:f>ABS(Inputs!E76-E47)</x:f>
        <x:v>1</x:v>
      </x:c>
      <x:c r="H47" s="19" t="n">
        <x:f>ABS(Inputs!F76-E47)</x:f>
        <x:v>3.25</x:v>
      </x:c>
      <x:c r="I47" s="19" t="n">
        <x:f>E47-D47</x:f>
        <x:v>-1.1927884318629043</x:v>
      </x:c>
      <x:c r="J47" s="2"/>
    </x:row>
    <x:row r="48" ht="42" customHeight="1">
      <x:c r="A48" s="2"/>
      <x:c r="B48" s="8" t="str">
        <x:v>Health Care pricing</x:v>
      </x:c>
      <x:c r="C48" s="17" t="n">
        <x:v>45657</x:v>
      </x:c>
      <x:c r="D48" s="18" t="n">
        <x:f>Inputs!D77</x:f>
        <x:v>1.028100141540976</x:v>
      </x:c>
      <x:c r="E48" s="18" t="n">
        <x:f>Inputs!G77</x:f>
        <x:v>1</x:v>
      </x:c>
      <x:c r="F48" s="19" t="n">
        <x:f>ABS(D48-E48)</x:f>
        <x:v>0.028100141540976065</x:v>
      </x:c>
      <x:c r="G48" s="19" t="n">
        <x:f>ABS(Inputs!E77-E48)</x:f>
        <x:v>0</x:v>
      </x:c>
      <x:c r="H48" s="19" t="n">
        <x:f>ABS(Inputs!F77-E48)</x:f>
        <x:v>2</x:v>
      </x:c>
      <x:c r="I48" s="19" t="n">
        <x:f>E48-D48</x:f>
        <x:v>-0.028100141540976065</x:v>
      </x:c>
      <x:c r="J48" s="2"/>
    </x:row>
    <x:row r="49" ht="42" customHeight="1">
      <x:c r="A49" s="2"/>
      <x:c r="B49" s="8" t="str">
        <x:v>Health Care pricing</x:v>
      </x:c>
      <x:c r="C49" s="17" t="n">
        <x:v>45747</x:v>
      </x:c>
      <x:c r="D49" s="18" t="n">
        <x:f>Inputs!D78</x:f>
        <x:v>0.9062381328683948</x:v>
      </x:c>
      <x:c r="E49" s="18" t="n">
        <x:f>Inputs!G78</x:f>
        <x:v>1</x:v>
      </x:c>
      <x:c r="F49" s="19" t="n">
        <x:f>ABS(D49-E49)</x:f>
        <x:v>0.09376186713160517</x:v>
      </x:c>
      <x:c r="G49" s="19" t="n">
        <x:f>ABS(Inputs!E78-E49)</x:f>
        <x:v>0</x:v>
      </x:c>
      <x:c r="H49" s="19" t="n">
        <x:f>ABS(Inputs!F78-E49)</x:f>
        <x:v>1</x:v>
      </x:c>
      <x:c r="I49" s="19" t="n">
        <x:f>E49-D49</x:f>
        <x:v>0.09376186713160517</x:v>
      </x:c>
      <x:c r="J49" s="2"/>
    </x:row>
    <x:row r="50" ht="42" customHeight="1">
      <x:c r="A50" s="2"/>
      <x:c r="B50" s="8" t="str">
        <x:v>Health Care pricing</x:v>
      </x:c>
      <x:c r="C50" s="17" t="n">
        <x:v>45838</x:v>
      </x:c>
      <x:c r="D50" s="18" t="n">
        <x:f>Inputs!D79</x:f>
        <x:v>0.7786545712194972</x:v>
      </x:c>
      <x:c r="E50" s="18" t="n">
        <x:f>Inputs!G79</x:f>
        <x:v>1</x:v>
      </x:c>
      <x:c r="F50" s="19" t="n">
        <x:f>ABS(D50-E50)</x:f>
        <x:v>0.22134542878050278</x:v>
      </x:c>
      <x:c r="G50" s="19" t="n">
        <x:f>ABS(Inputs!E79-E50)</x:f>
        <x:v>0</x:v>
      </x:c>
      <x:c r="H50" s="19" t="n">
        <x:f>ABS(Inputs!F79-E50)</x:f>
        <x:v>0.25</x:v>
      </x:c>
      <x:c r="I50" s="19" t="n">
        <x:f>E50-D50</x:f>
        <x:v>0.22134542878050278</x:v>
      </x:c>
      <x:c r="J50" s="2"/>
    </x:row>
    <x:row r="51" ht="42" customHeight="1">
      <x:c r="A51" s="2"/>
      <x:c r="B51" s="8" t="str">
        <x:v>Health Care pricing</x:v>
      </x:c>
      <x:c r="C51" s="17" t="n">
        <x:v>45930</x:v>
      </x:c>
      <x:c r="D51" s="18" t="n">
        <x:f>Inputs!D80</x:f>
        <x:v>1.1361684063222275</x:v>
      </x:c>
      <x:c r="E51" s="18" t="n">
        <x:f>Inputs!G80</x:f>
        <x:v>1</x:v>
      </x:c>
      <x:c r="F51" s="19" t="n">
        <x:f>ABS(D51-E51)</x:f>
        <x:v>0.1361684063222275</x:v>
      </x:c>
      <x:c r="G51" s="19" t="n">
        <x:f>ABS(Inputs!E80-E51)</x:f>
        <x:v>0</x:v>
      </x:c>
      <x:c r="H51" s="19" t="n">
        <x:f>ABS(Inputs!F80-E51)</x:f>
        <x:v>0</x:v>
      </x:c>
      <x:c r="I51" s="19" t="n">
        <x:f>E51-D51</x:f>
        <x:v>-0.1361684063222275</x:v>
      </x:c>
      <x:c r="J51" s="2"/>
    </x:row>
    <x:row r="52" ht="42" customHeight="1">
      <x:c r="A52" s="2"/>
      <x:c r="B52" s="8" t="str">
        <x:v>Health Care pricing</x:v>
      </x:c>
      <x:c r="C52" s="17" t="n">
        <x:v>46022</x:v>
      </x:c>
      <x:c r="D52" s="18" t="n">
        <x:f>Inputs!D81</x:f>
        <x:v>1.6588545472268312</x:v>
      </x:c>
      <x:c r="E52" s="18" t="n">
        <x:f>Inputs!G81</x:f>
        <x:v>1</x:v>
      </x:c>
      <x:c r="F52" s="19" t="n">
        <x:f>ABS(D52-E52)</x:f>
        <x:v>0.6588545472268312</x:v>
      </x:c>
      <x:c r="G52" s="19" t="n">
        <x:f>ABS(Inputs!E81-E52)</x:f>
        <x:v>0</x:v>
      </x:c>
      <x:c r="H52" s="19" t="n">
        <x:f>ABS(Inputs!F81-E52)</x:f>
        <x:v>0</x:v>
      </x:c>
      <x:c r="I52" s="19" t="n">
        <x:f>E52-D52</x:f>
        <x:v>-0.6588545472268312</x:v>
      </x:c>
      <x:c r="J52" s="2"/>
    </x:row>
    <x:row r="53" ht="42" customHeight="1">
      <x:c r="A53" s="2"/>
      <x:c r="B53" s="8" t="str">
        <x:v>Health Care pricing</x:v>
      </x:c>
      <x:c r="C53" s="17" t="n">
        <x:v>46112</x:v>
      </x:c>
      <x:c r="D53" s="18" t="n">
        <x:f>Inputs!D82</x:f>
        <x:v>1</x:v>
      </x:c>
      <x:c r="E53" s="18" t="n">
        <x:f>Inputs!G82</x:f>
        <x:v>2</x:v>
      </x:c>
      <x:c r="F53" s="19" t="n">
        <x:f>ABS(D53-E53)</x:f>
        <x:v>1</x:v>
      </x:c>
      <x:c r="G53" s="19" t="n">
        <x:f>ABS(Inputs!E82-E53)</x:f>
        <x:v>1</x:v>
      </x:c>
      <x:c r="H53" s="19" t="n">
        <x:f>ABS(Inputs!F82-E53)</x:f>
        <x:v>1</x:v>
      </x:c>
      <x:c r="I53" s="19" t="n">
        <x:f>E53-D53</x:f>
        <x:v>1</x:v>
      </x:c>
      <x:c r="J53" s="2"/>
    </x:row>
    <x:row r="54" ht="27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7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27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48" customHeight="1">
      <x:c r="A57" s="2"/>
      <x:c r="B57" s="7" t="str">
        <x:v>Interval test</x:v>
      </x:c>
      <x:c r="C57" s="7" t="str">
        <x:v>Quarter end</x:v>
      </x:c>
      <x:c r="D57" s="7" t="str">
        <x:v>Covered (1=yes)</x:v>
      </x:c>
      <x:c r="E57" s="7" t="str">
        <x:v>Width (pp)</x:v>
      </x:c>
      <x:c r="F57" s="2"/>
      <x:c r="G57" s="2"/>
      <x:c r="H57" s="2"/>
      <x:c r="I57" s="2"/>
      <x:c r="J57" s="2"/>
    </x:row>
    <x:row r="58" ht="42" customHeight="1">
      <x:c r="A58" s="2"/>
      <x:c r="B58" s="8" t="str">
        <x:v>Baby / Feminine / Family volume</x:v>
      </x:c>
      <x:c r="C58" s="17" t="n">
        <x:v>45838</x:v>
      </x:c>
      <x:c r="D58" s="2" t="n">
        <x:f>IF(AND(Inputs!F89&gt;=Inputs!D89,Inputs!F89&lt;=Inputs!E89),1,0)</x:f>
        <x:v>1</x:v>
      </x:c>
      <x:c r="E58" s="12" t="n">
        <x:f>Inputs!E89-Inputs!D89</x:f>
        <x:v>6.87179706720671</x:v>
      </x:c>
      <x:c r="F58" s="2"/>
      <x:c r="G58" s="2"/>
      <x:c r="H58" s="2"/>
      <x:c r="I58" s="2"/>
      <x:c r="J58" s="2"/>
    </x:row>
    <x:row r="59" ht="42" customHeight="1">
      <x:c r="A59" s="2"/>
      <x:c r="B59" s="8" t="str">
        <x:v>Baby / Feminine / Family volume</x:v>
      </x:c>
      <x:c r="C59" s="17" t="n">
        <x:v>45930</x:v>
      </x:c>
      <x:c r="D59" s="2" t="n">
        <x:f>IF(AND(Inputs!F90&gt;=Inputs!D90,Inputs!F90&lt;=Inputs!E90),1,0)</x:f>
        <x:v>1</x:v>
      </x:c>
      <x:c r="E59" s="12" t="n">
        <x:f>Inputs!E90-Inputs!D90</x:f>
        <x:v>6.313102097567424</x:v>
      </x:c>
      <x:c r="F59" s="2"/>
      <x:c r="G59" s="2"/>
      <x:c r="H59" s="2"/>
      <x:c r="I59" s="2"/>
      <x:c r="J59" s="2"/>
    </x:row>
    <x:row r="60" ht="42" customHeight="1">
      <x:c r="A60" s="2"/>
      <x:c r="B60" s="8" t="str">
        <x:v>Baby / Feminine / Family volume</x:v>
      </x:c>
      <x:c r="C60" s="17" t="n">
        <x:v>46022</x:v>
      </x:c>
      <x:c r="D60" s="2" t="n">
        <x:f>IF(AND(Inputs!F91&gt;=Inputs!D91,Inputs!F91&lt;=Inputs!E91),1,0)</x:f>
        <x:v>0</x:v>
      </x:c>
      <x:c r="E60" s="12" t="n">
        <x:f>Inputs!E91-Inputs!D91</x:f>
        <x:v>5.767767937391648</x:v>
      </x:c>
      <x:c r="F60" s="2"/>
      <x:c r="G60" s="2"/>
      <x:c r="H60" s="2"/>
      <x:c r="I60" s="2"/>
      <x:c r="J60" s="2"/>
    </x:row>
    <x:row r="61" ht="42" customHeight="1">
      <x:c r="A61" s="2"/>
      <x:c r="B61" s="8" t="str">
        <x:v>Baby / Feminine / Family volume</x:v>
      </x:c>
      <x:c r="C61" s="17" t="n">
        <x:v>46112</x:v>
      </x:c>
      <x:c r="D61" s="2" t="n">
        <x:f>IF(AND(Inputs!F92&gt;=Inputs!D92,Inputs!F92&lt;=Inputs!E92),1,0)</x:f>
        <x:v>0</x:v>
      </x:c>
      <x:c r="E61" s="12" t="n">
        <x:f>Inputs!E92-Inputs!D92</x:f>
        <x:v>7.148157828762731</x:v>
      </x:c>
      <x:c r="F61" s="2"/>
      <x:c r="G61" s="2"/>
      <x:c r="H61" s="2"/>
      <x:c r="I61" s="2"/>
      <x:c r="J61" s="2"/>
    </x:row>
    <x:row r="62" ht="42" customHeight="1">
      <x:c r="A62" s="2"/>
      <x:c r="B62" s="8" t="str">
        <x:v>Beauty organic sales</x:v>
      </x:c>
      <x:c r="C62" s="17" t="n">
        <x:v>45838</x:v>
      </x:c>
      <x:c r="D62" s="2" t="n">
        <x:f>IF(AND(Inputs!F93&gt;=Inputs!D93,Inputs!F93&lt;=Inputs!E93),1,0)</x:f>
        <x:v>1</x:v>
      </x:c>
      <x:c r="E62" s="12" t="n">
        <x:f>Inputs!E93-Inputs!D93</x:f>
        <x:v>5.985487868628461</x:v>
      </x:c>
      <x:c r="F62" s="2"/>
      <x:c r="G62" s="2"/>
      <x:c r="H62" s="2"/>
      <x:c r="I62" s="2"/>
      <x:c r="J62" s="2"/>
    </x:row>
    <x:row r="63" ht="42" customHeight="1">
      <x:c r="A63" s="2"/>
      <x:c r="B63" s="8" t="str">
        <x:v>Beauty organic sales</x:v>
      </x:c>
      <x:c r="C63" s="17" t="n">
        <x:v>45930</x:v>
      </x:c>
      <x:c r="D63" s="2" t="n">
        <x:f>IF(AND(Inputs!F94&gt;=Inputs!D94,Inputs!F94&lt;=Inputs!E94),1,0)</x:f>
        <x:v>0</x:v>
      </x:c>
      <x:c r="E63" s="12" t="n">
        <x:f>Inputs!E94-Inputs!D94</x:f>
        <x:v>5.572352116588613</x:v>
      </x:c>
      <x:c r="F63" s="2"/>
      <x:c r="G63" s="2"/>
      <x:c r="H63" s="2"/>
      <x:c r="I63" s="2"/>
      <x:c r="J63" s="2"/>
    </x:row>
    <x:row r="64" ht="42" customHeight="1">
      <x:c r="A64" s="2"/>
      <x:c r="B64" s="8" t="str">
        <x:v>Beauty organic sales</x:v>
      </x:c>
      <x:c r="C64" s="17" t="n">
        <x:v>46022</x:v>
      </x:c>
      <x:c r="D64" s="2" t="n">
        <x:f>IF(AND(Inputs!F95&gt;=Inputs!D95,Inputs!F95&lt;=Inputs!E95),1,0)</x:f>
        <x:v>1</x:v>
      </x:c>
      <x:c r="E64" s="12" t="n">
        <x:f>Inputs!E95-Inputs!D95</x:f>
        <x:v>6.083845765914157</x:v>
      </x:c>
      <x:c r="F64" s="2"/>
      <x:c r="G64" s="2"/>
      <x:c r="H64" s="2"/>
      <x:c r="I64" s="2"/>
      <x:c r="J64" s="2"/>
    </x:row>
    <x:row r="65" ht="42" customHeight="1">
      <x:c r="A65" s="2"/>
      <x:c r="B65" s="8" t="str">
        <x:v>Beauty organic sales</x:v>
      </x:c>
      <x:c r="C65" s="17" t="n">
        <x:v>46112</x:v>
      </x:c>
      <x:c r="D65" s="2" t="n">
        <x:f>IF(AND(Inputs!F96&gt;=Inputs!D96,Inputs!F96&lt;=Inputs!E96),1,0)</x:f>
        <x:v>0</x:v>
      </x:c>
      <x:c r="E65" s="12" t="n">
        <x:f>Inputs!E96-Inputs!D96</x:f>
        <x:v>5.681730266725834</x:v>
      </x:c>
      <x:c r="F65" s="2"/>
      <x:c r="G65" s="2"/>
      <x:c r="H65" s="2"/>
      <x:c r="I65" s="2"/>
      <x:c r="J65" s="2"/>
    </x:row>
    <x:row r="66" ht="42" customHeight="1">
      <x:c r="A66" s="2"/>
      <x:c r="B66" s="8" t="str">
        <x:v>Beauty volume</x:v>
      </x:c>
      <x:c r="C66" s="17" t="n">
        <x:v>45838</x:v>
      </x:c>
      <x:c r="D66" s="2" t="n">
        <x:f>IF(AND(Inputs!F97&gt;=Inputs!D97,Inputs!F97&lt;=Inputs!E97),1,0)</x:f>
        <x:v>1</x:v>
      </x:c>
      <x:c r="E66" s="12" t="n">
        <x:f>Inputs!E97-Inputs!D97</x:f>
        <x:v>2.285927054190667</x:v>
      </x:c>
      <x:c r="F66" s="2"/>
      <x:c r="G66" s="2"/>
      <x:c r="H66" s="2"/>
      <x:c r="I66" s="2"/>
      <x:c r="J66" s="2"/>
    </x:row>
    <x:row r="67" ht="42" customHeight="1">
      <x:c r="A67" s="2"/>
      <x:c r="B67" s="8" t="str">
        <x:v>Beauty volume</x:v>
      </x:c>
      <x:c r="C67" s="17" t="n">
        <x:v>45930</x:v>
      </x:c>
      <x:c r="D67" s="2" t="n">
        <x:f>IF(AND(Inputs!F98&gt;=Inputs!D98,Inputs!F98&lt;=Inputs!E98),1,0)</x:f>
        <x:v>0</x:v>
      </x:c>
      <x:c r="E67" s="12" t="n">
        <x:f>Inputs!E98-Inputs!D98</x:f>
        <x:v>2.285927054190667</x:v>
      </x:c>
      <x:c r="F67" s="2"/>
      <x:c r="G67" s="2"/>
      <x:c r="H67" s="2"/>
      <x:c r="I67" s="2"/>
      <x:c r="J67" s="2"/>
    </x:row>
    <x:row r="68" ht="42" customHeight="1">
      <x:c r="A68" s="2"/>
      <x:c r="B68" s="8" t="str">
        <x:v>Beauty volume</x:v>
      </x:c>
      <x:c r="C68" s="17" t="n">
        <x:v>46022</x:v>
      </x:c>
      <x:c r="D68" s="2" t="n">
        <x:f>IF(AND(Inputs!F99&gt;=Inputs!D99,Inputs!F99&lt;=Inputs!E99),1,0)</x:f>
        <x:v>1</x:v>
      </x:c>
      <x:c r="E68" s="12" t="n">
        <x:f>Inputs!E99-Inputs!D99</x:f>
        <x:v>3.3304613940469165</x:v>
      </x:c>
      <x:c r="F68" s="2"/>
      <x:c r="G68" s="2"/>
      <x:c r="H68" s="2"/>
      <x:c r="I68" s="2"/>
      <x:c r="J68" s="2"/>
    </x:row>
    <x:row r="69" ht="42" customHeight="1">
      <x:c r="A69" s="2"/>
      <x:c r="B69" s="8" t="str">
        <x:v>Beauty volume</x:v>
      </x:c>
      <x:c r="C69" s="17" t="n">
        <x:v>46112</x:v>
      </x:c>
      <x:c r="D69" s="2" t="n">
        <x:f>IF(AND(Inputs!F100&gt;=Inputs!D100,Inputs!F100&lt;=Inputs!E100),1,0)</x:f>
        <x:v>0</x:v>
      </x:c>
      <x:c r="E69" s="12" t="n">
        <x:f>Inputs!E100-Inputs!D100</x:f>
        <x:v>3.2021711625641576</x:v>
      </x:c>
      <x:c r="F69" s="2"/>
      <x:c r="G69" s="2"/>
      <x:c r="H69" s="2"/>
      <x:c r="I69" s="2"/>
      <x:c r="J69" s="2"/>
    </x:row>
    <x:row r="70" ht="42" customHeight="1">
      <x:c r="A70" s="2"/>
      <x:c r="B70" s="8" t="str">
        <x:v>Beauty pricing</x:v>
      </x:c>
      <x:c r="C70" s="17" t="n">
        <x:v>45838</x:v>
      </x:c>
      <x:c r="D70" s="2" t="n">
        <x:f>IF(AND(Inputs!F101&gt;=Inputs!D101,Inputs!F101&lt;=Inputs!E101),1,0)</x:f>
        <x:v>0</x:v>
      </x:c>
      <x:c r="E70" s="12" t="n">
        <x:f>Inputs!E101-Inputs!D101</x:f>
        <x:v>3.023997250311487</x:v>
      </x:c>
      <x:c r="F70" s="2"/>
      <x:c r="G70" s="2"/>
      <x:c r="H70" s="2"/>
      <x:c r="I70" s="2"/>
      <x:c r="J70" s="2"/>
    </x:row>
    <x:row r="71" ht="42" customHeight="1">
      <x:c r="A71" s="2"/>
      <x:c r="B71" s="8" t="str">
        <x:v>Beauty pricing</x:v>
      </x:c>
      <x:c r="C71" s="17" t="n">
        <x:v>45930</x:v>
      </x:c>
      <x:c r="D71" s="2" t="n">
        <x:f>IF(AND(Inputs!F102&gt;=Inputs!D102,Inputs!F102&lt;=Inputs!E102),1,0)</x:f>
        <x:v>1</x:v>
      </x:c>
      <x:c r="E71" s="12" t="n">
        <x:f>Inputs!E102-Inputs!D102</x:f>
        <x:v>3.390577752179974</x:v>
      </x:c>
      <x:c r="F71" s="2"/>
      <x:c r="G71" s="2"/>
      <x:c r="H71" s="2"/>
      <x:c r="I71" s="2"/>
      <x:c r="J71" s="2"/>
    </x:row>
    <x:row r="72" ht="42" customHeight="1">
      <x:c r="A72" s="2"/>
      <x:c r="B72" s="8" t="str">
        <x:v>Beauty pricing</x:v>
      </x:c>
      <x:c r="C72" s="17" t="n">
        <x:v>46022</x:v>
      </x:c>
      <x:c r="D72" s="2" t="n">
        <x:f>IF(AND(Inputs!F103&gt;=Inputs!D103,Inputs!F103&lt;=Inputs!E103),1,0)</x:f>
        <x:v>1</x:v>
      </x:c>
      <x:c r="E72" s="12" t="n">
        <x:f>Inputs!E103-Inputs!D103</x:f>
        <x:v>3.2327890426320183</x:v>
      </x:c>
      <x:c r="F72" s="2"/>
      <x:c r="G72" s="2"/>
      <x:c r="H72" s="2"/>
      <x:c r="I72" s="2"/>
      <x:c r="J72" s="2"/>
    </x:row>
    <x:row r="73" ht="42" customHeight="1">
      <x:c r="A73" s="2"/>
      <x:c r="B73" s="8" t="str">
        <x:v>Beauty pricing</x:v>
      </x:c>
      <x:c r="C73" s="17" t="n">
        <x:v>46112</x:v>
      </x:c>
      <x:c r="D73" s="2" t="n">
        <x:f>IF(AND(Inputs!F104&gt;=Inputs!D104,Inputs!F104&lt;=Inputs!E104),1,0)</x:f>
        <x:v>1</x:v>
      </x:c>
      <x:c r="E73" s="12" t="n">
        <x:f>Inputs!E104-Inputs!D104</x:f>
        <x:v>2.9929810739931857</x:v>
      </x:c>
      <x:c r="F73" s="2"/>
      <x:c r="G73" s="2"/>
      <x:c r="H73" s="2"/>
      <x:c r="I73" s="2"/>
      <x:c r="J73" s="2"/>
    </x:row>
    <x:row r="74" ht="42" customHeight="1">
      <x:c r="A74" s="2"/>
      <x:c r="B74" s="8" t="str">
        <x:v>Fabric &amp; Home volume</x:v>
      </x:c>
      <x:c r="C74" s="17" t="n">
        <x:v>45838</x:v>
      </x:c>
      <x:c r="D74" s="2" t="n">
        <x:f>IF(AND(Inputs!F105&gt;=Inputs!D105,Inputs!F105&lt;=Inputs!E105),1,0)</x:f>
        <x:v>1</x:v>
      </x:c>
      <x:c r="E74" s="12" t="n">
        <x:f>Inputs!E105-Inputs!D105</x:f>
        <x:v>4.801709592542052</x:v>
      </x:c>
      <x:c r="F74" s="2"/>
      <x:c r="G74" s="2"/>
      <x:c r="H74" s="2"/>
      <x:c r="I74" s="2"/>
      <x:c r="J74" s="2"/>
    </x:row>
    <x:row r="75" ht="42" customHeight="1">
      <x:c r="A75" s="2"/>
      <x:c r="B75" s="8" t="str">
        <x:v>Fabric &amp; Home volume</x:v>
      </x:c>
      <x:c r="C75" s="17" t="n">
        <x:v>45930</x:v>
      </x:c>
      <x:c r="D75" s="2" t="n">
        <x:f>IF(AND(Inputs!F106&gt;=Inputs!D106,Inputs!F106&lt;=Inputs!E106),1,0)</x:f>
        <x:v>1</x:v>
      </x:c>
      <x:c r="E75" s="12" t="n">
        <x:f>Inputs!E106-Inputs!D106</x:f>
        <x:v>4.294779622854737</x:v>
      </x:c>
      <x:c r="F75" s="2"/>
      <x:c r="G75" s="2"/>
      <x:c r="H75" s="2"/>
      <x:c r="I75" s="2"/>
      <x:c r="J75" s="2"/>
    </x:row>
    <x:row r="76" ht="42" customHeight="1">
      <x:c r="A76" s="2"/>
      <x:c r="B76" s="8" t="str">
        <x:v>Fabric &amp; Home volume</x:v>
      </x:c>
      <x:c r="C76" s="17" t="n">
        <x:v>46022</x:v>
      </x:c>
      <x:c r="D76" s="2" t="n">
        <x:f>IF(AND(Inputs!F107&gt;=Inputs!D107,Inputs!F107&lt;=Inputs!E107),1,0)</x:f>
        <x:v>1</x:v>
      </x:c>
      <x:c r="E76" s="12" t="n">
        <x:f>Inputs!E107-Inputs!D107</x:f>
        <x:v>4.342186661747832</x:v>
      </x:c>
      <x:c r="F76" s="2"/>
      <x:c r="G76" s="2"/>
      <x:c r="H76" s="2"/>
      <x:c r="I76" s="2"/>
      <x:c r="J76" s="2"/>
    </x:row>
    <x:row r="77" ht="42" customHeight="1">
      <x:c r="A77" s="2"/>
      <x:c r="B77" s="8" t="str">
        <x:v>Fabric &amp; Home volume</x:v>
      </x:c>
      <x:c r="C77" s="17" t="n">
        <x:v>46112</x:v>
      </x:c>
      <x:c r="D77" s="2" t="n">
        <x:f>IF(AND(Inputs!F108&gt;=Inputs!D108,Inputs!F108&lt;=Inputs!E108),1,0)</x:f>
        <x:v>0</x:v>
      </x:c>
      <x:c r="E77" s="12" t="n">
        <x:f>Inputs!E108-Inputs!D108</x:f>
        <x:v>4.375734387686711</x:v>
      </x:c>
      <x:c r="F77" s="2"/>
      <x:c r="G77" s="2"/>
      <x:c r="H77" s="2"/>
      <x:c r="I77" s="2"/>
      <x:c r="J77" s="2"/>
    </x:row>
    <x:row r="78" ht="42" customHeight="1">
      <x:c r="A78" s="2"/>
      <x:c r="B78" s="8" t="str">
        <x:v>Health Care pricing</x:v>
      </x:c>
      <x:c r="C78" s="17" t="n">
        <x:v>45838</x:v>
      </x:c>
      <x:c r="D78" s="2" t="n">
        <x:f>IF(AND(Inputs!F109&gt;=Inputs!D109,Inputs!F109&lt;=Inputs!E109),1,0)</x:f>
        <x:v>1</x:v>
      </x:c>
      <x:c r="E78" s="12" t="n">
        <x:f>Inputs!E109-Inputs!D109</x:f>
        <x:v>2.6468511770134566</x:v>
      </x:c>
      <x:c r="F78" s="2"/>
      <x:c r="G78" s="2"/>
      <x:c r="H78" s="2"/>
      <x:c r="I78" s="2"/>
      <x:c r="J78" s="2"/>
    </x:row>
    <x:row r="79" ht="42" customHeight="1">
      <x:c r="A79" s="2"/>
      <x:c r="B79" s="8" t="str">
        <x:v>Health Care pricing</x:v>
      </x:c>
      <x:c r="C79" s="17" t="n">
        <x:v>45930</x:v>
      </x:c>
      <x:c r="D79" s="2" t="n">
        <x:f>IF(AND(Inputs!F110&gt;=Inputs!D110,Inputs!F110&lt;=Inputs!E110),1,0)</x:f>
        <x:v>1</x:v>
      </x:c>
      <x:c r="E79" s="12" t="n">
        <x:f>Inputs!E110-Inputs!D110</x:f>
        <x:v>2.378205200207442</x:v>
      </x:c>
      <x:c r="F79" s="2"/>
      <x:c r="G79" s="2"/>
      <x:c r="H79" s="2"/>
      <x:c r="I79" s="2"/>
      <x:c r="J79" s="2"/>
    </x:row>
    <x:row r="80" ht="42" customHeight="1">
      <x:c r="A80" s="2"/>
      <x:c r="B80" s="8" t="str">
        <x:v>Health Care pricing</x:v>
      </x:c>
      <x:c r="C80" s="17" t="n">
        <x:v>46022</x:v>
      </x:c>
      <x:c r="D80" s="2" t="n">
        <x:f>IF(AND(Inputs!F111&gt;=Inputs!D111,Inputs!F111&lt;=Inputs!E111),1,0)</x:f>
        <x:v>1</x:v>
      </x:c>
      <x:c r="E80" s="12" t="n">
        <x:f>Inputs!E111-Inputs!D111</x:f>
        <x:v>2.2859270541906667</x:v>
      </x:c>
      <x:c r="F80" s="2"/>
      <x:c r="G80" s="2"/>
      <x:c r="H80" s="2"/>
      <x:c r="I80" s="2"/>
      <x:c r="J80" s="2"/>
    </x:row>
    <x:row r="81" ht="42" customHeight="1">
      <x:c r="A81" s="2"/>
      <x:c r="B81" s="8" t="str">
        <x:v>Health Care pricing</x:v>
      </x:c>
      <x:c r="C81" s="17" t="n">
        <x:v>46112</x:v>
      </x:c>
      <x:c r="D81" s="2" t="n">
        <x:f>IF(AND(Inputs!F112&gt;=Inputs!D112,Inputs!F112&lt;=Inputs!E112),1,0)</x:f>
        <x:v>1</x:v>
      </x:c>
      <x:c r="E81" s="12" t="n">
        <x:f>Inputs!E112-Inputs!D112</x:f>
        <x:v>2.285927054190667</x:v>
      </x:c>
      <x:c r="F81" s="2"/>
      <x:c r="G81" s="2"/>
      <x:c r="H81" s="2"/>
      <x:c r="I81" s="2"/>
      <x:c r="J81" s="2"/>
    </x:row>
    <x:row r="82" ht="27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 ht="27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 ht="27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 ht="27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 ht="27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 ht="27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 ht="27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 ht="27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 ht="27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  <x:row r="91" ht="27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</x:row>
    <x:row r="92" ht="27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</x:row>
    <x:row r="93" ht="27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</x:row>
    <x:row r="94" ht="27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</x:row>
    <x:row r="95" ht="27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</x:row>
    <x:row r="96" ht="27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</x:row>
    <x:row r="97" ht="27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</x:row>
    <x:row r="98" ht="27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</x:row>
    <x:row r="99" ht="27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</x:row>
    <x:row r="100" ht="27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20" hidden="0" customWidth="1"/>
    <x:col min="8" max="8" width="20" hidden="0" customWidth="1"/>
    <x:col min="9" max="9" width="22" hidden="0" customWidth="1"/>
    <x:col min="10" max="10" width="22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7" customHeight="1">
      <x:c r="A2" s="2"/>
      <x:c r="B2" s="3" t="str">
        <x:v>Dated forecasts and saved simulation results</x:v>
      </x:c>
      <x:c r="C2" s="2"/>
      <x:c r="D2" s="2"/>
      <x:c r="E2" s="2"/>
      <x:c r="F2" s="2"/>
      <x:c r="G2" s="2"/>
      <x:c r="H2" s="2"/>
      <x:c r="I2" s="2"/>
      <x:c r="J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8" customHeight="1">
      <x:c r="A5" s="2"/>
      <x:c r="B5" s="7" t="str">
        <x:v>April–June 2026</x:v>
      </x:c>
      <x:c r="C5" s="7" t="str">
        <x:v>Original</x:v>
      </x:c>
      <x:c r="D5" s="7" t="str">
        <x:v>Revised</x:v>
      </x:c>
      <x:c r="E5" s="7" t="str">
        <x:v>Actual</x:v>
      </x:c>
      <x:c r="F5" s="7" t="str">
        <x:v>Selected method</x:v>
      </x:c>
      <x:c r="G5" s="2"/>
      <x:c r="H5" s="2"/>
      <x:c r="I5" s="2"/>
      <x:c r="J5" s="2"/>
    </x:row>
    <x:row r="6" ht="44" customHeight="1">
      <x:c r="A6" s="2"/>
      <x:c r="B6" s="8" t="str">
        <x:v>Baby / Feminine / Family volume</x:v>
      </x:c>
      <x:c r="C6" s="10" t="n">
        <x:v>-1.652062168789822</x:v>
      </x:c>
      <x:c r="D6" s="10" t="n">
        <x:v>-0.5</x:v>
      </x:c>
      <x:c r="E6" s="10" t="n">
        <x:v>-1</x:v>
      </x:c>
      <x:c r="F6" s="8" t="str">
        <x:v>Four-quarter mean</x:v>
      </x:c>
      <x:c r="G6" s="2"/>
      <x:c r="H6" s="2"/>
      <x:c r="I6" s="2"/>
      <x:c r="J6" s="2"/>
    </x:row>
    <x:row r="7" ht="44" customHeight="1">
      <x:c r="A7" s="2"/>
      <x:c r="B7" s="8" t="str">
        <x:v>Beauty organic sales</x:v>
      </x:c>
      <x:c r="C7" s="10" t="n">
        <x:v>3.289568967374506</x:v>
      </x:c>
      <x:c r="D7" s="10" t="n">
        <x:v>3.8392820319313055</x:v>
      </x:c>
      <x:c r="E7" s="10" t="n">
        <x:v>4</x:v>
      </x:c>
      <x:c r="F7" s="8" t="str">
        <x:v>Market bias correction</x:v>
      </x:c>
      <x:c r="G7" s="2"/>
      <x:c r="H7" s="2"/>
      <x:c r="I7" s="2"/>
      <x:c r="J7" s="2"/>
    </x:row>
    <x:row r="8" ht="44" customHeight="1">
      <x:c r="A8" s="2"/>
      <x:c r="B8" s="8" t="str">
        <x:v>Beauty volume</x:v>
      </x:c>
      <x:c r="C8" s="10" t="n">
        <x:v>5</x:v>
      </x:c>
      <x:c r="D8" s="10" t="n">
        <x:v>5</x:v>
      </x:c>
      <x:c r="E8" s="10" t="n">
        <x:v>3</x:v>
      </x:c>
      <x:c r="F8" s="8" t="str">
        <x:v>Last actual</x:v>
      </x:c>
      <x:c r="G8" s="2"/>
      <x:c r="H8" s="2"/>
      <x:c r="I8" s="2"/>
      <x:c r="J8" s="2"/>
    </x:row>
    <x:row r="9" ht="44" customHeight="1">
      <x:c r="A9" s="2"/>
      <x:c r="B9" s="8" t="str">
        <x:v>Beauty pricing</x:v>
      </x:c>
      <x:c r="C9" s="10" t="n">
        <x:v>4.308198652998944</x:v>
      </x:c>
      <x:c r="D9" s="10" t="n">
        <x:v>1.5</x:v>
      </x:c>
      <x:c r="E9" s="10" t="n">
        <x:v>1</x:v>
      </x:c>
      <x:c r="F9" s="8" t="str">
        <x:v>Recent two mean</x:v>
      </x:c>
      <x:c r="G9" s="2"/>
      <x:c r="H9" s="2"/>
      <x:c r="I9" s="2"/>
      <x:c r="J9" s="2"/>
    </x:row>
    <x:row r="10" ht="44" customHeight="1">
      <x:c r="A10" s="2"/>
      <x:c r="B10" s="8" t="str">
        <x:v>Fabric &amp; Home volume</x:v>
      </x:c>
      <x:c r="C10" s="10" t="n">
        <x:v>0</x:v>
      </x:c>
      <x:c r="D10" s="10" t="n">
        <x:v>0.6790497883522549</x:v>
      </x:c>
      <x:c r="E10" s="10" t="n">
        <x:v>1</x:v>
      </x:c>
      <x:c r="F10" s="8" t="str">
        <x:v>Half last + market</x:v>
      </x:c>
      <x:c r="G10" s="2"/>
      <x:c r="H10" s="2"/>
      <x:c r="I10" s="2"/>
      <x:c r="J10" s="2"/>
    </x:row>
    <x:row r="11" ht="44" customHeight="1">
      <x:c r="A11" s="2"/>
      <x:c r="B11" s="8" t="str">
        <x:v>Health Care pricing</x:v>
      </x:c>
      <x:c r="C11" s="10" t="n">
        <x:v>2.6809914443502034</x:v>
      </x:c>
      <x:c r="D11" s="10" t="n">
        <x:v>2</x:v>
      </x:c>
      <x:c r="E11" s="10" t="n">
        <x:v>2</x:v>
      </x:c>
      <x:c r="F11" s="8" t="str">
        <x:v>Last actual</x:v>
      </x:c>
      <x:c r="G11" s="2"/>
      <x:c r="H11" s="2"/>
      <x:c r="I11" s="2"/>
      <x:c r="J11" s="2"/>
    </x:row>
    <x:row r="12" ht="27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7" customHeight="1">
      <x:c r="A13" s="2"/>
      <x:c r="B13" s="2" t="str">
        <x:v>Growth rates are in %, pricing contributions in pp. Revisions are retrospective.</x:v>
      </x:c>
      <x:c r="C13" s="2"/>
      <x:c r="D13" s="2"/>
      <x:c r="E13" s="2"/>
      <x:c r="F13" s="2"/>
      <x:c r="G13" s="2"/>
      <x:c r="H13" s="2"/>
      <x:c r="I13" s="2"/>
      <x:c r="J13" s="2"/>
    </x:row>
    <x:row r="14" ht="27" customHeight="1">
      <x:c r="A14" s="2"/>
      <x:c r="B14" s="2" t="str">
        <x:v>Forecasts and simulation draws are generated by Python. Editing Excel does not rerun model selection.</x:v>
      </x:c>
      <x:c r="C14" s="2"/>
      <x:c r="D14" s="2"/>
      <x:c r="E14" s="2"/>
      <x:c r="F14" s="2"/>
      <x:c r="G14" s="2"/>
      <x:c r="H14" s="2"/>
      <x:c r="I14" s="2"/>
      <x:c r="J14" s="2"/>
    </x:row>
    <x:row r="15" ht="27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7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7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7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48" customHeight="1">
      <x:c r="A19" s="2"/>
      <x:c r="B19" s="7" t="str">
        <x:v>Simulation inputs</x:v>
      </x:c>
      <x:c r="C19" s="7" t="str">
        <x:v>Below count</x:v>
      </x:c>
      <x:c r="D19" s="7" t="str">
        <x:v>Near count</x:v>
      </x:c>
      <x:c r="E19" s="7" t="str">
        <x:v>Above count</x:v>
      </x:c>
      <x:c r="F19" s="7" t="str">
        <x:v>Draws</x:v>
      </x:c>
      <x:c r="G19" s="7" t="str">
        <x:v>P10</x:v>
      </x:c>
      <x:c r="H19" s="7" t="str">
        <x:v>Median</x:v>
      </x:c>
      <x:c r="I19" s="7" t="str">
        <x:v>P90</x:v>
      </x:c>
      <x:c r="J19" s="7" t="str">
        <x:v>Used scale</x:v>
      </x:c>
    </x:row>
    <x:row r="20" ht="44" customHeight="1">
      <x:c r="A20" s="2"/>
      <x:c r="B20" s="8" t="str">
        <x:v>Baby / Feminine / Family volume</x:v>
      </x:c>
      <x:c r="C20" s="11" t="n">
        <x:v>35771</x:v>
      </x:c>
      <x:c r="D20" s="11" t="n">
        <x:v>28225</x:v>
      </x:c>
      <x:c r="E20" s="11" t="n">
        <x:v>36004</x:v>
      </x:c>
      <x:c r="F20" s="11" t="n">
        <x:v>100000</x:v>
      </x:c>
      <x:c r="G20" s="12" t="n">
        <x:v>-4.362547387885158</x:v>
      </x:c>
      <x:c r="H20" s="12" t="n">
        <x:v>-0.5028903833737306</x:v>
      </x:c>
      <x:c r="I20" s="12" t="n">
        <x:v>3.337162518705729</x:v>
      </x:c>
      <x:c r="J20" s="12" t="n">
        <x:v>3.372881322784609</x:v>
      </x:c>
    </x:row>
    <x:row r="21" ht="44" customHeight="1">
      <x:c r="A21" s="2"/>
      <x:c r="B21" s="8" t="str">
        <x:v>Beauty organic sales</x:v>
      </x:c>
      <x:c r="C21" s="11" t="n">
        <x:v>31748</x:v>
      </x:c>
      <x:c r="D21" s="11" t="n">
        <x:v>36120</x:v>
      </x:c>
      <x:c r="E21" s="11" t="n">
        <x:v>32132</x:v>
      </x:c>
      <x:c r="F21" s="11" t="n">
        <x:v>100000</x:v>
      </x:c>
      <x:c r="G21" s="12" t="n">
        <x:v>0.8807265308078134</x:v>
      </x:c>
      <x:c r="H21" s="12" t="n">
        <x:v>3.848188119913229</x:v>
      </x:c>
      <x:c r="I21" s="12" t="n">
        <x:v>6.797176409112972</x:v>
      </x:c>
      <x:c r="J21" s="12" t="n">
        <x:v>2.5974118696993647</x:v>
      </x:c>
    </x:row>
    <x:row r="22" ht="44" customHeight="1">
      <x:c r="A22" s="2"/>
      <x:c r="B22" s="8" t="str">
        <x:v>Beauty volume</x:v>
      </x:c>
      <x:c r="C22" s="11" t="n">
        <x:v>21337</x:v>
      </x:c>
      <x:c r="D22" s="11" t="n">
        <x:v>57226</x:v>
      </x:c>
      <x:c r="E22" s="11" t="n">
        <x:v>21437</x:v>
      </x:c>
      <x:c r="F22" s="11" t="n">
        <x:v>100000</x:v>
      </x:c>
      <x:c r="G22" s="12" t="n">
        <x:v>3.295355365448568</x:v>
      </x:c>
      <x:c r="H22" s="12" t="n">
        <x:v>5.0086649525175435</x:v>
      </x:c>
      <x:c r="I22" s="12" t="n">
        <x:v>6.7135547432715486</x:v>
      </x:c>
      <x:c r="J22" s="12" t="n">
        <x:v>1.4889621653685627</x:v>
      </x:c>
    </x:row>
    <x:row r="23" ht="44" customHeight="1">
      <x:c r="A23" s="2"/>
      <x:c r="B23" s="8" t="str">
        <x:v>Beauty pricing</x:v>
      </x:c>
      <x:c r="C23" s="11" t="n">
        <x:v>17732</x:v>
      </x:c>
      <x:c r="D23" s="11" t="n">
        <x:v>64413</x:v>
      </x:c>
      <x:c r="E23" s="11" t="n">
        <x:v>17855</x:v>
      </x:c>
      <x:c r="F23" s="11" t="n">
        <x:v>100000</x:v>
      </x:c>
      <x:c r="G23" s="12" t="n">
        <x:v>0.04638729182621949</x:v>
      </x:c>
      <x:c r="H23" s="12" t="n">
        <x:v>1.5060268369793453</x:v>
      </x:c>
      <x:c r="I23" s="12" t="n">
        <x:v>2.964271407297328</x:v>
      </x:c>
      <x:c r="J23" s="12" t="n">
        <x:v>1.2747548783981961</x:v>
      </x:c>
    </x:row>
    <x:row r="24" ht="44" customHeight="1">
      <x:c r="A24" s="2"/>
      <x:c r="B24" s="8" t="str">
        <x:v>Fabric &amp; Home volume</x:v>
      </x:c>
      <x:c r="C24" s="11" t="n">
        <x:v>28000</x:v>
      </x:c>
      <x:c r="D24" s="11" t="n">
        <x:v>43836</x:v>
      </x:c>
      <x:c r="E24" s="11" t="n">
        <x:v>28164</x:v>
      </x:c>
      <x:c r="F24" s="11" t="n">
        <x:v>100000</x:v>
      </x:c>
      <x:c r="G24" s="12" t="n">
        <x:v>-1.6956610809031636</x:v>
      </x:c>
      <x:c r="H24" s="12" t="n">
        <x:v>0.679110803371489</x:v>
      </x:c>
      <x:c r="I24" s="12" t="n">
        <x:v>3.064342920314575</x:v>
      </x:c>
      <x:c r="J24" s="12" t="n">
        <x:v>2.0811439696866585</x:v>
      </x:c>
    </x:row>
    <x:row r="25" ht="44" customHeight="1">
      <x:c r="A25" s="2"/>
      <x:c r="B25" s="8" t="str">
        <x:v>Health Care pricing</x:v>
      </x:c>
      <x:c r="C25" s="11" t="n">
        <x:v>12638</x:v>
      </x:c>
      <x:c r="D25" s="11" t="n">
        <x:v>74694</x:v>
      </x:c>
      <x:c r="E25" s="11" t="n">
        <x:v>12668</x:v>
      </x:c>
      <x:c r="F25" s="11" t="n">
        <x:v>100000</x:v>
      </x:c>
      <x:c r="G25" s="12" t="n">
        <x:v>0.8583662415630727</x:v>
      </x:c>
      <x:c r="H25" s="12" t="n">
        <x:v>2.0028899333410437</x:v>
      </x:c>
      <x:c r="I25" s="12" t="n">
        <x:v>3.144476250259789</x:v>
      </x:c>
      <x:c r="J25" s="12" t="n">
        <x:v>1</x:v>
      </x:c>
    </x:row>
    <x:row r="26" ht="27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7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7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7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7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7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7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7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48" customHeight="1">
      <x:c r="A34" s="2"/>
      <x:c r="B34" s="7" t="str">
        <x:v>Historical test</x:v>
      </x:c>
      <x:c r="C34" s="7" t="str">
        <x:v>Quarter end</x:v>
      </x:c>
      <x:c r="D34" s="7" t="str">
        <x:v>Selected value</x:v>
      </x:c>
      <x:c r="E34" s="7" t="str">
        <x:v>Last actual</x:v>
      </x:c>
      <x:c r="F34" s="7" t="str">
        <x:v>Four-quarter mean</x:v>
      </x:c>
      <x:c r="G34" s="7" t="str">
        <x:v>Actual</x:v>
      </x:c>
      <x:c r="H34" s="7" t="str">
        <x:v>Method</x:v>
      </x:c>
      <x:c r="I34" s="7" t="str">
        <x:v>Forecast cutoff</x:v>
      </x:c>
      <x:c r="J34" s="2"/>
    </x:row>
    <x:row r="35" ht="42" customHeight="1">
      <x:c r="A35" s="2"/>
      <x:c r="B35" s="8" t="str">
        <x:v>Baby / Feminine / Family volume</x:v>
      </x:c>
      <x:c r="C35" s="17" t="n">
        <x:v>45473</x:v>
      </x:c>
      <x:c r="D35" s="12" t="n">
        <x:v>-1.929424714830222</x:v>
      </x:c>
      <x:c r="E35" s="12" t="n">
        <x:v>-3</x:v>
      </x:c>
      <x:c r="F35" s="12" t="n">
        <x:v>-2</x:v>
      </x:c>
      <x:c r="G35" s="12" t="n">
        <x:v>-1</x:v>
      </x:c>
      <x:c r="H35" s="8" t="str">
        <x:v>Market level</x:v>
      </x:c>
      <x:c r="I35" s="17" t="n">
        <x:v>45401</x:v>
      </x:c>
      <x:c r="J35" s="2"/>
    </x:row>
    <x:row r="36" ht="42" customHeight="1">
      <x:c r="A36" s="2"/>
      <x:c r="B36" s="8" t="str">
        <x:v>Baby / Feminine / Family volume</x:v>
      </x:c>
      <x:c r="C36" s="17" t="n">
        <x:v>45565</x:v>
      </x:c>
      <x:c r="D36" s="12" t="n">
        <x:v>-1.9335751121489584</x:v>
      </x:c>
      <x:c r="E36" s="12" t="n">
        <x:v>-1</x:v>
      </x:c>
      <x:c r="F36" s="12" t="n">
        <x:v>-2.25</x:v>
      </x:c>
      <x:c r="G36" s="12" t="n">
        <x:v>-1</x:v>
      </x:c>
      <x:c r="H36" s="8" t="str">
        <x:v>Market level</x:v>
      </x:c>
      <x:c r="I36" s="17" t="n">
        <x:v>45503</x:v>
      </x:c>
      <x:c r="J36" s="2"/>
    </x:row>
    <x:row r="37" ht="42" customHeight="1">
      <x:c r="A37" s="2"/>
      <x:c r="B37" s="8" t="str">
        <x:v>Baby / Feminine / Family volume</x:v>
      </x:c>
      <x:c r="C37" s="17" t="n">
        <x:v>45657</x:v>
      </x:c>
      <x:c r="D37" s="12" t="n">
        <x:v>-1.862489404553953</x:v>
      </x:c>
      <x:c r="E37" s="12" t="n">
        <x:v>-1</x:v>
      </x:c>
      <x:c r="F37" s="12" t="n">
        <x:v>-1.75</x:v>
      </x:c>
      <x:c r="G37" s="12" t="n">
        <x:v>4</x:v>
      </x:c>
      <x:c r="H37" s="8" t="str">
        <x:v>Market level</x:v>
      </x:c>
      <x:c r="I37" s="17" t="n">
        <x:v>45583</x:v>
      </x:c>
      <x:c r="J37" s="2"/>
    </x:row>
    <x:row r="38" ht="42" customHeight="1">
      <x:c r="A38" s="2"/>
      <x:c r="B38" s="8" t="str">
        <x:v>Baby / Feminine / Family volume</x:v>
      </x:c>
      <x:c r="C38" s="17" t="n">
        <x:v>45747</x:v>
      </x:c>
      <x:c r="D38" s="12" t="n">
        <x:v>-1.7923250922589065</x:v>
      </x:c>
      <x:c r="E38" s="12" t="n">
        <x:v>4</x:v>
      </x:c>
      <x:c r="F38" s="12" t="n">
        <x:v>-0.25</x:v>
      </x:c>
      <x:c r="G38" s="12" t="n">
        <x:v>-2</x:v>
      </x:c>
      <x:c r="H38" s="8" t="str">
        <x:v>Market level</x:v>
      </x:c>
      <x:c r="I38" s="17" t="n">
        <x:v>45679</x:v>
      </x:c>
      <x:c r="J38" s="2"/>
    </x:row>
    <x:row r="39" ht="42" customHeight="1">
      <x:c r="A39" s="2"/>
      <x:c r="B39" s="8" t="str">
        <x:v>Baby / Feminine / Family volume</x:v>
      </x:c>
      <x:c r="C39" s="17" t="n">
        <x:v>45838</x:v>
      </x:c>
      <x:c r="D39" s="12" t="n">
        <x:v>-1.410079311365218</x:v>
      </x:c>
      <x:c r="E39" s="12" t="n">
        <x:v>-2</x:v>
      </x:c>
      <x:c r="F39" s="12" t="n">
        <x:v>0</x:v>
      </x:c>
      <x:c r="G39" s="12" t="n">
        <x:v>0</x:v>
      </x:c>
      <x:c r="H39" s="8" t="str">
        <x:v>Market level</x:v>
      </x:c>
      <x:c r="I39" s="17" t="n">
        <x:v>45771</x:v>
      </x:c>
      <x:c r="J39" s="2"/>
    </x:row>
    <x:row r="40" ht="42" customHeight="1">
      <x:c r="A40" s="2"/>
      <x:c r="B40" s="8" t="str">
        <x:v>Baby / Feminine / Family volume</x:v>
      </x:c>
      <x:c r="C40" s="17" t="n">
        <x:v>45930</x:v>
      </x:c>
      <x:c r="D40" s="12" t="n">
        <x:v>0.25</x:v>
      </x:c>
      <x:c r="E40" s="12" t="n">
        <x:v>0</x:v>
      </x:c>
      <x:c r="F40" s="12" t="n">
        <x:v>0.25</x:v>
      </x:c>
      <x:c r="G40" s="12" t="n">
        <x:v>0</x:v>
      </x:c>
      <x:c r="H40" s="8" t="str">
        <x:v>Four-quarter mean</x:v>
      </x:c>
      <x:c r="I40" s="17" t="n">
        <x:v>45867</x:v>
      </x:c>
      <x:c r="J40" s="2"/>
    </x:row>
    <x:row r="41" ht="42" customHeight="1">
      <x:c r="A41" s="2"/>
      <x:c r="B41" s="8" t="str">
        <x:v>Baby / Feminine / Family volume</x:v>
      </x:c>
      <x:c r="C41" s="17" t="n">
        <x:v>46022</x:v>
      </x:c>
      <x:c r="D41" s="12" t="n">
        <x:v>0.5</x:v>
      </x:c>
      <x:c r="E41" s="12" t="n">
        <x:v>0</x:v>
      </x:c>
      <x:c r="F41" s="12" t="n">
        <x:v>0.5</x:v>
      </x:c>
      <x:c r="G41" s="12" t="n">
        <x:v>-5</x:v>
      </x:c>
      <x:c r="H41" s="8" t="str">
        <x:v>Four-quarter mean</x:v>
      </x:c>
      <x:c r="I41" s="17" t="n">
        <x:v>45954</x:v>
      </x:c>
      <x:c r="J41" s="2"/>
    </x:row>
    <x:row r="42" ht="42" customHeight="1">
      <x:c r="A42" s="2"/>
      <x:c r="B42" s="8" t="str">
        <x:v>Baby / Feminine / Family volume</x:v>
      </x:c>
      <x:c r="C42" s="17" t="n">
        <x:v>46112</x:v>
      </x:c>
      <x:c r="D42" s="12" t="n">
        <x:v>-1.75</x:v>
      </x:c>
      <x:c r="E42" s="12" t="n">
        <x:v>-5</x:v>
      </x:c>
      <x:c r="F42" s="12" t="n">
        <x:v>-1.75</x:v>
      </x:c>
      <x:c r="G42" s="12" t="n">
        <x:v>3</x:v>
      </x:c>
      <x:c r="H42" s="8" t="str">
        <x:v>Four-quarter mean</x:v>
      </x:c>
      <x:c r="I42" s="17" t="n">
        <x:v>46045</x:v>
      </x:c>
      <x:c r="J42" s="2"/>
    </x:row>
    <x:row r="43" ht="42" customHeight="1">
      <x:c r="A43" s="2"/>
      <x:c r="B43" s="8" t="str">
        <x:v>Beauty organic sales</x:v>
      </x:c>
      <x:c r="C43" s="17" t="n">
        <x:v>45473</x:v>
      </x:c>
      <x:c r="D43" s="12" t="n">
        <x:v>3.2018905825898383</x:v>
      </x:c>
      <x:c r="E43" s="12" t="n">
        <x:v>3</x:v>
      </x:c>
      <x:c r="F43" s="12" t="n">
        <x:v>5</x:v>
      </x:c>
      <x:c r="G43" s="12" t="n">
        <x:v>3</x:v>
      </x:c>
      <x:c r="H43" s="8" t="str">
        <x:v>Half last + market</x:v>
      </x:c>
      <x:c r="I43" s="17" t="n">
        <x:v>45401</x:v>
      </x:c>
      <x:c r="J43" s="2"/>
    </x:row>
    <x:row r="44" ht="42" customHeight="1">
      <x:c r="A44" s="2"/>
      <x:c r="B44" s="8" t="str">
        <x:v>Beauty organic sales</x:v>
      </x:c>
      <x:c r="C44" s="17" t="n">
        <x:v>45565</x:v>
      </x:c>
      <x:c r="D44" s="12" t="n">
        <x:v>3.038011159895085</x:v>
      </x:c>
      <x:c r="E44" s="12" t="n">
        <x:v>3</x:v>
      </x:c>
      <x:c r="F44" s="12" t="n">
        <x:v>3</x:v>
      </x:c>
      <x:c r="G44" s="12" t="n">
        <x:v>-2</x:v>
      </x:c>
      <x:c r="H44" s="8" t="str">
        <x:v>Half last + market</x:v>
      </x:c>
      <x:c r="I44" s="17" t="n">
        <x:v>45503</x:v>
      </x:c>
      <x:c r="J44" s="2"/>
    </x:row>
    <x:row r="45" ht="42" customHeight="1">
      <x:c r="A45" s="2"/>
      <x:c r="B45" s="8" t="str">
        <x:v>Beauty organic sales</x:v>
      </x:c>
      <x:c r="C45" s="17" t="n">
        <x:v>45657</x:v>
      </x:c>
      <x:c r="D45" s="12" t="n">
        <x:v>0.6210243564971965</x:v>
      </x:c>
      <x:c r="E45" s="12" t="n">
        <x:v>-2</x:v>
      </x:c>
      <x:c r="F45" s="12" t="n">
        <x:v>1.25</x:v>
      </x:c>
      <x:c r="G45" s="12" t="n">
        <x:v>2</x:v>
      </x:c>
      <x:c r="H45" s="8" t="str">
        <x:v>Half last + market</x:v>
      </x:c>
      <x:c r="I45" s="17" t="n">
        <x:v>45583</x:v>
      </x:c>
      <x:c r="J45" s="2"/>
    </x:row>
    <x:row r="46" ht="42" customHeight="1">
      <x:c r="A46" s="2"/>
      <x:c r="B46" s="8" t="str">
        <x:v>Beauty organic sales</x:v>
      </x:c>
      <x:c r="C46" s="17" t="n">
        <x:v>45747</x:v>
      </x:c>
      <x:c r="D46" s="12" t="n">
        <x:v>1.6832428638579442</x:v>
      </x:c>
      <x:c r="E46" s="12" t="n">
        <x:v>2</x:v>
      </x:c>
      <x:c r="F46" s="12" t="n">
        <x:v>1.5</x:v>
      </x:c>
      <x:c r="G46" s="12" t="n">
        <x:v>2</x:v>
      </x:c>
      <x:c r="H46" s="8" t="str">
        <x:v>Market bias correction</x:v>
      </x:c>
      <x:c r="I46" s="17" t="n">
        <x:v>45679</x:v>
      </x:c>
      <x:c r="J46" s="2"/>
    </x:row>
    <x:row r="47" ht="42" customHeight="1">
      <x:c r="A47" s="2"/>
      <x:c r="B47" s="8" t="str">
        <x:v>Beauty organic sales</x:v>
      </x:c>
      <x:c r="C47" s="17" t="n">
        <x:v>45838</x:v>
      </x:c>
      <x:c r="D47" s="12" t="n">
        <x:v>2.5123240245511873</x:v>
      </x:c>
      <x:c r="E47" s="12" t="n">
        <x:v>2</x:v>
      </x:c>
      <x:c r="F47" s="12" t="n">
        <x:v>1.25</x:v>
      </x:c>
      <x:c r="G47" s="12" t="n">
        <x:v>1</x:v>
      </x:c>
      <x:c r="H47" s="8" t="str">
        <x:v>Market bias correction</x:v>
      </x:c>
      <x:c r="I47" s="17" t="n">
        <x:v>45771</x:v>
      </x:c>
      <x:c r="J47" s="2"/>
    </x:row>
    <x:row r="48" ht="42" customHeight="1">
      <x:c r="A48" s="2"/>
      <x:c r="B48" s="8" t="str">
        <x:v>Beauty organic sales</x:v>
      </x:c>
      <x:c r="C48" s="17" t="n">
        <x:v>45930</x:v>
      </x:c>
      <x:c r="D48" s="12" t="n">
        <x:v>2.4239600950795355</x:v>
      </x:c>
      <x:c r="E48" s="12" t="n">
        <x:v>1</x:v>
      </x:c>
      <x:c r="F48" s="12" t="n">
        <x:v>0.75</x:v>
      </x:c>
      <x:c r="G48" s="12" t="n">
        <x:v>6</x:v>
      </x:c>
      <x:c r="H48" s="8" t="str">
        <x:v>Market bias correction</x:v>
      </x:c>
      <x:c r="I48" s="17" t="n">
        <x:v>45867</x:v>
      </x:c>
      <x:c r="J48" s="2"/>
    </x:row>
    <x:row r="49" ht="42" customHeight="1">
      <x:c r="A49" s="2"/>
      <x:c r="B49" s="8" t="str">
        <x:v>Beauty organic sales</x:v>
      </x:c>
      <x:c r="C49" s="17" t="n">
        <x:v>46022</x:v>
      </x:c>
      <x:c r="D49" s="12" t="n">
        <x:v>3.1366038819089055</x:v>
      </x:c>
      <x:c r="E49" s="12" t="n">
        <x:v>6</x:v>
      </x:c>
      <x:c r="F49" s="12" t="n">
        <x:v>2.75</x:v>
      </x:c>
      <x:c r="G49" s="12" t="n">
        <x:v>4</x:v>
      </x:c>
      <x:c r="H49" s="8" t="str">
        <x:v>Market bias correction</x:v>
      </x:c>
      <x:c r="I49" s="17" t="n">
        <x:v>45954</x:v>
      </x:c>
      <x:c r="J49" s="2"/>
    </x:row>
    <x:row r="50" ht="42" customHeight="1">
      <x:c r="A50" s="2"/>
      <x:c r="B50" s="8" t="str">
        <x:v>Beauty organic sales</x:v>
      </x:c>
      <x:c r="C50" s="17" t="n">
        <x:v>46112</x:v>
      </x:c>
      <x:c r="D50" s="12" t="n">
        <x:v>3.7247100906864166</x:v>
      </x:c>
      <x:c r="E50" s="12" t="n">
        <x:v>4</x:v>
      </x:c>
      <x:c r="F50" s="12" t="n">
        <x:v>3.25</x:v>
      </x:c>
      <x:c r="G50" s="12" t="n">
        <x:v>7</x:v>
      </x:c>
      <x:c r="H50" s="8" t="str">
        <x:v>Half last + market</x:v>
      </x:c>
      <x:c r="I50" s="17" t="n">
        <x:v>46045</x:v>
      </x:c>
      <x:c r="J50" s="2"/>
    </x:row>
    <x:row r="51" ht="42" customHeight="1">
      <x:c r="A51" s="2"/>
      <x:c r="B51" s="8" t="str">
        <x:v>Beauty volume</x:v>
      </x:c>
      <x:c r="C51" s="17" t="n">
        <x:v>45473</x:v>
      </x:c>
      <x:c r="D51" s="12" t="n">
        <x:v>0</x:v>
      </x:c>
      <x:c r="E51" s="12" t="n">
        <x:v>1</x:v>
      </x:c>
      <x:c r="F51" s="12" t="n">
        <x:v>-0.25</x:v>
      </x:c>
      <x:c r="G51" s="12" t="n">
        <x:v>1</x:v>
      </x:c>
      <x:c r="H51" s="8" t="str">
        <x:v>Recent two mean</x:v>
      </x:c>
      <x:c r="I51" s="17" t="n">
        <x:v>45401</x:v>
      </x:c>
      <x:c r="J51" s="2"/>
    </x:row>
    <x:row r="52" ht="42" customHeight="1">
      <x:c r="A52" s="2"/>
      <x:c r="B52" s="8" t="str">
        <x:v>Beauty volume</x:v>
      </x:c>
      <x:c r="C52" s="17" t="n">
        <x:v>45565</x:v>
      </x:c>
      <x:c r="D52" s="12" t="n">
        <x:v>1</x:v>
      </x:c>
      <x:c r="E52" s="12" t="n">
        <x:v>1</x:v>
      </x:c>
      <x:c r="F52" s="12" t="n">
        <x:v>0.25</x:v>
      </x:c>
      <x:c r="G52" s="12" t="n">
        <x:v>0</x:v>
      </x:c>
      <x:c r="H52" s="8" t="str">
        <x:v>Last actual</x:v>
      </x:c>
      <x:c r="I52" s="17" t="n">
        <x:v>45503</x:v>
      </x:c>
      <x:c r="J52" s="2"/>
    </x:row>
    <x:row r="53" ht="42" customHeight="1">
      <x:c r="A53" s="2"/>
      <x:c r="B53" s="8" t="str">
        <x:v>Beauty volume</x:v>
      </x:c>
      <x:c r="C53" s="17" t="n">
        <x:v>45657</x:v>
      </x:c>
      <x:c r="D53" s="12" t="n">
        <x:v>-0.22548608847670445</x:v>
      </x:c>
      <x:c r="E53" s="12" t="n">
        <x:v>0</x:v>
      </x:c>
      <x:c r="F53" s="12" t="n">
        <x:v>0.25</x:v>
      </x:c>
      <x:c r="G53" s="12" t="n">
        <x:v>0</x:v>
      </x:c>
      <x:c r="H53" s="8" t="str">
        <x:v>Half last + market</x:v>
      </x:c>
      <x:c r="I53" s="17" t="n">
        <x:v>45583</x:v>
      </x:c>
      <x:c r="J53" s="2"/>
    </x:row>
    <x:row r="54" ht="42" customHeight="1">
      <x:c r="A54" s="2"/>
      <x:c r="B54" s="8" t="str">
        <x:v>Beauty volume</x:v>
      </x:c>
      <x:c r="C54" s="17" t="n">
        <x:v>45747</x:v>
      </x:c>
      <x:c r="D54" s="12" t="n">
        <x:v>-0.19800778924670956</x:v>
      </x:c>
      <x:c r="E54" s="12" t="n">
        <x:v>0</x:v>
      </x:c>
      <x:c r="F54" s="12" t="n">
        <x:v>0.5</x:v>
      </x:c>
      <x:c r="G54" s="12" t="n">
        <x:v>1</x:v>
      </x:c>
      <x:c r="H54" s="8" t="str">
        <x:v>Half last + market</x:v>
      </x:c>
      <x:c r="I54" s="17" t="n">
        <x:v>45679</x:v>
      </x:c>
      <x:c r="J54" s="2"/>
    </x:row>
    <x:row r="55" ht="42" customHeight="1">
      <x:c r="A55" s="2"/>
      <x:c r="B55" s="8" t="str">
        <x:v>Beauty volume</x:v>
      </x:c>
      <x:c r="C55" s="17" t="n">
        <x:v>45838</x:v>
      </x:c>
      <x:c r="D55" s="12" t="n">
        <x:v>0.5</x:v>
      </x:c>
      <x:c r="E55" s="12" t="n">
        <x:v>1</x:v>
      </x:c>
      <x:c r="F55" s="12" t="n">
        <x:v>0.5</x:v>
      </x:c>
      <x:c r="G55" s="12" t="n">
        <x:v>1</x:v>
      </x:c>
      <x:c r="H55" s="8" t="str">
        <x:v>Four-quarter mean</x:v>
      </x:c>
      <x:c r="I55" s="17" t="n">
        <x:v>45771</x:v>
      </x:c>
      <x:c r="J55" s="2"/>
    </x:row>
    <x:row r="56" ht="42" customHeight="1">
      <x:c r="A56" s="2"/>
      <x:c r="B56" s="8" t="str">
        <x:v>Beauty volume</x:v>
      </x:c>
      <x:c r="C56" s="17" t="n">
        <x:v>45930</x:v>
      </x:c>
      <x:c r="D56" s="12" t="n">
        <x:v>1</x:v>
      </x:c>
      <x:c r="E56" s="12" t="n">
        <x:v>1</x:v>
      </x:c>
      <x:c r="F56" s="12" t="n">
        <x:v>0.5</x:v>
      </x:c>
      <x:c r="G56" s="12" t="n">
        <x:v>4</x:v>
      </x:c>
      <x:c r="H56" s="8" t="str">
        <x:v>Last actual</x:v>
      </x:c>
      <x:c r="I56" s="17" t="n">
        <x:v>45867</x:v>
      </x:c>
      <x:c r="J56" s="2"/>
    </x:row>
    <x:row r="57" ht="42" customHeight="1">
      <x:c r="A57" s="2"/>
      <x:c r="B57" s="8" t="str">
        <x:v>Beauty volume</x:v>
      </x:c>
      <x:c r="C57" s="17" t="n">
        <x:v>46022</x:v>
      </x:c>
      <x:c r="D57" s="12" t="n">
        <x:v>4</x:v>
      </x:c>
      <x:c r="E57" s="12" t="n">
        <x:v>4</x:v>
      </x:c>
      <x:c r="F57" s="12" t="n">
        <x:v>1.5</x:v>
      </x:c>
      <x:c r="G57" s="12" t="n">
        <x:v>3</x:v>
      </x:c>
      <x:c r="H57" s="8" t="str">
        <x:v>Last actual</x:v>
      </x:c>
      <x:c r="I57" s="17" t="n">
        <x:v>45954</x:v>
      </x:c>
      <x:c r="J57" s="2"/>
    </x:row>
    <x:row r="58" ht="42" customHeight="1">
      <x:c r="A58" s="2"/>
      <x:c r="B58" s="8" t="str">
        <x:v>Beauty volume</x:v>
      </x:c>
      <x:c r="C58" s="17" t="n">
        <x:v>46112</x:v>
      </x:c>
      <x:c r="D58" s="12" t="n">
        <x:v>3</x:v>
      </x:c>
      <x:c r="E58" s="12" t="n">
        <x:v>3</x:v>
      </x:c>
      <x:c r="F58" s="12" t="n">
        <x:v>2.25</x:v>
      </x:c>
      <x:c r="G58" s="12" t="n">
        <x:v>5</x:v>
      </x:c>
      <x:c r="H58" s="8" t="str">
        <x:v>Last actual</x:v>
      </x:c>
      <x:c r="I58" s="17" t="n">
        <x:v>46045</x:v>
      </x:c>
      <x:c r="J58" s="2"/>
    </x:row>
    <x:row r="59" ht="42" customHeight="1">
      <x:c r="A59" s="2"/>
      <x:c r="B59" s="8" t="str">
        <x:v>Beauty pricing</x:v>
      </x:c>
      <x:c r="C59" s="17" t="n">
        <x:v>45473</x:v>
      </x:c>
      <x:c r="D59" s="12" t="n">
        <x:v>4</x:v>
      </x:c>
      <x:c r="E59" s="12" t="n">
        <x:v>4</x:v>
      </x:c>
      <x:c r="F59" s="12" t="n">
        <x:v>5.75</x:v>
      </x:c>
      <x:c r="G59" s="12" t="n">
        <x:v>3</x:v>
      </x:c>
      <x:c r="H59" s="8" t="str">
        <x:v>Last actual</x:v>
      </x:c>
      <x:c r="I59" s="17" t="n">
        <x:v>45401</x:v>
      </x:c>
      <x:c r="J59" s="2"/>
    </x:row>
    <x:row r="60" ht="42" customHeight="1">
      <x:c r="A60" s="2"/>
      <x:c r="B60" s="8" t="str">
        <x:v>Beauty pricing</x:v>
      </x:c>
      <x:c r="C60" s="17" t="n">
        <x:v>45565</x:v>
      </x:c>
      <x:c r="D60" s="12" t="n">
        <x:v>3</x:v>
      </x:c>
      <x:c r="E60" s="12" t="n">
        <x:v>3</x:v>
      </x:c>
      <x:c r="F60" s="12" t="n">
        <x:v>4.5</x:v>
      </x:c>
      <x:c r="G60" s="12" t="n">
        <x:v>1</x:v>
      </x:c>
      <x:c r="H60" s="8" t="str">
        <x:v>Last actual</x:v>
      </x:c>
      <x:c r="I60" s="17" t="n">
        <x:v>45503</x:v>
      </x:c>
      <x:c r="J60" s="2"/>
    </x:row>
    <x:row r="61" ht="42" customHeight="1">
      <x:c r="A61" s="2"/>
      <x:c r="B61" s="8" t="str">
        <x:v>Beauty pricing</x:v>
      </x:c>
      <x:c r="C61" s="17" t="n">
        <x:v>45657</x:v>
      </x:c>
      <x:c r="D61" s="12" t="n">
        <x:v>1</x:v>
      </x:c>
      <x:c r="E61" s="12" t="n">
        <x:v>1</x:v>
      </x:c>
      <x:c r="F61" s="12" t="n">
        <x:v>3</x:v>
      </x:c>
      <x:c r="G61" s="12" t="n">
        <x:v>2</x:v>
      </x:c>
      <x:c r="H61" s="8" t="str">
        <x:v>Last actual</x:v>
      </x:c>
      <x:c r="I61" s="17" t="n">
        <x:v>45583</x:v>
      </x:c>
      <x:c r="J61" s="2"/>
    </x:row>
    <x:row r="62" ht="42" customHeight="1">
      <x:c r="A62" s="2"/>
      <x:c r="B62" s="8" t="str">
        <x:v>Beauty pricing</x:v>
      </x:c>
      <x:c r="C62" s="17" t="n">
        <x:v>45747</x:v>
      </x:c>
      <x:c r="D62" s="12" t="n">
        <x:v>2</x:v>
      </x:c>
      <x:c r="E62" s="12" t="n">
        <x:v>2</x:v>
      </x:c>
      <x:c r="F62" s="12" t="n">
        <x:v>2.5</x:v>
      </x:c>
      <x:c r="G62" s="12" t="n">
        <x:v>3</x:v>
      </x:c>
      <x:c r="H62" s="8" t="str">
        <x:v>Last actual</x:v>
      </x:c>
      <x:c r="I62" s="17" t="n">
        <x:v>45679</x:v>
      </x:c>
      <x:c r="J62" s="2"/>
    </x:row>
    <x:row r="63" ht="42" customHeight="1">
      <x:c r="A63" s="2"/>
      <x:c r="B63" s="8" t="str">
        <x:v>Beauty pricing</x:v>
      </x:c>
      <x:c r="C63" s="17" t="n">
        <x:v>45838</x:v>
      </x:c>
      <x:c r="D63" s="12" t="n">
        <x:v>3</x:v>
      </x:c>
      <x:c r="E63" s="12" t="n">
        <x:v>3</x:v>
      </x:c>
      <x:c r="F63" s="12" t="n">
        <x:v>2.25</x:v>
      </x:c>
      <x:c r="G63" s="12" t="n">
        <x:v>1</x:v>
      </x:c>
      <x:c r="H63" s="8" t="str">
        <x:v>Last actual</x:v>
      </x:c>
      <x:c r="I63" s="17" t="n">
        <x:v>45771</x:v>
      </x:c>
      <x:c r="J63" s="2"/>
    </x:row>
    <x:row r="64" ht="42" customHeight="1">
      <x:c r="A64" s="2"/>
      <x:c r="B64" s="8" t="str">
        <x:v>Beauty pricing</x:v>
      </x:c>
      <x:c r="C64" s="17" t="n">
        <x:v>45930</x:v>
      </x:c>
      <x:c r="D64" s="12" t="n">
        <x:v>1</x:v>
      </x:c>
      <x:c r="E64" s="12" t="n">
        <x:v>1</x:v>
      </x:c>
      <x:c r="F64" s="12" t="n">
        <x:v>1.75</x:v>
      </x:c>
      <x:c r="G64" s="12" t="n">
        <x:v>2</x:v>
      </x:c>
      <x:c r="H64" s="8" t="str">
        <x:v>Last actual</x:v>
      </x:c>
      <x:c r="I64" s="17" t="n">
        <x:v>45867</x:v>
      </x:c>
      <x:c r="J64" s="2"/>
    </x:row>
    <x:row r="65" ht="42" customHeight="1">
      <x:c r="A65" s="2"/>
      <x:c r="B65" s="8" t="str">
        <x:v>Beauty pricing</x:v>
      </x:c>
      <x:c r="C65" s="17" t="n">
        <x:v>46022</x:v>
      </x:c>
      <x:c r="D65" s="12" t="n">
        <x:v>2</x:v>
      </x:c>
      <x:c r="E65" s="12" t="n">
        <x:v>2</x:v>
      </x:c>
      <x:c r="F65" s="12" t="n">
        <x:v>2</x:v>
      </x:c>
      <x:c r="G65" s="12" t="n">
        <x:v>2</x:v>
      </x:c>
      <x:c r="H65" s="8" t="str">
        <x:v>Last actual</x:v>
      </x:c>
      <x:c r="I65" s="17" t="n">
        <x:v>45954</x:v>
      </x:c>
      <x:c r="J65" s="2"/>
    </x:row>
    <x:row r="66" ht="42" customHeight="1">
      <x:c r="A66" s="2"/>
      <x:c r="B66" s="8" t="str">
        <x:v>Beauty pricing</x:v>
      </x:c>
      <x:c r="C66" s="17" t="n">
        <x:v>46112</x:v>
      </x:c>
      <x:c r="D66" s="12" t="n">
        <x:v>2</x:v>
      </x:c>
      <x:c r="E66" s="12" t="n">
        <x:v>2</x:v>
      </x:c>
      <x:c r="F66" s="12" t="n">
        <x:v>2</x:v>
      </x:c>
      <x:c r="G66" s="12" t="n">
        <x:v>1</x:v>
      </x:c>
      <x:c r="H66" s="8" t="str">
        <x:v>Last actual</x:v>
      </x:c>
      <x:c r="I66" s="17" t="n">
        <x:v>46045</x:v>
      </x:c>
      <x:c r="J66" s="2"/>
    </x:row>
    <x:row r="67" ht="42" customHeight="1">
      <x:c r="A67" s="2"/>
      <x:c r="B67" s="8" t="str">
        <x:v>Fabric &amp; Home volume</x:v>
      </x:c>
      <x:c r="C67" s="17" t="n">
        <x:v>45473</x:v>
      </x:c>
      <x:c r="D67" s="12" t="n">
        <x:v>0.16977988483347128</x:v>
      </x:c>
      <x:c r="E67" s="12" t="n">
        <x:v>1</x:v>
      </x:c>
      <x:c r="F67" s="12" t="n">
        <x:v>0</x:v>
      </x:c>
      <x:c r="G67" s="12" t="n">
        <x:v>3</x:v>
      </x:c>
      <x:c r="H67" s="8" t="str">
        <x:v>Anchored market change</x:v>
      </x:c>
      <x:c r="I67" s="17" t="n">
        <x:v>45401</x:v>
      </x:c>
      <x:c r="J67" s="2"/>
    </x:row>
    <x:row r="68" ht="42" customHeight="1">
      <x:c r="A68" s="2"/>
      <x:c r="B68" s="8" t="str">
        <x:v>Fabric &amp; Home volume</x:v>
      </x:c>
      <x:c r="C68" s="17" t="n">
        <x:v>45565</x:v>
      </x:c>
      <x:c r="D68" s="12" t="n">
        <x:v>3</x:v>
      </x:c>
      <x:c r="E68" s="12" t="n">
        <x:v>3</x:v>
      </x:c>
      <x:c r="F68" s="12" t="n">
        <x:v>1.25</x:v>
      </x:c>
      <x:c r="G68" s="12" t="n">
        <x:v>1</x:v>
      </x:c>
      <x:c r="H68" s="8" t="str">
        <x:v>Last actual</x:v>
      </x:c>
      <x:c r="I68" s="17" t="n">
        <x:v>45503</x:v>
      </x:c>
      <x:c r="J68" s="2"/>
    </x:row>
    <x:row r="69" ht="42" customHeight="1">
      <x:c r="A69" s="2"/>
      <x:c r="B69" s="8" t="str">
        <x:v>Fabric &amp; Home volume</x:v>
      </x:c>
      <x:c r="C69" s="17" t="n">
        <x:v>45657</x:v>
      </x:c>
      <x:c r="D69" s="12" t="n">
        <x:v>1</x:v>
      </x:c>
      <x:c r="E69" s="12" t="n">
        <x:v>1</x:v>
      </x:c>
      <x:c r="F69" s="12" t="n">
        <x:v>1.5</x:v>
      </x:c>
      <x:c r="G69" s="12" t="n">
        <x:v>2</x:v>
      </x:c>
      <x:c r="H69" s="8" t="str">
        <x:v>Last actual</x:v>
      </x:c>
      <x:c r="I69" s="17" t="n">
        <x:v>45583</x:v>
      </x:c>
      <x:c r="J69" s="2"/>
    </x:row>
    <x:row r="70" ht="42" customHeight="1">
      <x:c r="A70" s="2"/>
      <x:c r="B70" s="8" t="str">
        <x:v>Fabric &amp; Home volume</x:v>
      </x:c>
      <x:c r="C70" s="17" t="n">
        <x:v>45747</x:v>
      </x:c>
      <x:c r="D70" s="12" t="n">
        <x:v>2.153865334744004</x:v>
      </x:c>
      <x:c r="E70" s="12" t="n">
        <x:v>2</x:v>
      </x:c>
      <x:c r="F70" s="12" t="n">
        <x:v>1.75</x:v>
      </x:c>
      <x:c r="G70" s="12" t="n">
        <x:v>0</x:v>
      </x:c>
      <x:c r="H70" s="8" t="str">
        <x:v>Anchored market change</x:v>
      </x:c>
      <x:c r="I70" s="17" t="n">
        <x:v>45679</x:v>
      </x:c>
      <x:c r="J70" s="2"/>
    </x:row>
    <x:row r="71" ht="42" customHeight="1">
      <x:c r="A71" s="2"/>
      <x:c r="B71" s="8" t="str">
        <x:v>Fabric &amp; Home volume</x:v>
      </x:c>
      <x:c r="C71" s="17" t="n">
        <x:v>45838</x:v>
      </x:c>
      <x:c r="D71" s="12" t="n">
        <x:v>0</x:v>
      </x:c>
      <x:c r="E71" s="12" t="n">
        <x:v>0</x:v>
      </x:c>
      <x:c r="F71" s="12" t="n">
        <x:v>1.5</x:v>
      </x:c>
      <x:c r="G71" s="12" t="n">
        <x:v>0</x:v>
      </x:c>
      <x:c r="H71" s="8" t="str">
        <x:v>Last actual</x:v>
      </x:c>
      <x:c r="I71" s="17" t="n">
        <x:v>45771</x:v>
      </x:c>
      <x:c r="J71" s="2"/>
    </x:row>
    <x:row r="72" ht="42" customHeight="1">
      <x:c r="A72" s="2"/>
      <x:c r="B72" s="8" t="str">
        <x:v>Fabric &amp; Home volume</x:v>
      </x:c>
      <x:c r="C72" s="17" t="n">
        <x:v>45930</x:v>
      </x:c>
      <x:c r="D72" s="12" t="n">
        <x:v>0</x:v>
      </x:c>
      <x:c r="E72" s="12" t="n">
        <x:v>0</x:v>
      </x:c>
      <x:c r="F72" s="12" t="n">
        <x:v>0.75</x:v>
      </x:c>
      <x:c r="G72" s="12" t="n">
        <x:v>-2</x:v>
      </x:c>
      <x:c r="H72" s="8" t="str">
        <x:v>Last actual</x:v>
      </x:c>
      <x:c r="I72" s="17" t="n">
        <x:v>45867</x:v>
      </x:c>
      <x:c r="J72" s="2"/>
    </x:row>
    <x:row r="73" ht="42" customHeight="1">
      <x:c r="A73" s="2"/>
      <x:c r="B73" s="8" t="str">
        <x:v>Fabric &amp; Home volume</x:v>
      </x:c>
      <x:c r="C73" s="17" t="n">
        <x:v>46022</x:v>
      </x:c>
      <x:c r="D73" s="12" t="n">
        <x:v>-2</x:v>
      </x:c>
      <x:c r="E73" s="12" t="n">
        <x:v>-2</x:v>
      </x:c>
      <x:c r="F73" s="12" t="n">
        <x:v>0</x:v>
      </x:c>
      <x:c r="G73" s="12" t="n">
        <x:v>0</x:v>
      </x:c>
      <x:c r="H73" s="8" t="str">
        <x:v>Last actual</x:v>
      </x:c>
      <x:c r="I73" s="17" t="n">
        <x:v>45954</x:v>
      </x:c>
      <x:c r="J73" s="2"/>
    </x:row>
    <x:row r="74" ht="42" customHeight="1">
      <x:c r="A74" s="2"/>
      <x:c r="B74" s="8" t="str">
        <x:v>Fabric &amp; Home volume</x:v>
      </x:c>
      <x:c r="C74" s="17" t="n">
        <x:v>46112</x:v>
      </x:c>
      <x:c r="D74" s="12" t="n">
        <x:v>-1</x:v>
      </x:c>
      <x:c r="E74" s="12" t="n">
        <x:v>0</x:v>
      </x:c>
      <x:c r="F74" s="12" t="n">
        <x:v>-0.5</x:v>
      </x:c>
      <x:c r="G74" s="12" t="n">
        <x:v>2</x:v>
      </x:c>
      <x:c r="H74" s="8" t="str">
        <x:v>Recent two mean</x:v>
      </x:c>
      <x:c r="I74" s="17" t="n">
        <x:v>46045</x:v>
      </x:c>
      <x:c r="J74" s="2"/>
    </x:row>
    <x:row r="75" ht="42" customHeight="1">
      <x:c r="A75" s="2"/>
      <x:c r="B75" s="8" t="str">
        <x:v>Health Care pricing</x:v>
      </x:c>
      <x:c r="C75" s="17" t="n">
        <x:v>45473</x:v>
      </x:c>
      <x:c r="D75" s="12" t="n">
        <x:v>3.9825509359098126</x:v>
      </x:c>
      <x:c r="E75" s="12" t="n">
        <x:v>4</x:v>
      </x:c>
      <x:c r="F75" s="12" t="n">
        <x:v>5.25</x:v>
      </x:c>
      <x:c r="G75" s="12" t="n">
        <x:v>2</x:v>
      </x:c>
      <x:c r="H75" s="8" t="str">
        <x:v>Market level</x:v>
      </x:c>
      <x:c r="I75" s="17" t="n">
        <x:v>45401</x:v>
      </x:c>
      <x:c r="J75" s="2"/>
    </x:row>
    <x:row r="76" ht="42" customHeight="1">
      <x:c r="A76" s="2"/>
      <x:c r="B76" s="8" t="str">
        <x:v>Health Care pricing</x:v>
      </x:c>
      <x:c r="C76" s="17" t="n">
        <x:v>45565</x:v>
      </x:c>
      <x:c r="D76" s="12" t="n">
        <x:v>2.1927884318629043</x:v>
      </x:c>
      <x:c r="E76" s="12" t="n">
        <x:v>2</x:v>
      </x:c>
      <x:c r="F76" s="12" t="n">
        <x:v>4.25</x:v>
      </x:c>
      <x:c r="G76" s="12" t="n">
        <x:v>1</x:v>
      </x:c>
      <x:c r="H76" s="8" t="str">
        <x:v>Market bias correction</x:v>
      </x:c>
      <x:c r="I76" s="17" t="n">
        <x:v>45503</x:v>
      </x:c>
      <x:c r="J76" s="2"/>
    </x:row>
    <x:row r="77" ht="42" customHeight="1">
      <x:c r="A77" s="2"/>
      <x:c r="B77" s="8" t="str">
        <x:v>Health Care pricing</x:v>
      </x:c>
      <x:c r="C77" s="17" t="n">
        <x:v>45657</x:v>
      </x:c>
      <x:c r="D77" s="12" t="n">
        <x:v>1.028100141540976</x:v>
      </x:c>
      <x:c r="E77" s="12" t="n">
        <x:v>1</x:v>
      </x:c>
      <x:c r="F77" s="12" t="n">
        <x:v>3</x:v>
      </x:c>
      <x:c r="G77" s="12" t="n">
        <x:v>1</x:v>
      </x:c>
      <x:c r="H77" s="8" t="str">
        <x:v>Market bias correction</x:v>
      </x:c>
      <x:c r="I77" s="17" t="n">
        <x:v>45583</x:v>
      </x:c>
      <x:c r="J77" s="2"/>
    </x:row>
    <x:row r="78" ht="42" customHeight="1">
      <x:c r="A78" s="2"/>
      <x:c r="B78" s="8" t="str">
        <x:v>Health Care pricing</x:v>
      </x:c>
      <x:c r="C78" s="17" t="n">
        <x:v>45747</x:v>
      </x:c>
      <x:c r="D78" s="12" t="n">
        <x:v>0.9062381328683948</x:v>
      </x:c>
      <x:c r="E78" s="12" t="n">
        <x:v>1</x:v>
      </x:c>
      <x:c r="F78" s="12" t="n">
        <x:v>2</x:v>
      </x:c>
      <x:c r="G78" s="12" t="n">
        <x:v>1</x:v>
      </x:c>
      <x:c r="H78" s="8" t="str">
        <x:v>Market bias correction</x:v>
      </x:c>
      <x:c r="I78" s="17" t="n">
        <x:v>45679</x:v>
      </x:c>
      <x:c r="J78" s="2"/>
    </x:row>
    <x:row r="79" ht="42" customHeight="1">
      <x:c r="A79" s="2"/>
      <x:c r="B79" s="8" t="str">
        <x:v>Health Care pricing</x:v>
      </x:c>
      <x:c r="C79" s="17" t="n">
        <x:v>45838</x:v>
      </x:c>
      <x:c r="D79" s="12" t="n">
        <x:v>0.7786545712194972</x:v>
      </x:c>
      <x:c r="E79" s="12" t="n">
        <x:v>1</x:v>
      </x:c>
      <x:c r="F79" s="12" t="n">
        <x:v>1.25</x:v>
      </x:c>
      <x:c r="G79" s="12" t="n">
        <x:v>1</x:v>
      </x:c>
      <x:c r="H79" s="8" t="str">
        <x:v>Market bias correction</x:v>
      </x:c>
      <x:c r="I79" s="17" t="n">
        <x:v>45771</x:v>
      </x:c>
      <x:c r="J79" s="2"/>
    </x:row>
    <x:row r="80" ht="42" customHeight="1">
      <x:c r="A80" s="2"/>
      <x:c r="B80" s="8" t="str">
        <x:v>Health Care pricing</x:v>
      </x:c>
      <x:c r="C80" s="17" t="n">
        <x:v>45930</x:v>
      </x:c>
      <x:c r="D80" s="12" t="n">
        <x:v>1.1361684063222275</x:v>
      </x:c>
      <x:c r="E80" s="12" t="n">
        <x:v>1</x:v>
      </x:c>
      <x:c r="F80" s="12" t="n">
        <x:v>1</x:v>
      </x:c>
      <x:c r="G80" s="12" t="n">
        <x:v>1</x:v>
      </x:c>
      <x:c r="H80" s="8" t="str">
        <x:v>Market bias correction</x:v>
      </x:c>
      <x:c r="I80" s="17" t="n">
        <x:v>45867</x:v>
      </x:c>
      <x:c r="J80" s="2"/>
    </x:row>
    <x:row r="81" ht="42" customHeight="1">
      <x:c r="A81" s="2"/>
      <x:c r="B81" s="8" t="str">
        <x:v>Health Care pricing</x:v>
      </x:c>
      <x:c r="C81" s="17" t="n">
        <x:v>46022</x:v>
      </x:c>
      <x:c r="D81" s="12" t="n">
        <x:v>1.6588545472268312</x:v>
      </x:c>
      <x:c r="E81" s="12" t="n">
        <x:v>1</x:v>
      </x:c>
      <x:c r="F81" s="12" t="n">
        <x:v>1</x:v>
      </x:c>
      <x:c r="G81" s="12" t="n">
        <x:v>1</x:v>
      </x:c>
      <x:c r="H81" s="8" t="str">
        <x:v>Market bias correction</x:v>
      </x:c>
      <x:c r="I81" s="17" t="n">
        <x:v>45954</x:v>
      </x:c>
      <x:c r="J81" s="2"/>
    </x:row>
    <x:row r="82" ht="42" customHeight="1">
      <x:c r="A82" s="2"/>
      <x:c r="B82" s="8" t="str">
        <x:v>Health Care pricing</x:v>
      </x:c>
      <x:c r="C82" s="17" t="n">
        <x:v>46112</x:v>
      </x:c>
      <x:c r="D82" s="12" t="n">
        <x:v>1</x:v>
      </x:c>
      <x:c r="E82" s="12" t="n">
        <x:v>1</x:v>
      </x:c>
      <x:c r="F82" s="12" t="n">
        <x:v>1</x:v>
      </x:c>
      <x:c r="G82" s="12" t="n">
        <x:v>2</x:v>
      </x:c>
      <x:c r="H82" s="8" t="str">
        <x:v>Last actual</x:v>
      </x:c>
      <x:c r="I82" s="17" t="n">
        <x:v>46045</x:v>
      </x:c>
      <x:c r="J82" s="2"/>
    </x:row>
    <x:row r="83" ht="27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 ht="27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 ht="27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 ht="27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 ht="27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 ht="48" customHeight="1">
      <x:c r="A88" s="2"/>
      <x:c r="B88" s="7" t="str">
        <x:v>Historical interval</x:v>
      </x:c>
      <x:c r="C88" s="7" t="str">
        <x:v>Quarter end</x:v>
      </x:c>
      <x:c r="D88" s="7" t="str">
        <x:v>Lower</x:v>
      </x:c>
      <x:c r="E88" s="7" t="str">
        <x:v>Upper</x:v>
      </x:c>
      <x:c r="F88" s="7" t="str">
        <x:v>Actual</x:v>
      </x:c>
      <x:c r="G88" s="2"/>
      <x:c r="H88" s="2"/>
      <x:c r="I88" s="2"/>
      <x:c r="J88" s="2"/>
    </x:row>
    <x:row r="89" ht="42" customHeight="1">
      <x:c r="A89" s="2"/>
      <x:c r="B89" s="8" t="str">
        <x:v>Baby / Feminine / Family volume</x:v>
      </x:c>
      <x:c r="C89" s="17" t="n">
        <x:v>45838</x:v>
      </x:c>
      <x:c r="D89" s="12" t="n">
        <x:v>-4.87087656081096</x:v>
      </x:c>
      <x:c r="E89" s="12" t="n">
        <x:v>2.00092050639575</x:v>
      </x:c>
      <x:c r="F89" s="12" t="n">
        <x:v>0</x:v>
      </x:c>
      <x:c r="G89" s="2"/>
      <x:c r="H89" s="2"/>
      <x:c r="I89" s="2"/>
      <x:c r="J89" s="2"/>
    </x:row>
    <x:row r="90" ht="42" customHeight="1">
      <x:c r="A90" s="2"/>
      <x:c r="B90" s="8" t="str">
        <x:v>Baby / Feminine / Family volume</x:v>
      </x:c>
      <x:c r="C90" s="17" t="n">
        <x:v>45930</x:v>
      </x:c>
      <x:c r="D90" s="12" t="n">
        <x:v>-2.9294254342863684</x:v>
      </x:c>
      <x:c r="E90" s="12" t="n">
        <x:v>3.3836766632810558</x:v>
      </x:c>
      <x:c r="F90" s="12" t="n">
        <x:v>0</x:v>
      </x:c>
      <x:c r="G90" s="2"/>
      <x:c r="H90" s="2"/>
      <x:c r="I90" s="2"/>
      <x:c r="J90" s="2"/>
    </x:row>
    <x:row r="91" ht="42" customHeight="1">
      <x:c r="A91" s="2"/>
      <x:c r="B91" s="8" t="str">
        <x:v>Baby / Feminine / Family volume</x:v>
      </x:c>
      <x:c r="C91" s="17" t="n">
        <x:v>46022</x:v>
      </x:c>
      <x:c r="D91" s="12" t="n">
        <x:v>-2.404782434339298</x:v>
      </x:c>
      <x:c r="E91" s="12" t="n">
        <x:v>3.3629855030523497</x:v>
      </x:c>
      <x:c r="F91" s="12" t="n">
        <x:v>-5</x:v>
      </x:c>
      <x:c r="G91" s="2"/>
      <x:c r="H91" s="2"/>
      <x:c r="I91" s="2"/>
      <x:c r="J91" s="2"/>
    </x:row>
    <x:row r="92" ht="42" customHeight="1">
      <x:c r="A92" s="2"/>
      <x:c r="B92" s="8" t="str">
        <x:v>Baby / Feminine / Family volume</x:v>
      </x:c>
      <x:c r="C92" s="17" t="n">
        <x:v>46112</x:v>
      </x:c>
      <x:c r="D92" s="12" t="n">
        <x:v>-5.34997897354118</x:v>
      </x:c>
      <x:c r="E92" s="12" t="n">
        <x:v>1.7981788552215505</x:v>
      </x:c>
      <x:c r="F92" s="12" t="n">
        <x:v>3</x:v>
      </x:c>
      <x:c r="G92" s="2"/>
      <x:c r="H92" s="2"/>
      <x:c r="I92" s="2"/>
      <x:c r="J92" s="2"/>
    </x:row>
    <x:row r="93" ht="42" customHeight="1">
      <x:c r="A93" s="2"/>
      <x:c r="B93" s="8" t="str">
        <x:v>Beauty organic sales</x:v>
      </x:c>
      <x:c r="C93" s="17" t="n">
        <x:v>45838</x:v>
      </x:c>
      <x:c r="D93" s="12" t="n">
        <x:v>-0.5021072442639749</x:v>
      </x:c>
      <x:c r="E93" s="12" t="n">
        <x:v>5.483380624364486</x:v>
      </x:c>
      <x:c r="F93" s="12" t="n">
        <x:v>1</x:v>
      </x:c>
      <x:c r="G93" s="2"/>
      <x:c r="H93" s="2"/>
      <x:c r="I93" s="2"/>
      <x:c r="J93" s="2"/>
    </x:row>
    <x:row r="94" ht="42" customHeight="1">
      <x:c r="A94" s="2"/>
      <x:c r="B94" s="8" t="str">
        <x:v>Beauty organic sales</x:v>
      </x:c>
      <x:c r="C94" s="17" t="n">
        <x:v>45930</x:v>
      </x:c>
      <x:c r="D94" s="12" t="n">
        <x:v>-0.3824063749175224</x:v>
      </x:c>
      <x:c r="E94" s="12" t="n">
        <x:v>5.189945741671091</x:v>
      </x:c>
      <x:c r="F94" s="12" t="n">
        <x:v>6</x:v>
      </x:c>
      <x:c r="G94" s="2"/>
      <x:c r="H94" s="2"/>
      <x:c r="I94" s="2"/>
      <x:c r="J94" s="2"/>
    </x:row>
    <x:row r="95" ht="42" customHeight="1">
      <x:c r="A95" s="2"/>
      <x:c r="B95" s="8" t="str">
        <x:v>Beauty organic sales</x:v>
      </x:c>
      <x:c r="C95" s="17" t="n">
        <x:v>46022</x:v>
      </x:c>
      <x:c r="D95" s="12" t="n">
        <x:v>0.07263728237042644</x:v>
      </x:c>
      <x:c r="E95" s="12" t="n">
        <x:v>6.156483048284583</x:v>
      </x:c>
      <x:c r="F95" s="12" t="n">
        <x:v>4</x:v>
      </x:c>
      <x:c r="G95" s="2"/>
      <x:c r="H95" s="2"/>
      <x:c r="I95" s="2"/>
      <x:c r="J95" s="2"/>
    </x:row>
    <x:row r="96" ht="42" customHeight="1">
      <x:c r="A96" s="2"/>
      <x:c r="B96" s="8" t="str">
        <x:v>Beauty organic sales</x:v>
      </x:c>
      <x:c r="C96" s="17" t="n">
        <x:v>46112</x:v>
      </x:c>
      <x:c r="D96" s="12" t="n">
        <x:v>0.8632582336439829</x:v>
      </x:c>
      <x:c r="E96" s="12" t="n">
        <x:v>6.544988500369818</x:v>
      </x:c>
      <x:c r="F96" s="12" t="n">
        <x:v>7</x:v>
      </x:c>
      <x:c r="G96" s="2"/>
      <x:c r="H96" s="2"/>
      <x:c r="I96" s="2"/>
      <x:c r="J96" s="2"/>
    </x:row>
    <x:row r="97" ht="42" customHeight="1">
      <x:c r="A97" s="2"/>
      <x:c r="B97" s="8" t="str">
        <x:v>Beauty volume</x:v>
      </x:c>
      <x:c r="C97" s="17" t="n">
        <x:v>45838</x:v>
      </x:c>
      <x:c r="D97" s="12" t="n">
        <x:v>-0.6512461710095918</x:v>
      </x:c>
      <x:c r="E97" s="12" t="n">
        <x:v>1.634680883181075</x:v>
      </x:c>
      <x:c r="F97" s="12" t="n">
        <x:v>1</x:v>
      </x:c>
      <x:c r="G97" s="2"/>
      <x:c r="H97" s="2"/>
      <x:c r="I97" s="2"/>
      <x:c r="J97" s="2"/>
    </x:row>
    <x:row r="98" ht="42" customHeight="1">
      <x:c r="A98" s="2"/>
      <x:c r="B98" s="8" t="str">
        <x:v>Beauty volume</x:v>
      </x:c>
      <x:c r="C98" s="17" t="n">
        <x:v>45930</x:v>
      </x:c>
      <x:c r="D98" s="12" t="n">
        <x:v>-0.1512461710095918</x:v>
      </x:c>
      <x:c r="E98" s="12" t="n">
        <x:v>2.1346808831810753</x:v>
      </x:c>
      <x:c r="F98" s="12" t="n">
        <x:v>4</x:v>
      </x:c>
      <x:c r="G98" s="2"/>
      <x:c r="H98" s="2"/>
      <x:c r="I98" s="2"/>
      <x:c r="J98" s="2"/>
    </x:row>
    <x:row r="99" ht="42" customHeight="1">
      <x:c r="A99" s="2"/>
      <x:c r="B99" s="8" t="str">
        <x:v>Beauty volume</x:v>
      </x:c>
      <x:c r="C99" s="17" t="n">
        <x:v>46022</x:v>
      </x:c>
      <x:c r="D99" s="12" t="n">
        <x:v>2.3227019774918967</x:v>
      </x:c>
      <x:c r="E99" s="12" t="n">
        <x:v>5.653163371538813</x:v>
      </x:c>
      <x:c r="F99" s="12" t="n">
        <x:v>3</x:v>
      </x:c>
      <x:c r="G99" s="2"/>
      <x:c r="H99" s="2"/>
      <x:c r="I99" s="2"/>
      <x:c r="J99" s="2"/>
    </x:row>
    <x:row r="100" ht="42" customHeight="1">
      <x:c r="A100" s="2"/>
      <x:c r="B100" s="8" t="str">
        <x:v>Beauty volume</x:v>
      </x:c>
      <x:c r="C100" s="17" t="n">
        <x:v>46112</x:v>
      </x:c>
      <x:c r="D100" s="12" t="n">
        <x:v>1.3873119297218688</x:v>
      </x:c>
      <x:c r="E100" s="12" t="n">
        <x:v>4.589483092286026</x:v>
      </x:c>
      <x:c r="F100" s="12" t="n">
        <x:v>5</x:v>
      </x:c>
      <x:c r="G100" s="2"/>
      <x:c r="H100" s="2"/>
      <x:c r="I100" s="2"/>
      <x:c r="J100" s="2"/>
    </x:row>
    <x:row r="101" ht="42" customHeight="1">
      <x:c r="A101" s="2"/>
      <x:c r="B101" s="8" t="str">
        <x:v>Beauty pricing</x:v>
      </x:c>
      <x:c r="C101" s="17" t="n">
        <x:v>45838</x:v>
      </x:c>
      <x:c r="D101" s="12" t="n">
        <x:v>1.4770444668466411</x:v>
      </x:c>
      <x:c r="E101" s="12" t="n">
        <x:v>4.501041717158128</x:v>
      </x:c>
      <x:c r="F101" s="12" t="n">
        <x:v>1</x:v>
      </x:c>
      <x:c r="G101" s="2"/>
      <x:c r="H101" s="2"/>
      <x:c r="I101" s="2"/>
      <x:c r="J101" s="2"/>
    </x:row>
    <x:row r="102" ht="42" customHeight="1">
      <x:c r="A102" s="2"/>
      <x:c r="B102" s="8" t="str">
        <x:v>Beauty pricing</x:v>
      </x:c>
      <x:c r="C102" s="17" t="n">
        <x:v>45930</x:v>
      </x:c>
      <x:c r="D102" s="12" t="n">
        <x:v>-0.7075740223432021</x:v>
      </x:c>
      <x:c r="E102" s="12" t="n">
        <x:v>2.6830037298367717</x:v>
      </x:c>
      <x:c r="F102" s="12" t="n">
        <x:v>2</x:v>
      </x:c>
      <x:c r="G102" s="2"/>
      <x:c r="H102" s="2"/>
      <x:c r="I102" s="2"/>
      <x:c r="J102" s="2"/>
    </x:row>
    <x:row r="103" ht="42" customHeight="1">
      <x:c r="A103" s="2"/>
      <x:c r="B103" s="8" t="str">
        <x:v>Beauty pricing</x:v>
      </x:c>
      <x:c r="C103" s="17" t="n">
        <x:v>46022</x:v>
      </x:c>
      <x:c r="D103" s="12" t="n">
        <x:v>0.37189205132813963</x:v>
      </x:c>
      <x:c r="E103" s="12" t="n">
        <x:v>3.604681093960158</x:v>
      </x:c>
      <x:c r="F103" s="12" t="n">
        <x:v>2</x:v>
      </x:c>
      <x:c r="G103" s="2"/>
      <x:c r="H103" s="2"/>
      <x:c r="I103" s="2"/>
      <x:c r="J103" s="2"/>
    </x:row>
    <x:row r="104" ht="42" customHeight="1">
      <x:c r="A104" s="2"/>
      <x:c r="B104" s="8" t="str">
        <x:v>Beauty pricing</x:v>
      </x:c>
      <x:c r="C104" s="17" t="n">
        <x:v>46112</x:v>
      </x:c>
      <x:c r="D104" s="12" t="n">
        <x:v>0.4926649365201343</x:v>
      </x:c>
      <x:c r="E104" s="12" t="n">
        <x:v>3.48564601051332</x:v>
      </x:c>
      <x:c r="F104" s="12" t="n">
        <x:v>1</x:v>
      </x:c>
      <x:c r="G104" s="2"/>
      <x:c r="H104" s="2"/>
      <x:c r="I104" s="2"/>
      <x:c r="J104" s="2"/>
    </x:row>
    <x:row r="105" ht="42" customHeight="1">
      <x:c r="A105" s="2"/>
      <x:c r="B105" s="8" t="str">
        <x:v>Fabric &amp; Home volume</x:v>
      </x:c>
      <x:c r="C105" s="17" t="n">
        <x:v>45838</x:v>
      </x:c>
      <x:c r="D105" s="12" t="n">
        <x:v>-2.4182529239417203</x:v>
      </x:c>
      <x:c r="E105" s="12" t="n">
        <x:v>2.383456668600331</x:v>
      </x:c>
      <x:c r="F105" s="12" t="n">
        <x:v>0</x:v>
      </x:c>
      <x:c r="G105" s="2"/>
      <x:c r="H105" s="2"/>
      <x:c r="I105" s="2"/>
      <x:c r="J105" s="2"/>
    </x:row>
    <x:row r="106" ht="42" customHeight="1">
      <x:c r="A106" s="2"/>
      <x:c r="B106" s="8" t="str">
        <x:v>Fabric &amp; Home volume</x:v>
      </x:c>
      <x:c r="C106" s="17" t="n">
        <x:v>45930</x:v>
      </x:c>
      <x:c r="D106" s="12" t="n">
        <x:v>-2.162951169888526</x:v>
      </x:c>
      <x:c r="E106" s="12" t="n">
        <x:v>2.1318284529662113</x:v>
      </x:c>
      <x:c r="F106" s="12" t="n">
        <x:v>-2</x:v>
      </x:c>
      <x:c r="G106" s="2"/>
      <x:c r="H106" s="2"/>
      <x:c r="I106" s="2"/>
      <x:c r="J106" s="2"/>
    </x:row>
    <x:row r="107" ht="42" customHeight="1">
      <x:c r="A107" s="2"/>
      <x:c r="B107" s="8" t="str">
        <x:v>Fabric &amp; Home volume</x:v>
      </x:c>
      <x:c r="C107" s="17" t="n">
        <x:v>46022</x:v>
      </x:c>
      <x:c r="D107" s="12" t="n">
        <x:v>-4.186826460180281</x:v>
      </x:c>
      <x:c r="E107" s="12" t="n">
        <x:v>0.15536020156755104</x:v>
      </x:c>
      <x:c r="F107" s="12" t="n">
        <x:v>0</x:v>
      </x:c>
      <x:c r="G107" s="2"/>
      <x:c r="H107" s="2"/>
      <x:c r="I107" s="2"/>
      <x:c r="J107" s="2"/>
    </x:row>
    <x:row r="108" ht="42" customHeight="1">
      <x:c r="A108" s="2"/>
      <x:c r="B108" s="8" t="str">
        <x:v>Fabric &amp; Home volume</x:v>
      </x:c>
      <x:c r="C108" s="17" t="n">
        <x:v>46112</x:v>
      </x:c>
      <x:c r="D108" s="12" t="n">
        <x:v>-3.203721877276995</x:v>
      </x:c>
      <x:c r="E108" s="12" t="n">
        <x:v>1.1720125104097163</x:v>
      </x:c>
      <x:c r="F108" s="12" t="n">
        <x:v>2</x:v>
      </x:c>
      <x:c r="G108" s="2"/>
      <x:c r="H108" s="2"/>
      <x:c r="I108" s="2"/>
      <x:c r="J108" s="2"/>
    </x:row>
    <x:row r="109" ht="42" customHeight="1">
      <x:c r="A109" s="2"/>
      <x:c r="B109" s="8" t="str">
        <x:v>Health Care pricing</x:v>
      </x:c>
      <x:c r="C109" s="17" t="n">
        <x:v>45838</x:v>
      </x:c>
      <x:c r="D109" s="12" t="n">
        <x:v>-0.5543614045889815</x:v>
      </x:c>
      <x:c r="E109" s="12" t="n">
        <x:v>2.092489772424475</x:v>
      </x:c>
      <x:c r="F109" s="12" t="n">
        <x:v>1</x:v>
      </x:c>
      <x:c r="G109" s="2"/>
      <x:c r="H109" s="2"/>
      <x:c r="I109" s="2"/>
      <x:c r="J109" s="2"/>
    </x:row>
    <x:row r="110" ht="42" customHeight="1">
      <x:c r="A110" s="2"/>
      <x:c r="B110" s="8" t="str">
        <x:v>Health Care pricing</x:v>
      </x:c>
      <x:c r="C110" s="17" t="n">
        <x:v>45930</x:v>
      </x:c>
      <x:c r="D110" s="12" t="n">
        <x:v>-0.06155119089531014</x:v>
      </x:c>
      <x:c r="E110" s="12" t="n">
        <x:v>2.316654009312132</x:v>
      </x:c>
      <x:c r="F110" s="12" t="n">
        <x:v>1</x:v>
      </x:c>
      <x:c r="G110" s="2"/>
      <x:c r="H110" s="2"/>
      <x:c r="I110" s="2"/>
      <x:c r="J110" s="2"/>
    </x:row>
    <x:row r="111" ht="42" customHeight="1">
      <x:c r="A111" s="2"/>
      <x:c r="B111" s="8" t="str">
        <x:v>Health Care pricing</x:v>
      </x:c>
      <x:c r="C111" s="17" t="n">
        <x:v>46022</x:v>
      </x:c>
      <x:c r="D111" s="12" t="n">
        <x:v>0.5076083762172394</x:v>
      </x:c>
      <x:c r="E111" s="12" t="n">
        <x:v>2.793535430407906</x:v>
      </x:c>
      <x:c r="F111" s="12" t="n">
        <x:v>1</x:v>
      </x:c>
      <x:c r="G111" s="2"/>
      <x:c r="H111" s="2"/>
      <x:c r="I111" s="2"/>
      <x:c r="J111" s="2"/>
    </x:row>
    <x:row r="112" ht="42" customHeight="1">
      <x:c r="A112" s="2"/>
      <x:c r="B112" s="8" t="str">
        <x:v>Health Care pricing</x:v>
      </x:c>
      <x:c r="C112" s="17" t="n">
        <x:v>46112</x:v>
      </x:c>
      <x:c r="D112" s="12" t="n">
        <x:v>-0.1512461710095918</x:v>
      </x:c>
      <x:c r="E112" s="12" t="n">
        <x:v>2.1346808831810753</x:v>
      </x:c>
      <x:c r="F112" s="12" t="n">
        <x:v>2</x:v>
      </x:c>
      <x:c r="G112" s="2"/>
      <x:c r="H112" s="2"/>
      <x:c r="I112" s="2"/>
      <x:c r="J112" s="2"/>
    </x:row>
    <x:row r="113" ht="27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 ht="27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 ht="27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 ht="27" customHeight="1">
      <x:c r="A116" s="2"/>
      <x:c r="B116" s="2" t="str">
        <x:v>Sources and rerun</x:v>
      </x:c>
      <x:c r="C116" s="2"/>
      <x:c r="D116" s="2"/>
      <x:c r="E116" s="2"/>
      <x:c r="F116" s="2"/>
      <x:c r="G116" s="2"/>
      <x:c r="H116" s="2"/>
      <x:c r="I116" s="2"/>
      <x:c r="J116" s="2"/>
    </x:row>
    <x:row r="117" ht="27" customHeight="1">
      <x:c r="A117" s="2"/>
      <x:c r="B117" s="2" t="str">
        <x:v>Company actuals</x:v>
      </x:c>
      <x:c r="C117" s="2" t="str">
        <x:v>https://github.com/hoichengit/Portfolio-Guide/blob/codex/pg-external-analysis/data/driver_tests/pg_quarterly.json</x:v>
      </x:c>
      <x:c r="D117" s="2"/>
      <x:c r="E117" s="2"/>
      <x:c r="F117" s="2"/>
      <x:c r="G117" s="2"/>
      <x:c r="H117" s="2"/>
      <x:c r="I117" s="2"/>
      <x:c r="J117" s="2"/>
    </x:row>
    <x:row r="118" ht="27" customHeight="1">
      <x:c r="A118" s="2"/>
      <x:c r="B118" s="2" t="str">
        <x:v>Frozen original forecast</x:v>
      </x:c>
      <x:c r="C118" s="2" t="str">
        <x:v>https://github.com/hoichengit/Portfolio-Guide/blob/codex/pg-external-analysis/data/april24_forecast/frozen_forecast.json</x:v>
      </x:c>
      <x:c r="D118" s="2"/>
      <x:c r="E118" s="2"/>
      <x:c r="F118" s="2"/>
      <x:c r="G118" s="2"/>
      <x:c r="H118" s="2"/>
      <x:c r="I118" s="2"/>
      <x:c r="J118" s="2"/>
    </x:row>
    <x:row r="119" ht="27" customHeight="1">
      <x:c r="A119" s="2"/>
      <x:c r="B119" s="2" t="str">
        <x:v>Dated market inputs</x:v>
      </x:c>
      <x:c r="C119" s="2" t="str">
        <x:v>https://github.com/hoichengit/Portfolio-Guide/blob/codex/pg-external-analysis/data/forecast_improvement/release_inputs.csv</x:v>
      </x:c>
      <x:c r="D119" s="2"/>
      <x:c r="E119" s="2"/>
      <x:c r="F119" s="2"/>
      <x:c r="G119" s="2"/>
      <x:c r="H119" s="2"/>
      <x:c r="I119" s="2"/>
      <x:c r="J119" s="2"/>
    </x:row>
    <x:row r="120" ht="27" customHeight="1">
      <x:c r="A120" s="2"/>
      <x:c r="B120" s="2" t="str">
        <x:v>Selection audit</x:v>
      </x:c>
      <x:c r="C120" s="2" t="str">
        <x:v>https://github.com/hoichengit/Portfolio-Guide/blob/codex/pg-external-analysis/data/forecast_improvement/selection_log.json</x:v>
      </x:c>
      <x:c r="D120" s="2"/>
      <x:c r="E120" s="2"/>
      <x:c r="F120" s="2"/>
      <x:c r="G120" s="2"/>
      <x:c r="H120" s="2"/>
      <x:c r="I120" s="2"/>
      <x:c r="J120" s="2"/>
    </x:row>
    <x:row r="121" ht="27" customHeight="1">
      <x:c r="A121" s="2"/>
      <x:c r="B121" s="2" t="str">
        <x:v>Original Q4 report</x:v>
      </x:c>
      <x:c r="C121" s="2" t="str">
        <x:v>https://www.pginvestor.com/news/news-details/2026/PG-Announces-Fourth-Quarter-and-Fiscal-Year-2026-Results/default.aspx</x:v>
      </x:c>
      <x:c r="D121" s="2"/>
      <x:c r="E121" s="2"/>
      <x:c r="F121" s="2"/>
      <x:c r="G121" s="2"/>
      <x:c r="H121" s="2"/>
      <x:c r="I121" s="2"/>
      <x:c r="J121" s="2"/>
    </x:row>
    <x:row r="122" ht="27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 ht="27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 ht="27" customHeight="1">
      <x:c r="A124" s="2"/>
      <x:c r="B124" s="2" t="str">
        <x:v>Rerun src/improve_forecast.py, then src/build_forecast_improvement.mjs.</x:v>
      </x:c>
      <x:c r="C124" s="2"/>
      <x:c r="D124" s="2"/>
      <x:c r="E124" s="2"/>
      <x:c r="F124" s="2"/>
      <x:c r="G124" s="2"/>
      <x:c r="H124" s="2"/>
      <x:c r="I124" s="2"/>
      <x:c r="J124" s="2"/>
    </x:row>
    <x:row r="125" ht="27" customHeight="1">
      <x:c r="A125" s="2"/>
      <x:c r="B125" s="2" t="str">
        <x:v>Eight common historical error quarters. 100,000 draws; Student t(5); 1pp minimum scale.</x:v>
      </x:c>
      <x:c r="C125" s="2"/>
      <x:c r="D125" s="2"/>
      <x:c r="E125" s="2"/>
      <x:c r="F125" s="2"/>
      <x:c r="G125" s="2"/>
      <x:c r="H125" s="2"/>
      <x:c r="I125" s="2"/>
      <x:c r="J125" s="2"/>
    </x:row>
    <x:row r="126" ht="27" customHeight="1">
      <x:c r="A126" s="2"/>
      <x:c r="B126" s="2" t="str">
        <x:v>Correlation is shrunk 50% toward zero. No extra bias shift is applied to simulation centers.</x:v>
      </x:c>
      <x:c r="C126" s="2"/>
      <x:c r="D126" s="2"/>
      <x:c r="E126" s="2"/>
      <x:c r="F126" s="2"/>
      <x:c r="G126" s="2"/>
      <x:c r="H126" s="2"/>
      <x:c r="I126" s="2"/>
      <x:c r="J126" s="2"/>
    </x:row>
    <x:row r="127" ht="27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 ht="27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 ht="27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 ht="27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  <x:row r="131" ht="27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</x:row>
    <x:row r="132" ht="27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</x:row>
    <x:row r="133" ht="27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</x:row>
    <x:row r="134" ht="27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</x:row>
    <x:row r="135" ht="27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</x:row>
    <x:row r="136" ht="27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</x:row>
    <x:row r="137" ht="27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</x:row>
    <x:row r="138" ht="27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</x:row>
    <x:row r="139" ht="27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</x:row>
    <x:row r="140" ht="27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</x:row>
    <x:row r="141" ht="27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</x:row>
    <x:row r="142" ht="27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</x:row>
    <x:row r="143" ht="27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</x:row>
    <x:row r="144" ht="27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</x:row>
    <x:row r="145" ht="27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</x:row>
    <x:row r="146" ht="27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</x:row>
    <x:row r="147" ht="27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</x:row>
    <x:row r="148" ht="27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</x:row>
    <x:row r="149" ht="27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</x:row>
    <x:row r="150" ht="27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</x:row>
    <x:row r="151" ht="27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</x:row>
    <x:row r="152" ht="27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</x:row>
    <x:row r="153" ht="27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</x:row>
    <x:row r="154" ht="27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</x:row>
    <x:row r="155" ht="27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</x:row>
    <x:row r="156" ht="27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</x:row>
    <x:row r="157" ht="27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</x:row>
    <x:row r="158" ht="27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</x:row>
    <x:row r="159" ht="27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</x:row>
    <x:row r="160" ht="27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</x:row>
  </x:sheetData>
  <x:pageMargins left="0.7" right="0.7" top="0.75" bottom="0.75" header="0.3" footer="0.3"/>
</x:worksheet>
</file>