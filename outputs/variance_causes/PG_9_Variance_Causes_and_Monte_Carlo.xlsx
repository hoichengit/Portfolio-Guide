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8f125a5fc45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ffbfee0b03584d25"/>
    <x:sheet xmlns:r="http://schemas.openxmlformats.org/officeDocument/2006/relationships" name="Probabilities" sheetId="2" r:id="R85a33c32443545f8"/>
    <x:sheet xmlns:r="http://schemas.openxmlformats.org/officeDocument/2006/relationships" name="Calculations" sheetId="3" r:id="Rfa2ddc82157d42e2"/>
    <x:sheet xmlns:r="http://schemas.openxmlformats.org/officeDocument/2006/relationships" name="Sources" sheetId="4" r:id="R59e07949ac7a4f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$&quot;#,##0;[Red](&quot;$&quot;#,##0);&quot;—&quot;"/>
    <x:numFmt numFmtId="201" formatCode="0.00;[Red](0.00);&quot;—&quot;"/>
    <x:numFmt numFmtId="202" formatCode="#,##0"/>
    <x:numFmt numFmtId="203" formatCode="0.0%"/>
    <x:numFmt numFmtId="204" formatCode="0%"/>
  </x:numFmts>
  <x:fonts count="6">
    <x:font>
      <x:sz val="11"/>
      <x:name val="Carlito"/>
    </x:font>
    <x:font>
      <x:sz val="12"/>
      <x:color rgb="FF193650"/>
      <x:name val="Arial"/>
    </x:font>
    <x:font>
      <x:b/>
      <x:sz val="18"/>
      <x:color rgb="FF193650"/>
      <x:name val="Arial"/>
    </x:font>
    <x:font>
      <x:b/>
      <x:sz val="12"/>
      <x:color rgb="FFFFFFFF"/>
      <x:name val="Arial"/>
    </x:font>
    <x:font>
      <x:sz val="12"/>
      <x:color rgb="FF0000FF"/>
      <x:name val="Arial"/>
    </x:font>
    <x:font>
      <x:b/>
      <x:sz val="12"/>
      <x:color rgb="FFB52B2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3650"/>
      </x:patternFill>
    </x:fill>
  </x:fills>
  <x:borders count="6">
    <x:border/>
    <x:border>
      <x:left style="thin">
        <x:color rgb="FFB52B2D"/>
      </x:left>
      <x:right style="thin">
        <x:color rgb="FFB52B2D"/>
      </x:right>
      <x:top style="thin">
        <x:color rgb="FFB52B2D"/>
      </x:top>
    </x:border>
    <x:border>
      <x:left style="thin">
        <x:color rgb="FFB52B2D"/>
      </x:left>
      <x:right style="thin">
        <x:color rgb="FFB52B2D"/>
      </x:right>
      <x:bottom style="thin">
        <x:color rgb="FFB52B2D"/>
      </x:bottom>
    </x:border>
    <x:border>
      <x:left style="thin">
        <x:color rgb="FFB52B2D"/>
      </x:left>
      <x:top style="thin">
        <x:color rgb="FFB52B2D"/>
      </x:top>
      <x:bottom style="thin">
        <x:color rgb="FFB52B2D"/>
      </x:bottom>
    </x:border>
    <x:border>
      <x:top style="thin">
        <x:color rgb="FFB52B2D"/>
      </x:top>
      <x:bottom style="thin">
        <x:color rgb="FFB52B2D"/>
      </x:bottom>
    </x:border>
    <x:border>
      <x:right style="thin">
        <x:color rgb="FFB52B2D"/>
      </x:right>
      <x:top style="thin">
        <x:color rgb="FFB52B2D"/>
      </x:top>
      <x:bottom style="thin">
        <x:color rgb="FFB52B2D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1" fontId="5" fillId="0" borderId="3" xfId="0" applyNumberFormat="1" applyFont="1" applyFill="1" applyBorder="1" applyAlignment="1">
      <x:alignment vertical="center" wrapText="1"/>
    </x:xf>
    <x:xf numFmtId="201" fontId="5" fillId="0" borderId="4" xfId="0" applyNumberFormat="1" applyFont="1" applyFill="1" applyBorder="1" applyAlignment="1">
      <x:alignment vertical="center" wrapText="1"/>
    </x:xf>
    <x:xf numFmtId="201" fontId="5" fillId="0" borderId="5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6555d20d97424f" /><Relationship Type="http://schemas.openxmlformats.org/officeDocument/2006/relationships/theme" Target="/xl/theme/theme1.xml" Id="R26348b70df2447c7" /><Relationship Type="http://schemas.openxmlformats.org/officeDocument/2006/relationships/sharedStrings" Target="/xl/sharedStrings.xml" Id="Re31ecfe2afcc4223" /><Relationship Type="http://schemas.openxmlformats.org/officeDocument/2006/relationships/worksheet" Target="/xl/worksheets/sheet1.xml" Id="Rffbfee0b03584d25" /><Relationship Type="http://schemas.openxmlformats.org/officeDocument/2006/relationships/worksheet" Target="/xl/worksheets/sheet2.xml" Id="R85a33c32443545f8" /><Relationship Type="http://schemas.openxmlformats.org/officeDocument/2006/relationships/worksheet" Target="/xl/worksheets/sheet3.xml" Id="Rfa2ddc82157d42e2" /><Relationship Type="http://schemas.openxmlformats.org/officeDocument/2006/relationships/worksheet" Target="/xl/worksheets/sheet4.xml" Id="R59e07949ac7a4f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2" hidden="0" customWidth="1"/>
    <x:col min="3" max="3" width="20" hidden="0" customWidth="1"/>
    <x:col min="4" max="4" width="20" hidden="0" customWidth="1"/>
    <x:col min="5" max="5" width="22" hidden="0" customWidth="1"/>
    <x:col min="6" max="6" width="58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7" customHeight="1">
      <x:c r="A2" s="2"/>
      <x:c r="B2" s="3" t="str">
        <x:v>P&amp;G | Why did actual results differ?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7" customHeight="1">
      <x:c r="A3" s="2"/>
      <x:c r="B3" s="2" t="str">
        <x:v>April–June 2026. Profit comparison is year-on-year; the sales reference is guidance-implied.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6" customHeight="1">
      <x:c r="A5" s="2"/>
      <x:c r="B5" s="7" t="str">
        <x:v>Financial result ($m)</x:v>
      </x:c>
      <x:c r="C5" s="7" t="str">
        <x:v>Prior year</x:v>
      </x:c>
      <x:c r="D5" s="7" t="str">
        <x:v>Actual</x:v>
      </x:c>
      <x:c r="E5" s="7" t="str">
        <x:v>Change</x:v>
      </x:c>
      <x:c r="F5" s="2"/>
      <x:c r="G5" s="2"/>
      <x:c r="H5" s="2"/>
      <x:c r="I5" s="2"/>
      <x:c r="J5" s="2"/>
      <x:c r="K5" s="2"/>
      <x:c r="L5" s="2"/>
    </x:row>
    <x:row r="6" ht="27" customHeight="1">
      <x:c r="A6" s="2"/>
      <x:c r="B6" s="2" t="str">
        <x:v>Net sales</x:v>
      </x:c>
      <x:c r="C6" s="8" t="n">
        <x:f>Calculations!C6</x:f>
        <x:v>20889</x:v>
      </x:c>
      <x:c r="D6" s="8" t="n">
        <x:f>Calculations!D6</x:f>
        <x:v>21203</x:v>
      </x:c>
      <x:c r="E6" s="8" t="n">
        <x:f>Calculations!E6</x:f>
        <x:v>314</x:v>
      </x:c>
      <x:c r="F6" s="2"/>
      <x:c r="G6" s="2"/>
      <x:c r="H6" s="2"/>
      <x:c r="I6" s="2"/>
      <x:c r="J6" s="2"/>
      <x:c r="K6" s="2"/>
      <x:c r="L6" s="2"/>
    </x:row>
    <x:row r="7" ht="27" customHeight="1">
      <x:c r="A7" s="2"/>
      <x:c r="B7" s="2" t="str">
        <x:v>Cost of products sold</x:v>
      </x:c>
      <x:c r="C7" s="8" t="n">
        <x:f>Calculations!C7</x:f>
        <x:v>10631</x:v>
      </x:c>
      <x:c r="D7" s="8" t="n">
        <x:f>Calculations!D7</x:f>
        <x:v>10920</x:v>
      </x:c>
      <x:c r="E7" s="8" t="n">
        <x:f>Calculations!E7</x:f>
        <x:v>289</x:v>
      </x:c>
      <x:c r="F7" s="2"/>
      <x:c r="G7" s="2"/>
      <x:c r="H7" s="2"/>
      <x:c r="I7" s="2"/>
      <x:c r="J7" s="2"/>
      <x:c r="K7" s="2"/>
      <x:c r="L7" s="2"/>
    </x:row>
    <x:row r="8" ht="27" customHeight="1">
      <x:c r="A8" s="2"/>
      <x:c r="B8" s="2" t="str">
        <x:v>Gross profit</x:v>
      </x:c>
      <x:c r="C8" s="8" t="n">
        <x:f>Calculations!C8</x:f>
        <x:v>10258</x:v>
      </x:c>
      <x:c r="D8" s="8" t="n">
        <x:f>Calculations!D8</x:f>
        <x:v>10283</x:v>
      </x:c>
      <x:c r="E8" s="8" t="n">
        <x:f>Calculations!E8</x:f>
        <x:v>25</x:v>
      </x:c>
      <x:c r="F8" s="2"/>
      <x:c r="G8" s="2"/>
      <x:c r="H8" s="2"/>
      <x:c r="I8" s="2"/>
      <x:c r="J8" s="2"/>
      <x:c r="K8" s="2"/>
      <x:c r="L8" s="2"/>
    </x:row>
    <x:row r="9" ht="27" customHeight="1">
      <x:c r="A9" s="2"/>
      <x:c r="B9" s="2" t="str">
        <x:v>SG&amp;A</x:v>
      </x:c>
      <x:c r="C9" s="8" t="n">
        <x:f>Calculations!C9</x:f>
        <x:v>5903</x:v>
      </x:c>
      <x:c r="D9" s="8" t="n">
        <x:f>Calculations!D9</x:f>
        <x:v>6334</x:v>
      </x:c>
      <x:c r="E9" s="15" t="n">
        <x:f>Calculations!E9</x:f>
        <x:v>431</x:v>
      </x:c>
      <x:c r="F9" s="2"/>
      <x:c r="G9" s="2"/>
      <x:c r="H9" s="2"/>
      <x:c r="I9" s="2"/>
      <x:c r="J9" s="2"/>
      <x:c r="K9" s="2"/>
      <x:c r="L9" s="2"/>
    </x:row>
    <x:row r="10" ht="27" customHeight="1">
      <x:c r="A10" s="2"/>
      <x:c r="B10" s="2" t="str">
        <x:v>Operating income</x:v>
      </x:c>
      <x:c r="C10" s="8" t="n">
        <x:f>Calculations!C10</x:f>
        <x:v>4355</x:v>
      </x:c>
      <x:c r="D10" s="8" t="n">
        <x:f>Calculations!D10</x:f>
        <x:v>3949</x:v>
      </x:c>
      <x:c r="E10" s="16" t="n">
        <x:f>Calculations!E10</x:f>
        <x:v>-406</x:v>
      </x:c>
      <x:c r="F10" s="2"/>
      <x:c r="G10" s="2"/>
      <x:c r="H10" s="2"/>
      <x:c r="I10" s="2"/>
      <x:c r="J10" s="2"/>
      <x:c r="K10" s="2"/>
      <x:c r="L10" s="2"/>
    </x:row>
    <x:row r="11" ht="27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7" customHeight="1">
      <x:c r="A12" s="2"/>
      <x:c r="B12" s="2" t="str">
        <x:v>Sales +$314m − extra product costs $289m − extra SG&amp;A $431m = operating profit −$406m.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7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7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46" customHeight="1">
      <x:c r="A15" s="2"/>
      <x:c r="B15" s="7" t="str">
        <x:v>Forecast measure</x:v>
      </x:c>
      <x:c r="C15" s="7" t="str">
        <x:v>Forecast</x:v>
      </x:c>
      <x:c r="D15" s="7" t="str">
        <x:v>Actual</x:v>
      </x:c>
      <x:c r="E15" s="7" t="str">
        <x:v>Difference pp</x:v>
      </x:c>
      <x:c r="F15" s="7" t="str">
        <x:v>What the evidence supports</x:v>
      </x:c>
      <x:c r="G15" s="2"/>
      <x:c r="H15" s="2"/>
      <x:c r="I15" s="2"/>
      <x:c r="J15" s="2"/>
      <x:c r="K15" s="2"/>
      <x:c r="L15" s="2"/>
    </x:row>
    <x:row r="16" ht="64" customHeight="1">
      <x:c r="A16" s="2"/>
      <x:c r="B16" s="11" t="str">
        <x:v>Beauty pricing</x:v>
      </x:c>
      <x:c r="C16" s="19" t="n">
        <x:v>4.308198652998944</x:v>
      </x:c>
      <x:c r="D16" s="20" t="n">
        <x:v>1</x:v>
      </x:c>
      <x:c r="E16" s="21" t="n">
        <x:f>D16-C16</x:f>
        <x:v>-3.308198652998944</x:v>
      </x:c>
      <x:c r="F16" s="11" t="str">
        <x:v>The US price proxy and long-history relationship overpredicted global company pricing.</x:v>
      </x:c>
      <x:c r="G16" s="2"/>
      <x:c r="H16" s="2"/>
      <x:c r="I16" s="2"/>
      <x:c r="J16" s="2"/>
      <x:c r="K16" s="2"/>
      <x:c r="L16" s="2"/>
    </x:row>
    <x:row r="17" ht="64" customHeight="1">
      <x:c r="A17" s="2"/>
      <x:c r="B17" s="11" t="str">
        <x:v>Beauty volume</x:v>
      </x:c>
      <x:c r="C17" s="17" t="n">
        <x:v>5</x:v>
      </x:c>
      <x:c r="D17" s="17" t="n">
        <x:v>3</x:v>
      </x:c>
      <x:c r="E17" s="17" t="n">
        <x:f>D17-C17</x:f>
        <x:v>-2</x:v>
      </x:c>
      <x:c r="F17" s="11" t="str">
        <x:v>Carrying the prior +5% volume forward missed a changing category / geographic mix.</x:v>
      </x:c>
      <x:c r="G17" s="2"/>
      <x:c r="H17" s="2"/>
      <x:c r="I17" s="2"/>
      <x:c r="J17" s="2"/>
      <x:c r="K17" s="2"/>
      <x:c r="L17" s="2"/>
    </x:row>
    <x:row r="18" ht="64" customHeight="1">
      <x:c r="A18" s="2"/>
      <x:c r="B18" s="11" t="str">
        <x:v>Beauty organic sales</x:v>
      </x:c>
      <x:c r="C18" s="17" t="n">
        <x:v>3.289568967374506</x:v>
      </x:c>
      <x:c r="D18" s="17" t="n">
        <x:v>4</x:v>
      </x:c>
      <x:c r="E18" s="17" t="n">
        <x:f>D18-C18</x:f>
        <x:v>0.7104310326254941</x:v>
      </x:c>
      <x:c r="F18" s="11" t="str">
        <x:v>Most of the 0.71pp miss remains in the company–market relationship.</x:v>
      </x:c>
      <x:c r="G18" s="2"/>
      <x:c r="H18" s="2"/>
      <x:c r="I18" s="2"/>
      <x:c r="J18" s="2"/>
      <x:c r="K18" s="2"/>
      <x:c r="L18" s="2"/>
    </x:row>
    <x:row r="19" ht="64" customHeight="1">
      <x:c r="A19" s="2"/>
      <x:c r="B19" s="11" t="str">
        <x:v>Baby / Feminine / Family volume</x:v>
      </x:c>
      <x:c r="C19" s="17" t="n">
        <x:v>-1.652062168789822</x:v>
      </x:c>
      <x:c r="D19" s="17" t="n">
        <x:v>-1</x:v>
      </x:c>
      <x:c r="E19" s="17" t="n">
        <x:f>D19-C19</x:f>
        <x:v>0.652062168789822</x:v>
      </x:c>
      <x:c r="F19" s="11" t="str">
        <x:v>The segment combines businesses moving in different directions; the net miss is 0.65pp.</x:v>
      </x:c>
      <x:c r="G19" s="2"/>
      <x:c r="H19" s="2"/>
      <x:c r="I19" s="2"/>
      <x:c r="J19" s="2"/>
      <x:c r="K19" s="2"/>
      <x:c r="L19" s="2"/>
    </x:row>
    <x:row r="20" ht="64" customHeight="1">
      <x:c r="A20" s="2"/>
      <x:c r="B20" s="11" t="str">
        <x:v>Fabric &amp; Home volume</x:v>
      </x:c>
      <x:c r="C20" s="17" t="n">
        <x:v>0</x:v>
      </x:c>
      <x:c r="D20" s="17" t="n">
        <x:v>1</x:v>
      </x:c>
      <x:c r="E20" s="17" t="n">
        <x:f>D20-C20</x:f>
        <x:v>1</x:v>
      </x:c>
      <x:c r="F20" s="11" t="str">
        <x:v>The four-quarter average missed a modest net improvement.</x:v>
      </x:c>
      <x:c r="G20" s="2"/>
      <x:c r="H20" s="2"/>
      <x:c r="I20" s="2"/>
      <x:c r="J20" s="2"/>
      <x:c r="K20" s="2"/>
      <x:c r="L20" s="2"/>
    </x:row>
    <x:row r="21" ht="64" customHeight="1">
      <x:c r="A21" s="2"/>
      <x:c r="B21" s="11" t="str">
        <x:v>Health Care pricing</x:v>
      </x:c>
      <x:c r="C21" s="17" t="n">
        <x:v>2.6809914443502034</x:v>
      </x:c>
      <x:c r="D21" s="17" t="n">
        <x:v>2</x:v>
      </x:c>
      <x:c r="E21" s="17" t="n">
        <x:f>D21-C21</x:f>
        <x:v>-0.6809914443502034</x:v>
      </x:c>
      <x:c r="F21" s="11" t="str">
        <x:v>The model expected more pricing than the company realized; weak volume is a separate issue.</x:v>
      </x:c>
      <x:c r="G21" s="2"/>
      <x:c r="H21" s="2"/>
      <x:c r="I21" s="2"/>
      <x:c r="J21" s="2"/>
      <x:c r="K21" s="2"/>
      <x:c r="L21" s="2"/>
    </x:row>
    <x:row r="22" ht="27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7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46" customHeight="1">
      <x:c r="A24" s="2"/>
      <x:c r="B24" s="7" t="str">
        <x:v>Cost explanation</x:v>
      </x:c>
      <x:c r="C24" s="7" t="str">
        <x:v>Change bps</x:v>
      </x:c>
      <x:c r="D24" s="7" t="str">
        <x:v>Meaning</x:v>
      </x:c>
      <x:c r="E24" s="2"/>
      <x:c r="F24" s="2"/>
      <x:c r="G24" s="2"/>
      <x:c r="H24" s="2"/>
      <x:c r="I24" s="2"/>
      <x:c r="J24" s="2"/>
      <x:c r="K24" s="2"/>
      <x:c r="L24" s="2"/>
    </x:row>
    <x:row r="25" ht="27" customHeight="1">
      <x:c r="A25" s="2"/>
      <x:c r="B25" s="2" t="str">
        <x:v>Core SG&amp;A / sales</x:v>
      </x:c>
      <x:c r="C25" s="2" t="n">
        <x:f>Calculations!C51</x:f>
        <x:v>130</x:v>
      </x:c>
      <x:c r="D25" s="2" t="str">
        <x:v>Higher expense ratio</x:v>
      </x:c>
      <x:c r="E25" s="2"/>
      <x:c r="F25" s="2"/>
      <x:c r="G25" s="2"/>
      <x:c r="H25" s="2"/>
      <x:c r="I25" s="2"/>
      <x:c r="J25" s="2"/>
      <x:c r="K25" s="2"/>
      <x:c r="L25" s="2"/>
    </x:row>
    <x:row r="26" ht="27" customHeight="1">
      <x:c r="A26" s="2"/>
      <x:c r="B26" s="2" t="str">
        <x:v>Core gross margin</x:v>
      </x:c>
      <x:c r="C26" s="2" t="n">
        <x:f>Calculations!C50</x:f>
        <x:v>0</x:v>
      </x:c>
      <x:c r="D26" s="2" t="str">
        <x:v>Savings offset cost pressure</x:v>
      </x:c>
      <x:c r="E26" s="2"/>
      <x:c r="F26" s="2"/>
      <x:c r="G26" s="2"/>
      <x:c r="H26" s="2"/>
      <x:c r="I26" s="2"/>
      <x:c r="J26" s="2"/>
      <x:c r="K26" s="2"/>
      <x:c r="L26" s="2"/>
    </x:row>
    <x:row r="27" ht="27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7" customHeight="1">
      <x:c r="A28" s="2"/>
      <x:c r="B28" s="2" t="str">
        <x:v>The 410bps reinvestment is gross and mainly marketing. Productivity offsets 300bps.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7" customHeight="1">
      <x:c r="A29" s="2"/>
      <x:c r="B29" s="2" t="str">
        <x:v>No quarterly segment advertising ROI is available. Do not assign a causal percentage to advertising.</x:v>
      </x:c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7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7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46" customHeight="1">
      <x:c r="A32" s="2"/>
      <x:c r="B32" s="7" t="str">
        <x:v>Annual advertising ($m)</x:v>
      </x:c>
      <x:c r="C32" s="7" t="str">
        <x:v>FY2025</x:v>
      </x:c>
      <x:c r="D32" s="7" t="str">
        <x:v>FY2026</x:v>
      </x:c>
      <x:c r="E32" s="7" t="str">
        <x:v>Change</x:v>
      </x:c>
      <x:c r="F32" s="2"/>
      <x:c r="G32" s="2"/>
      <x:c r="H32" s="2"/>
      <x:c r="I32" s="2"/>
      <x:c r="J32" s="2"/>
      <x:c r="K32" s="2"/>
      <x:c r="L32" s="2"/>
    </x:row>
    <x:row r="33" ht="27" customHeight="1">
      <x:c r="A33" s="2"/>
      <x:c r="B33" s="2" t="str">
        <x:v>Reported advertising expense</x:v>
      </x:c>
      <x:c r="C33" s="8" t="n">
        <x:f>Sources!C77</x:f>
        <x:v>9200</x:v>
      </x:c>
      <x:c r="D33" s="8" t="n">
        <x:f>Sources!D77</x:f>
        <x:v>10200</x:v>
      </x:c>
      <x:c r="E33" s="8" t="n">
        <x:f>D33-C33</x:f>
        <x:v>1000</x:v>
      </x:c>
      <x:c r="F33" s="2"/>
      <x:c r="G33" s="2"/>
      <x:c r="H33" s="2"/>
      <x:c r="I33" s="2"/>
      <x:c r="J33" s="2"/>
      <x:c r="K33" s="2"/>
      <x:c r="L33" s="2"/>
    </x:row>
    <x:row r="34" ht="27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7" customHeight="1">
      <x:c r="A35" s="2"/>
      <x:c r="B35" s="2" t="str">
        <x:v>Full-year context only. These costs cannot be allocated to this quarter or to a segment from public data.</x:v>
      </x:c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7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7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7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7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7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7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7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7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7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7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7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7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7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7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7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7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7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7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7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7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7" customHeight="1">
      <x:c r="A2" s="2"/>
      <x:c r="B2" s="3" t="str">
        <x:v>P&amp;G | Conditional outcome probabilities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7" customHeight="1">
      <x:c r="A3" s="2"/>
      <x:c r="B3" s="2" t="str">
        <x:v>100,000 simulations; six common historical quarters; historical bias + 1pp minimum SD.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6" customHeight="1">
      <x:c r="A5" s="2"/>
      <x:c r="B5" s="7" t="str">
        <x:v>Measure</x:v>
      </x:c>
      <x:c r="C5" s="7" t="str">
        <x:v>Below &gt;1pp</x:v>
      </x:c>
      <x:c r="D5" s="7" t="str">
        <x:v>Within ±1pp</x:v>
      </x:c>
      <x:c r="E5" s="7" t="str">
        <x:v>Above &gt;1pp</x:v>
      </x:c>
      <x:c r="F5" s="7" t="str">
        <x:v>P10</x:v>
      </x:c>
      <x:c r="G5" s="7" t="str">
        <x:v>Median</x:v>
      </x:c>
      <x:c r="H5" s="7" t="str">
        <x:v>P90</x:v>
      </x:c>
      <x:c r="I5" s="2"/>
      <x:c r="J5" s="2"/>
      <x:c r="K5" s="2"/>
      <x:c r="L5" s="2"/>
    </x:row>
    <x:row r="6" ht="42" customHeight="1">
      <x:c r="A6" s="2"/>
      <x:c r="B6" s="11" t="str">
        <x:v>Baby / Feminine / Family volume</x:v>
      </x:c>
      <x:c r="C6" s="22" t="n">
        <x:f>Sources!C23/Sources!F23</x:f>
        <x:v>0.22345</x:v>
      </x:c>
      <x:c r="D6" s="22" t="n">
        <x:f>Sources!D23/Sources!F23</x:f>
        <x:v>0.28029</x:v>
      </x:c>
      <x:c r="E6" s="22" t="n">
        <x:f>Sources!E23/Sources!F23</x:f>
        <x:v>0.49626</x:v>
      </x:c>
      <x:c r="F6" s="9" t="n">
        <x:f>Sources!G23</x:f>
        <x:v>-4.190303565969929</x:v>
      </x:c>
      <x:c r="G6" s="9" t="n">
        <x:f>Sources!H23</x:f>
        <x:v>-0.6730890891729985</x:v>
      </x:c>
      <x:c r="H6" s="9" t="n">
        <x:f>Sources!I23</x:f>
        <x:v>2.8316147036273143</x:v>
      </x:c>
      <x:c r="I6" s="2"/>
      <x:c r="J6" s="2"/>
      <x:c r="K6" s="2"/>
      <x:c r="L6" s="2"/>
    </x:row>
    <x:row r="7" ht="42" customHeight="1">
      <x:c r="A7" s="2"/>
      <x:c r="B7" s="11" t="str">
        <x:v>Beauty organic sales</x:v>
      </x:c>
      <x:c r="C7" s="22" t="n">
        <x:f>Sources!C24/Sources!F24</x:f>
        <x:v>0.49598</x:v>
      </x:c>
      <x:c r="D7" s="22" t="n">
        <x:f>Sources!D24/Sources!F24</x:f>
        <x:v>0.30009</x:v>
      </x:c>
      <x:c r="E7" s="22" t="n">
        <x:f>Sources!E24/Sources!F24</x:f>
        <x:v>0.20393</x:v>
      </x:c>
      <x:c r="F7" s="9" t="n">
        <x:f>Sources!G24</x:f>
        <x:v>-0.9207473179556067</x:v>
      </x:c>
      <x:c r="G7" s="9" t="n">
        <x:f>Sources!H24</x:f>
        <x:v>2.313063627936719</x:v>
      </x:c>
      <x:c r="H7" s="9" t="n">
        <x:f>Sources!I24</x:f>
        <x:v>5.536374304777815</x:v>
      </x:c>
      <x:c r="I7" s="2"/>
      <x:c r="J7" s="2"/>
      <x:c r="K7" s="2"/>
      <x:c r="L7" s="2"/>
    </x:row>
    <x:row r="8" ht="42" customHeight="1">
      <x:c r="A8" s="2"/>
      <x:c r="B8" s="11" t="str">
        <x:v>Beauty volume</x:v>
      </x:c>
      <x:c r="C8" s="22" t="n">
        <x:f>Sources!C25/Sources!F25</x:f>
        <x:v>0.10042</x:v>
      </x:c>
      <x:c r="D8" s="22" t="n">
        <x:f>Sources!D25/Sources!F25</x:f>
        <x:v>0.45291</x:v>
      </x:c>
      <x:c r="E8" s="22" t="n">
        <x:f>Sources!E25/Sources!F25</x:f>
        <x:v>0.44667</x:v>
      </x:c>
      <x:c r="F8" s="9" t="n">
        <x:f>Sources!G25</x:f>
        <x:v>3.996312660820852</x:v>
      </x:c>
      <x:c r="G8" s="9" t="n">
        <x:f>Sources!H25</x:f>
        <x:v>5.82589721857182</x:v>
      </x:c>
      <x:c r="H8" s="9" t="n">
        <x:f>Sources!I25</x:f>
        <x:v>7.657344579177043</x:v>
      </x:c>
      <x:c r="I8" s="2"/>
      <x:c r="J8" s="2"/>
      <x:c r="K8" s="2"/>
      <x:c r="L8" s="2"/>
    </x:row>
    <x:row r="9" ht="42" customHeight="1">
      <x:c r="A9" s="2"/>
      <x:c r="B9" s="11" t="str">
        <x:v>Beauty pricing</x:v>
      </x:c>
      <x:c r="C9" s="22" t="n">
        <x:f>Sources!C26/Sources!F26</x:f>
        <x:v>0.57943</x:v>
      </x:c>
      <x:c r="D9" s="22" t="n">
        <x:f>Sources!D26/Sources!F26</x:f>
        <x:v>0.40144</x:v>
      </x:c>
      <x:c r="E9" s="22" t="n">
        <x:f>Sources!E26/Sources!F26</x:f>
        <x:v>0.01913</x:v>
      </x:c>
      <x:c r="F9" s="9" t="n">
        <x:f>Sources!G26</x:f>
        <x:v>2.002678227164764</x:v>
      </x:c>
      <x:c r="G9" s="9" t="n">
        <x:f>Sources!H26</x:f>
        <x:v>3.145512297081284</x:v>
      </x:c>
      <x:c r="H9" s="9" t="n">
        <x:f>Sources!I26</x:f>
        <x:v>4.288569698933082</x:v>
      </x:c>
      <x:c r="I9" s="2"/>
      <x:c r="J9" s="2"/>
      <x:c r="K9" s="2"/>
      <x:c r="L9" s="2"/>
    </x:row>
    <x:row r="10" ht="42" customHeight="1">
      <x:c r="A10" s="2"/>
      <x:c r="B10" s="11" t="str">
        <x:v>Fabric &amp; Home volume</x:v>
      </x:c>
      <x:c r="C10" s="22" t="n">
        <x:f>Sources!C27/Sources!F27</x:f>
        <x:v>0.48629</x:v>
      </x:c>
      <x:c r="D10" s="22" t="n">
        <x:f>Sources!D27/Sources!F27</x:f>
        <x:v>0.41656</x:v>
      </x:c>
      <x:c r="E10" s="22" t="n">
        <x:f>Sources!E27/Sources!F27</x:f>
        <x:v>0.09715</x:v>
      </x:c>
      <x:c r="F10" s="9" t="n">
        <x:f>Sources!G27</x:f>
        <x:v>-2.877149623047858</x:v>
      </x:c>
      <x:c r="G10" s="9" t="n">
        <x:f>Sources!H27</x:f>
        <x:v>-0.9550097458061524</x:v>
      </x:c>
      <x:c r="H10" s="9" t="n">
        <x:f>Sources!I27</x:f>
        <x:v>0.9718722957236746</x:v>
      </x:c>
      <x:c r="I10" s="2"/>
      <x:c r="J10" s="2"/>
      <x:c r="K10" s="2"/>
      <x:c r="L10" s="2"/>
    </x:row>
    <x:row r="11" ht="42" customHeight="1">
      <x:c r="A11" s="2"/>
      <x:c r="B11" s="11" t="str">
        <x:v>Health Care pricing</x:v>
      </x:c>
      <x:c r="C11" s="22" t="n">
        <x:f>Sources!C28/Sources!F28</x:f>
        <x:v>0.30593</x:v>
      </x:c>
      <x:c r="D11" s="22" t="n">
        <x:f>Sources!D28/Sources!F28</x:f>
        <x:v>0.64514</x:v>
      </x:c>
      <x:c r="E11" s="22" t="n">
        <x:f>Sources!E28/Sources!F28</x:f>
        <x:v>0.04893</x:v>
      </x:c>
      <x:c r="F11" s="9" t="n">
        <x:f>Sources!G28</x:f>
        <x:v>0.963597510499273</x:v>
      </x:c>
      <x:c r="G11" s="9" t="n">
        <x:f>Sources!H28</x:f>
        <x:v>2.1023255454154706</x:v>
      </x:c>
      <x:c r="H11" s="9" t="n">
        <x:f>Sources!I28</x:f>
        <x:v>3.2436077431169497</x:v>
      </x:c>
      <x:c r="I11" s="2"/>
      <x:c r="J11" s="2"/>
      <x:c r="K11" s="2"/>
      <x:c r="L11" s="2"/>
    </x:row>
    <x:row r="12" ht="27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7" customHeight="1">
      <x:c r="A13" s="2"/>
      <x:c r="B13" s="2" t="str">
        <x:v>Bands compare simulated outcomes with the original forecast; P10–P90 is an 80% model interval.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7" customHeight="1">
      <x:c r="A14" s="2"/>
      <x:c r="B14" s="2" t="str">
        <x:v>This describes possible results under assumptions, not the probability that a cause is true.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7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7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46" customHeight="1">
      <x:c r="A17" s="2"/>
      <x:c r="B17" s="7" t="str">
        <x:v>Assumption sensitivity</x:v>
      </x:c>
      <x:c r="C17" s="7" t="str">
        <x:v>Measure</x:v>
      </x:c>
      <x:c r="D17" s="7" t="str">
        <x:v>Below &gt;1pp</x:v>
      </x:c>
      <x:c r="E17" s="7" t="str">
        <x:v>Within ±1pp</x:v>
      </x:c>
      <x:c r="F17" s="7" t="str">
        <x:v>Above &gt;1pp</x:v>
      </x:c>
      <x:c r="G17" s="2"/>
      <x:c r="H17" s="2"/>
      <x:c r="I17" s="2"/>
      <x:c r="J17" s="2"/>
      <x:c r="K17" s="2"/>
      <x:c r="L17" s="2"/>
    </x:row>
    <x:row r="18" ht="40" customHeight="1">
      <x:c r="A18" s="2"/>
      <x:c r="B18" s="11" t="str">
        <x:v>Main: 1pp SD floor</x:v>
      </x:c>
      <x:c r="C18" s="11" t="str">
        <x:v>Beauty pricing</x:v>
      </x:c>
      <x:c r="D18" s="22" t="n">
        <x:v>0.57943</x:v>
      </x:c>
      <x:c r="E18" s="22" t="n">
        <x:v>0.40144</x:v>
      </x:c>
      <x:c r="F18" s="22" t="n">
        <x:v>0.01913</x:v>
      </x:c>
      <x:c r="G18" s="2"/>
      <x:c r="H18" s="2"/>
      <x:c r="I18" s="2"/>
      <x:c r="J18" s="2"/>
      <x:c r="K18" s="2"/>
      <x:c r="L18" s="2"/>
    </x:row>
    <x:row r="19" ht="40" customHeight="1">
      <x:c r="A19" s="2"/>
      <x:c r="B19" s="11" t="str">
        <x:v>Main: 1pp SD floor</x:v>
      </x:c>
      <x:c r="C19" s="11" t="str">
        <x:v>Health Care pricing</x:v>
      </x:c>
      <x:c r="D19" s="22" t="n">
        <x:v>0.30593</x:v>
      </x:c>
      <x:c r="E19" s="22" t="n">
        <x:v>0.64514</x:v>
      </x:c>
      <x:c r="F19" s="22" t="n">
        <x:v>0.04893</x:v>
      </x:c>
      <x:c r="G19" s="2"/>
      <x:c r="H19" s="2"/>
      <x:c r="I19" s="2"/>
      <x:c r="J19" s="2"/>
      <x:c r="K19" s="2"/>
      <x:c r="L19" s="2"/>
    </x:row>
    <x:row r="20" ht="40" customHeight="1">
      <x:c r="A20" s="2"/>
      <x:c r="B20" s="11" t="str">
        <x:v>Historical SD only</x:v>
      </x:c>
      <x:c r="C20" s="11" t="str">
        <x:v>Beauty pricing</x:v>
      </x:c>
      <x:c r="D20" s="22" t="n">
        <x:v>0.60274</x:v>
      </x:c>
      <x:c r="E20" s="22" t="n">
        <x:v>0.38938</x:v>
      </x:c>
      <x:c r="F20" s="22" t="n">
        <x:v>0.00788</x:v>
      </x:c>
      <x:c r="G20" s="2"/>
      <x:c r="H20" s="2"/>
      <x:c r="I20" s="2"/>
      <x:c r="J20" s="2"/>
      <x:c r="K20" s="2"/>
      <x:c r="L20" s="2"/>
    </x:row>
    <x:row r="21" ht="40" customHeight="1">
      <x:c r="A21" s="2"/>
      <x:c r="B21" s="11" t="str">
        <x:v>Historical SD only</x:v>
      </x:c>
      <x:c r="C21" s="11" t="str">
        <x:v>Health Care pricing</x:v>
      </x:c>
      <x:c r="D21" s="22" t="n">
        <x:v>0.00469</x:v>
      </x:c>
      <x:c r="E21" s="22" t="n">
        <x:v>0.9953</x:v>
      </x:c>
      <x:c r="F21" s="22" t="n">
        <x:v>0.00001</x:v>
      </x:c>
      <x:c r="G21" s="2"/>
      <x:c r="H21" s="2"/>
      <x:c r="I21" s="2"/>
      <x:c r="J21" s="2"/>
      <x:c r="K21" s="2"/>
      <x:c r="L21" s="2"/>
    </x:row>
    <x:row r="22" ht="40" customHeight="1">
      <x:c r="A22" s="2"/>
      <x:c r="B22" s="11" t="str">
        <x:v>No bias adjustment</x:v>
      </x:c>
      <x:c r="C22" s="11" t="str">
        <x:v>Beauty pricing</x:v>
      </x:c>
      <x:c r="D22" s="22" t="n">
        <x:v>0.12648</x:v>
      </x:c>
      <x:c r="E22" s="22" t="n">
        <x:v>0.74794</x:v>
      </x:c>
      <x:c r="F22" s="22" t="n">
        <x:v>0.12558</x:v>
      </x:c>
      <x:c r="G22" s="2"/>
      <x:c r="H22" s="2"/>
      <x:c r="I22" s="2"/>
      <x:c r="J22" s="2"/>
      <x:c r="K22" s="2"/>
      <x:c r="L22" s="2"/>
    </x:row>
    <x:row r="23" ht="40" customHeight="1">
      <x:c r="A23" s="2"/>
      <x:c r="B23" s="11" t="str">
        <x:v>No bias adjustment</x:v>
      </x:c>
      <x:c r="C23" s="11" t="str">
        <x:v>Health Care pricing</x:v>
      </x:c>
      <x:c r="D23" s="22" t="n">
        <x:v>0.12545</x:v>
      </x:c>
      <x:c r="E23" s="22" t="n">
        <x:v>0.7481</x:v>
      </x:c>
      <x:c r="F23" s="22" t="n">
        <x:v>0.12645</x:v>
      </x:c>
      <x:c r="G23" s="2"/>
      <x:c r="H23" s="2"/>
      <x:c r="I23" s="2"/>
      <x:c r="J23" s="2"/>
      <x:c r="K23" s="2"/>
      <x:c r="L23" s="2"/>
    </x:row>
    <x:row r="24" ht="40" customHeight="1">
      <x:c r="A24" s="2"/>
      <x:c r="B24" s="11" t="str">
        <x:v>Wider errors (1.5x)</x:v>
      </x:c>
      <x:c r="C24" s="11" t="str">
        <x:v>Beauty pricing</x:v>
      </x:c>
      <x:c r="D24" s="22" t="n">
        <x:v>0.55403</x:v>
      </x:c>
      <x:c r="E24" s="22" t="n">
        <x:v>0.38552</x:v>
      </x:c>
      <x:c r="F24" s="22" t="n">
        <x:v>0.06045</x:v>
      </x:c>
      <x:c r="G24" s="2"/>
      <x:c r="H24" s="2"/>
      <x:c r="I24" s="2"/>
      <x:c r="J24" s="2"/>
      <x:c r="K24" s="2"/>
      <x:c r="L24" s="2"/>
    </x:row>
    <x:row r="25" ht="40" customHeight="1">
      <x:c r="A25" s="2"/>
      <x:c r="B25" s="11" t="str">
        <x:v>Wider errors (1.5x)</x:v>
      </x:c>
      <x:c r="C25" s="11" t="str">
        <x:v>Health Care pricing</x:v>
      </x:c>
      <x:c r="D25" s="22" t="n">
        <x:v>0.36578</x:v>
      </x:c>
      <x:c r="E25" s="22" t="n">
        <x:v>0.51793</x:v>
      </x:c>
      <x:c r="F25" s="22" t="n">
        <x:v>0.11629</x:v>
      </x:c>
      <x:c r="G25" s="2"/>
      <x:c r="H25" s="2"/>
      <x:c r="I25" s="2"/>
      <x:c r="J25" s="2"/>
      <x:c r="K25" s="2"/>
      <x:c r="L25" s="2"/>
    </x:row>
    <x:row r="26" ht="27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7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7" customHeight="1">
      <x:c r="A28" s="2"/>
      <x:c r="B28" s="2" t="str">
        <x:v>Health Care changes sharply when the SD floor is removed. Treat these probabilities as exploratory.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7" customHeight="1">
      <x:c r="A29" s="2"/>
      <x:c r="B29" s="2" t="str">
        <x:v>100,000 draws reduce sampling noise; they do not turn six quarters into a large historical dataset.</x:v>
      </x:c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7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7" customHeight="1">
      <x:c r="A31" s="2"/>
      <x:c r="B31" s="2" t="str">
        <x:v>Rerun src/analyze_variance_causes.py to refresh simulations. Original point forecasts stay frozen.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7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7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7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7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7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7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7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7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7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7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7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7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7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7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7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7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7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7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7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7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7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7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7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7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7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7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7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7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7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7" customHeight="1">
      <x:c r="A2" s="2"/>
      <x:c r="B2" s="3" t="str">
        <x:v>Financial bridges and historical error calibration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6" customHeight="1">
      <x:c r="A5" s="2"/>
      <x:c r="B5" s="7" t="str">
        <x:v>Quarterly financials ($m)</x:v>
      </x:c>
      <x:c r="C5" s="7" t="str">
        <x:v>Prior year</x:v>
      </x:c>
      <x:c r="D5" s="7" t="str">
        <x:v>Actual</x:v>
      </x:c>
      <x:c r="E5" s="7" t="str">
        <x:v>Change</x:v>
      </x:c>
      <x:c r="F5" s="7" t="str">
        <x:v>Change %</x:v>
      </x:c>
      <x:c r="G5" s="2"/>
      <x:c r="H5" s="2"/>
      <x:c r="I5" s="2"/>
      <x:c r="J5" s="2"/>
      <x:c r="K5" s="2"/>
      <x:c r="L5" s="2"/>
    </x:row>
    <x:row r="6" ht="27" customHeight="1">
      <x:c r="A6" s="2"/>
      <x:c r="B6" s="2" t="str">
        <x:v>Net sales</x:v>
      </x:c>
      <x:c r="C6" s="8" t="n">
        <x:f>Sources!C6</x:f>
        <x:v>20889</x:v>
      </x:c>
      <x:c r="D6" s="8" t="n">
        <x:f>Sources!D6</x:f>
        <x:v>21203</x:v>
      </x:c>
      <x:c r="E6" s="8" t="n">
        <x:f>D6-C6</x:f>
        <x:v>314</x:v>
      </x:c>
      <x:c r="F6" s="13" t="n">
        <x:f>E6/C6</x:f>
        <x:v>0.015031834937048207</x:v>
      </x:c>
      <x:c r="G6" s="2"/>
      <x:c r="H6" s="2"/>
      <x:c r="I6" s="2"/>
      <x:c r="J6" s="2"/>
      <x:c r="K6" s="2"/>
      <x:c r="L6" s="2"/>
    </x:row>
    <x:row r="7" ht="27" customHeight="1">
      <x:c r="A7" s="2"/>
      <x:c r="B7" s="2" t="str">
        <x:v>Cost of products sold</x:v>
      </x:c>
      <x:c r="C7" s="8" t="n">
        <x:f>Sources!C7</x:f>
        <x:v>10631</x:v>
      </x:c>
      <x:c r="D7" s="8" t="n">
        <x:f>Sources!D7</x:f>
        <x:v>10920</x:v>
      </x:c>
      <x:c r="E7" s="8" t="n">
        <x:f>D7-C7</x:f>
        <x:v>289</x:v>
      </x:c>
      <x:c r="F7" s="13" t="n">
        <x:f>E7/C7</x:f>
        <x:v>0.027184648668986924</x:v>
      </x:c>
      <x:c r="G7" s="2"/>
      <x:c r="H7" s="2"/>
      <x:c r="I7" s="2"/>
      <x:c r="J7" s="2"/>
      <x:c r="K7" s="2"/>
      <x:c r="L7" s="2"/>
    </x:row>
    <x:row r="8" ht="27" customHeight="1">
      <x:c r="A8" s="2"/>
      <x:c r="B8" s="2" t="str">
        <x:v>Gross profit</x:v>
      </x:c>
      <x:c r="C8" s="8" t="n">
        <x:f>Sources!C8</x:f>
        <x:v>10258</x:v>
      </x:c>
      <x:c r="D8" s="8" t="n">
        <x:f>Sources!D8</x:f>
        <x:v>10283</x:v>
      </x:c>
      <x:c r="E8" s="8" t="n">
        <x:f>D8-C8</x:f>
        <x:v>25</x:v>
      </x:c>
      <x:c r="F8" s="13" t="n">
        <x:f>E8/C8</x:f>
        <x:v>0.002437122246051862</x:v>
      </x:c>
      <x:c r="G8" s="2"/>
      <x:c r="H8" s="2"/>
      <x:c r="I8" s="2"/>
      <x:c r="J8" s="2"/>
      <x:c r="K8" s="2"/>
      <x:c r="L8" s="2"/>
    </x:row>
    <x:row r="9" ht="27" customHeight="1">
      <x:c r="A9" s="2"/>
      <x:c r="B9" s="2" t="str">
        <x:v>SG&amp;A</x:v>
      </x:c>
      <x:c r="C9" s="8" t="n">
        <x:f>Sources!C9</x:f>
        <x:v>5903</x:v>
      </x:c>
      <x:c r="D9" s="8" t="n">
        <x:f>Sources!D9</x:f>
        <x:v>6334</x:v>
      </x:c>
      <x:c r="E9" s="8" t="n">
        <x:f>D9-C9</x:f>
        <x:v>431</x:v>
      </x:c>
      <x:c r="F9" s="13" t="n">
        <x:f>E9/C9</x:f>
        <x:v>0.07301372183635439</x:v>
      </x:c>
      <x:c r="G9" s="2"/>
      <x:c r="H9" s="2"/>
      <x:c r="I9" s="2"/>
      <x:c r="J9" s="2"/>
      <x:c r="K9" s="2"/>
      <x:c r="L9" s="2"/>
    </x:row>
    <x:row r="10" ht="27" customHeight="1">
      <x:c r="A10" s="2"/>
      <x:c r="B10" s="2" t="str">
        <x:v>Operating income</x:v>
      </x:c>
      <x:c r="C10" s="8" t="n">
        <x:f>Sources!C10</x:f>
        <x:v>4355</x:v>
      </x:c>
      <x:c r="D10" s="8" t="n">
        <x:f>Sources!D10</x:f>
        <x:v>3949</x:v>
      </x:c>
      <x:c r="E10" s="8" t="n">
        <x:f>D10-C10</x:f>
        <x:v>-406</x:v>
      </x:c>
      <x:c r="F10" s="13" t="n">
        <x:f>E10/C10</x:f>
        <x:v>-0.09322617680826636</x:v>
      </x:c>
      <x:c r="G10" s="2"/>
      <x:c r="H10" s="2"/>
      <x:c r="I10" s="2"/>
      <x:c r="J10" s="2"/>
      <x:c r="K10" s="2"/>
      <x:c r="L10" s="2"/>
    </x:row>
    <x:row r="11" ht="27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7" customHeight="1">
      <x:c r="A12" s="2"/>
      <x:c r="B12" s="2" t="str">
        <x:v>Operating income check: actual sales − COGS − SG&amp;A − operating income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7" customHeight="1">
      <x:c r="A13" s="2"/>
      <x:c r="B13" s="2"/>
      <x:c r="C13" s="2" t="n">
        <x:f>D6-D7-D9-D10</x:f>
        <x:v>0</x:v>
      </x:c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7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7" customHeight="1">
      <x:c r="A15" s="2"/>
      <x:c r="B15" s="2" t="str">
        <x:v>Change bridge: sales change − COGS change − SG&amp;A change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7" customHeight="1">
      <x:c r="A16" s="2"/>
      <x:c r="B16" s="2"/>
      <x:c r="C16" s="8" t="n">
        <x:f>E6-E7-E9</x:f>
        <x:v>-406</x:v>
      </x:c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7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7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46" customHeight="1">
      <x:c r="A19" s="2"/>
      <x:c r="B19" s="7" t="str">
        <x:v>Historical errors (pp)</x:v>
      </x:c>
      <x:c r="C19" s="7" t="str">
        <x:v>Mean error</x:v>
      </x:c>
      <x:c r="D19" s="7" t="str">
        <x:v>Historical SD</x:v>
      </x:c>
      <x:c r="E19" s="7" t="str">
        <x:v>Used SD</x:v>
      </x:c>
      <x:c r="F19" s="7" t="str">
        <x:v>Common quarters</x:v>
      </x:c>
      <x:c r="G19" s="2"/>
      <x:c r="H19" s="2"/>
      <x:c r="I19" s="2"/>
      <x:c r="J19" s="2"/>
      <x:c r="K19" s="2"/>
      <x:c r="L19" s="2"/>
    </x:row>
    <x:row r="20" ht="27" customHeight="1">
      <x:c r="A20" s="2"/>
      <x:c r="B20" s="2" t="str">
        <x:v>Baby / Feminine / Family volume</x:v>
      </x:c>
      <x:c r="C20" s="9" t="n">
        <x:f>AVERAGE(Sources!C34:C39)</x:f>
        <x:v>0.9650215618265658</x:v>
      </x:c>
      <x:c r="D20" s="9" t="n">
        <x:f>STDEV(Sources!C34:C39)</x:f>
        <x:v>3.0826182898680554</x:v>
      </x:c>
      <x:c r="E20" s="9" t="n">
        <x:f>MAX(D20,Sources!$C$84)</x:f>
        <x:v>3.0826182898680554</x:v>
      </x:c>
      <x:c r="F20" s="2" t="n">
        <x:f>COUNT(Sources!C34:C39)</x:f>
        <x:v>6</x:v>
      </x:c>
      <x:c r="G20" s="2"/>
      <x:c r="H20" s="2"/>
      <x:c r="I20" s="2"/>
      <x:c r="J20" s="2"/>
      <x:c r="K20" s="2"/>
      <x:c r="L20" s="2"/>
    </x:row>
    <x:row r="21" ht="27" customHeight="1">
      <x:c r="A21" s="2"/>
      <x:c r="B21" s="2" t="str">
        <x:v>Beauty organic sales</x:v>
      </x:c>
      <x:c r="C21" s="9" t="n">
        <x:f>AVERAGE(Sources!D34:D39)</x:f>
        <x:v>-0.9764052360836457</x:v>
      </x:c>
      <x:c r="D21" s="9" t="n">
        <x:f>STDEV(Sources!D34:D39)</x:f>
        <x:v>2.830397103427252</x:v>
      </x:c>
      <x:c r="E21" s="9" t="n">
        <x:f>MAX(D21,Sources!$C$84)</x:f>
        <x:v>2.830397103427252</x:v>
      </x:c>
      <x:c r="F21" s="2" t="n">
        <x:f>COUNT(Sources!D34:D39)</x:f>
        <x:v>6</x:v>
      </x:c>
      <x:c r="G21" s="2"/>
      <x:c r="H21" s="2"/>
      <x:c r="I21" s="2"/>
      <x:c r="J21" s="2"/>
      <x:c r="K21" s="2"/>
      <x:c r="L21" s="2"/>
    </x:row>
    <x:row r="22" ht="27" customHeight="1">
      <x:c r="A22" s="2"/>
      <x:c r="B22" s="2" t="str">
        <x:v>Beauty volume</x:v>
      </x:c>
      <x:c r="C22" s="9" t="n">
        <x:f>AVERAGE(Sources!E34:E39)</x:f>
        <x:v>0.8333333333333334</x:v>
      </x:c>
      <x:c r="D22" s="9" t="n">
        <x:f>STDEV(Sources!E34:E39)</x:f>
        <x:v>1.602081978759722</x:v>
      </x:c>
      <x:c r="E22" s="9" t="n">
        <x:f>MAX(D22,Sources!$C$84)</x:f>
        <x:v>1.602081978759722</x:v>
      </x:c>
      <x:c r="F22" s="2" t="n">
        <x:f>COUNT(Sources!E34:E39)</x:f>
        <x:v>6</x:v>
      </x:c>
      <x:c r="G22" s="2"/>
      <x:c r="H22" s="2"/>
      <x:c r="I22" s="2"/>
      <x:c r="J22" s="2"/>
      <x:c r="K22" s="2"/>
      <x:c r="L22" s="2"/>
    </x:row>
    <x:row r="23" ht="27" customHeight="1">
      <x:c r="A23" s="2"/>
      <x:c r="B23" s="2" t="str">
        <x:v>Beauty pricing</x:v>
      </x:c>
      <x:c r="C23" s="9" t="n">
        <x:f>AVERAGE(Sources!F34:F39)</x:f>
        <x:v>-1.1606403379099672</x:v>
      </x:c>
      <x:c r="D23" s="9" t="n">
        <x:f>STDEV(Sources!F34:F39)</x:f>
        <x:v>0.7680109418924421</x:v>
      </x:c>
      <x:c r="E23" s="9" t="n">
        <x:f>MAX(D23,Sources!$C$84)</x:f>
        <x:v>1</x:v>
      </x:c>
      <x:c r="F23" s="2" t="n">
        <x:f>COUNT(Sources!F34:F39)</x:f>
        <x:v>6</x:v>
      </x:c>
      <x:c r="G23" s="2"/>
      <x:c r="H23" s="2"/>
      <x:c r="I23" s="2"/>
      <x:c r="J23" s="2"/>
      <x:c r="K23" s="2"/>
      <x:c r="L23" s="2"/>
    </x:row>
    <x:row r="24" ht="27" customHeight="1">
      <x:c r="A24" s="2"/>
      <x:c r="B24" s="2" t="str">
        <x:v>Fabric &amp; Home volume</x:v>
      </x:c>
      <x:c r="C24" s="9" t="n">
        <x:f>AVERAGE(Sources!G34:G39)</x:f>
        <x:v>-0.9583333333333334</x:v>
      </x:c>
      <x:c r="D24" s="9" t="n">
        <x:f>STDEV(Sources!G34:G39)</x:f>
        <x:v>1.6838695515587503</x:v>
      </x:c>
      <x:c r="E24" s="9" t="n">
        <x:f>MAX(D24,Sources!$C$84)</x:f>
        <x:v>1.6838695515587503</x:v>
      </x:c>
      <x:c r="F24" s="2" t="n">
        <x:f>COUNT(Sources!G34:G39)</x:f>
        <x:v>6</x:v>
      </x:c>
      <x:c r="G24" s="2"/>
      <x:c r="H24" s="2"/>
      <x:c r="I24" s="2"/>
      <x:c r="J24" s="2"/>
      <x:c r="K24" s="2"/>
      <x:c r="L24" s="2"/>
    </x:row>
    <x:row r="25" ht="27" customHeight="1">
      <x:c r="A25" s="2"/>
      <x:c r="B25" s="2" t="str">
        <x:v>Health Care pricing</x:v>
      </x:c>
      <x:c r="C25" s="9" t="n">
        <x:f>AVERAGE(Sources!H34:H39)</x:f>
        <x:v>-0.5791522501907953</x:v>
      </x:c>
      <x:c r="D25" s="9" t="n">
        <x:f>STDEV(Sources!H34:H39)</x:f>
        <x:v>0.13462582232866335</x:v>
      </x:c>
      <x:c r="E25" s="9" t="n">
        <x:f>MAX(D25,Sources!$C$84)</x:f>
        <x:v>1</x:v>
      </x:c>
      <x:c r="F25" s="2" t="n">
        <x:f>COUNT(Sources!H34:H39)</x:f>
        <x:v>6</x:v>
      </x:c>
      <x:c r="G25" s="2"/>
      <x:c r="H25" s="2"/>
      <x:c r="I25" s="2"/>
      <x:c r="J25" s="2"/>
      <x:c r="K25" s="2"/>
      <x:c r="L25" s="2"/>
    </x:row>
    <x:row r="26" ht="27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7" customHeight="1">
      <x:c r="A27" s="2"/>
      <x:c r="B27" s="2" t="str">
        <x:v>Used SD has a 1pp analyst floor. Historical errors alone are especially narrow for Health Care.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7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7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46" customHeight="1">
      <x:c r="A30" s="2"/>
      <x:c r="B30" s="7" t="str">
        <x:v>Simulation parameters (pp)</x:v>
      </x:c>
      <x:c r="C30" s="7" t="str">
        <x:v>Frozen point</x:v>
      </x:c>
      <x:c r="D30" s="7" t="str">
        <x:v>Historical bias</x:v>
      </x:c>
      <x:c r="E30" s="7" t="str">
        <x:v>Simulation center</x:v>
      </x:c>
      <x:c r="F30" s="7" t="str">
        <x:v>Used SD</x:v>
      </x:c>
      <x:c r="G30" s="2"/>
      <x:c r="H30" s="2"/>
      <x:c r="I30" s="2"/>
      <x:c r="J30" s="2"/>
      <x:c r="K30" s="2"/>
      <x:c r="L30" s="2"/>
    </x:row>
    <x:row r="31" ht="27" customHeight="1">
      <x:c r="A31" s="2"/>
      <x:c r="B31" s="2" t="str">
        <x:v>Baby / Feminine / Family volume</x:v>
      </x:c>
      <x:c r="C31" s="9" t="n">
        <x:f>Sources!C14</x:f>
        <x:v>-1.652062168789822</x:v>
      </x:c>
      <x:c r="D31" s="9" t="n">
        <x:f>C20</x:f>
        <x:v>0.9650215618265658</x:v>
      </x:c>
      <x:c r="E31" s="9" t="n">
        <x:f>C31+D31</x:f>
        <x:v>-0.6870406069632562</x:v>
      </x:c>
      <x:c r="F31" s="9" t="n">
        <x:f>E20</x:f>
        <x:v>3.0826182898680554</x:v>
      </x:c>
      <x:c r="G31" s="2"/>
      <x:c r="H31" s="2"/>
      <x:c r="I31" s="2"/>
      <x:c r="J31" s="2"/>
      <x:c r="K31" s="2"/>
      <x:c r="L31" s="2"/>
    </x:row>
    <x:row r="32" ht="27" customHeight="1">
      <x:c r="A32" s="2"/>
      <x:c r="B32" s="2" t="str">
        <x:v>Beauty organic sales</x:v>
      </x:c>
      <x:c r="C32" s="9" t="n">
        <x:f>Sources!C15</x:f>
        <x:v>3.289568967374506</x:v>
      </x:c>
      <x:c r="D32" s="9" t="n">
        <x:f>C21</x:f>
        <x:v>-0.9764052360836457</x:v>
      </x:c>
      <x:c r="E32" s="9" t="n">
        <x:f>C32+D32</x:f>
        <x:v>2.31316373129086</x:v>
      </x:c>
      <x:c r="F32" s="9" t="n">
        <x:f>E21</x:f>
        <x:v>2.830397103427252</x:v>
      </x:c>
      <x:c r="G32" s="2"/>
      <x:c r="H32" s="2"/>
      <x:c r="I32" s="2"/>
      <x:c r="J32" s="2"/>
      <x:c r="K32" s="2"/>
      <x:c r="L32" s="2"/>
    </x:row>
    <x:row r="33" ht="27" customHeight="1">
      <x:c r="A33" s="2"/>
      <x:c r="B33" s="2" t="str">
        <x:v>Beauty volume</x:v>
      </x:c>
      <x:c r="C33" s="9" t="n">
        <x:f>Sources!C16</x:f>
        <x:v>5</x:v>
      </x:c>
      <x:c r="D33" s="9" t="n">
        <x:f>C22</x:f>
        <x:v>0.8333333333333334</x:v>
      </x:c>
      <x:c r="E33" s="9" t="n">
        <x:f>C33+D33</x:f>
        <x:v>5.833333333333333</x:v>
      </x:c>
      <x:c r="F33" s="9" t="n">
        <x:f>E22</x:f>
        <x:v>1.602081978759722</x:v>
      </x:c>
      <x:c r="G33" s="2"/>
      <x:c r="H33" s="2"/>
      <x:c r="I33" s="2"/>
      <x:c r="J33" s="2"/>
      <x:c r="K33" s="2"/>
      <x:c r="L33" s="2"/>
    </x:row>
    <x:row r="34" ht="27" customHeight="1">
      <x:c r="A34" s="2"/>
      <x:c r="B34" s="2" t="str">
        <x:v>Beauty pricing</x:v>
      </x:c>
      <x:c r="C34" s="9" t="n">
        <x:f>Sources!C17</x:f>
        <x:v>4.308198652998944</x:v>
      </x:c>
      <x:c r="D34" s="9" t="n">
        <x:f>C23</x:f>
        <x:v>-1.1606403379099672</x:v>
      </x:c>
      <x:c r="E34" s="9" t="n">
        <x:f>C34+D34</x:f>
        <x:v>3.1475583150889763</x:v>
      </x:c>
      <x:c r="F34" s="9" t="n">
        <x:f>E23</x:f>
        <x:v>1</x:v>
      </x:c>
      <x:c r="G34" s="2"/>
      <x:c r="H34" s="2"/>
      <x:c r="I34" s="2"/>
      <x:c r="J34" s="2"/>
      <x:c r="K34" s="2"/>
      <x:c r="L34" s="2"/>
    </x:row>
    <x:row r="35" ht="27" customHeight="1">
      <x:c r="A35" s="2"/>
      <x:c r="B35" s="2" t="str">
        <x:v>Fabric &amp; Home volume</x:v>
      </x:c>
      <x:c r="C35" s="9" t="n">
        <x:f>Sources!C18</x:f>
        <x:v>0</x:v>
      </x:c>
      <x:c r="D35" s="9" t="n">
        <x:f>C24</x:f>
        <x:v>-0.9583333333333334</x:v>
      </x:c>
      <x:c r="E35" s="9" t="n">
        <x:f>C35+D35</x:f>
        <x:v>-0.9583333333333334</x:v>
      </x:c>
      <x:c r="F35" s="9" t="n">
        <x:f>E24</x:f>
        <x:v>1.6838695515587503</x:v>
      </x:c>
      <x:c r="G35" s="2"/>
      <x:c r="H35" s="2"/>
      <x:c r="I35" s="2"/>
      <x:c r="J35" s="2"/>
      <x:c r="K35" s="2"/>
      <x:c r="L35" s="2"/>
    </x:row>
    <x:row r="36" ht="27" customHeight="1">
      <x:c r="A36" s="2"/>
      <x:c r="B36" s="2" t="str">
        <x:v>Health Care pricing</x:v>
      </x:c>
      <x:c r="C36" s="9" t="n">
        <x:f>Sources!C19</x:f>
        <x:v>2.6809914443502034</x:v>
      </x:c>
      <x:c r="D36" s="9" t="n">
        <x:f>C25</x:f>
        <x:v>-0.5791522501907953</x:v>
      </x:c>
      <x:c r="E36" s="9" t="n">
        <x:f>C36+D36</x:f>
        <x:v>2.101839194159408</x:v>
      </x:c>
      <x:c r="F36" s="9" t="n">
        <x:f>E25</x:f>
        <x:v>1</x:v>
      </x:c>
      <x:c r="G36" s="2"/>
      <x:c r="H36" s="2"/>
      <x:c r="I36" s="2"/>
      <x:c r="J36" s="2"/>
      <x:c r="K36" s="2"/>
      <x:c r="L36" s="2"/>
    </x:row>
    <x:row r="37" ht="27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7" customHeight="1">
      <x:c r="A38" s="2"/>
      <x:c r="B38" s="2" t="str">
        <x:v>Simulation = frozen point + mean historical error + correlated Student t shock × used SD.</x:v>
      </x:c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7" customHeight="1">
      <x:c r="A39" s="2"/>
      <x:c r="B39" s="2" t="str">
        <x:v>Parameter formulas are live. Saved simulation probabilities require rerunning the Python analysis.</x:v>
      </x:c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7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7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46" customHeight="1">
      <x:c r="A42" s="2"/>
      <x:c r="B42" s="7" t="str">
        <x:v>Market check (YoY %)</x:v>
      </x:c>
      <x:c r="C42" s="7" t="str">
        <x:v>Forecast</x:v>
      </x:c>
      <x:c r="D42" s="7" t="str">
        <x:v>Later data</x:v>
      </x:c>
      <x:c r="E42" s="7" t="str">
        <x:v>Difference pp</x:v>
      </x:c>
      <x:c r="F42" s="2"/>
      <x:c r="G42" s="2"/>
      <x:c r="H42" s="2"/>
      <x:c r="I42" s="2"/>
      <x:c r="J42" s="2"/>
      <x:c r="K42" s="2"/>
      <x:c r="L42" s="2"/>
    </x:row>
    <x:row r="43" ht="27" customHeight="1">
      <x:c r="A43" s="2"/>
      <x:c r="B43" s="2" t="str">
        <x:v>PCENDC96</x:v>
      </x:c>
      <x:c r="C43" s="9" t="n">
        <x:f>Sources!C56</x:f>
        <x:v>1.3039748661953787</x:v>
      </x:c>
      <x:c r="D43" s="9" t="n">
        <x:f>Sources!D56</x:f>
        <x:v>2.2929415789273655</x:v>
      </x:c>
      <x:c r="E43" s="9" t="n">
        <x:f>D43-C43</x:f>
        <x:v>0.9889667127319868</x:v>
      </x:c>
      <x:c r="F43" s="2"/>
      <x:c r="G43" s="2"/>
      <x:c r="H43" s="2"/>
      <x:c r="I43" s="2"/>
      <x:c r="J43" s="2"/>
      <x:c r="K43" s="2"/>
      <x:c r="L43" s="2"/>
    </x:row>
    <x:row r="44" ht="27" customHeight="1">
      <x:c r="A44" s="2"/>
      <x:c r="B44" s="2" t="str">
        <x:v>RSHPCS</x:v>
      </x:c>
      <x:c r="C44" s="9" t="n">
        <x:f>Sources!C57</x:f>
        <x:v>1.7837994246906463</x:v>
      </x:c>
      <x:c r="D44" s="9" t="n">
        <x:f>Sources!D57</x:f>
        <x:v>2.3335773008118954</x:v>
      </x:c>
      <x:c r="E44" s="9" t="n">
        <x:f>D44-C44</x:f>
        <x:v>0.5497778761212491</x:v>
      </x:c>
      <x:c r="F44" s="2"/>
      <x:c r="G44" s="2"/>
      <x:c r="H44" s="2"/>
      <x:c r="I44" s="2"/>
      <x:c r="J44" s="2"/>
      <x:c r="K44" s="2"/>
      <x:c r="L44" s="2"/>
    </x:row>
    <x:row r="45" ht="27" customHeight="1">
      <x:c r="A45" s="2"/>
      <x:c r="B45" s="2" t="str">
        <x:v>CUUR0000SEGB02</x:v>
      </x:c>
      <x:c r="C45" s="9" t="n">
        <x:f>Sources!C58</x:f>
        <x:v>1.578877328393169</x:v>
      </x:c>
      <x:c r="D45" s="9" t="n">
        <x:f>Sources!D58</x:f>
        <x:v>2.644536352525484</x:v>
      </x:c>
      <x:c r="E45" s="9" t="n">
        <x:f>D45-C45</x:f>
        <x:v>1.065659024132315</x:v>
      </x:c>
      <x:c r="F45" s="2"/>
      <x:c r="G45" s="2"/>
      <x:c r="H45" s="2"/>
      <x:c r="I45" s="2"/>
      <x:c r="J45" s="2"/>
      <x:c r="K45" s="2"/>
      <x:c r="L45" s="2"/>
    </x:row>
    <x:row r="46" ht="27" customHeight="1">
      <x:c r="A46" s="2"/>
      <x:c r="B46" s="2" t="str">
        <x:v>CUUR0000SEGB</x:v>
      </x:c>
      <x:c r="C46" s="9" t="n">
        <x:f>Sources!C59</x:f>
        <x:v>2.183289558800894</x:v>
      </x:c>
      <x:c r="D46" s="9" t="n">
        <x:f>Sources!D59</x:f>
        <x:v>2.6822636221587537</x:v>
      </x:c>
      <x:c r="E46" s="9" t="n">
        <x:f>D46-C46</x:f>
        <x:v>0.4989740633578599</x:v>
      </x:c>
      <x:c r="F46" s="2"/>
      <x:c r="G46" s="2"/>
      <x:c r="H46" s="2"/>
      <x:c r="I46" s="2"/>
      <x:c r="J46" s="2"/>
      <x:c r="K46" s="2"/>
      <x:c r="L46" s="2"/>
    </x:row>
    <x:row r="47" ht="27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7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46" customHeight="1">
      <x:c r="A49" s="2"/>
      <x:c r="B49" s="7" t="str">
        <x:v>Core cost bridge</x:v>
      </x:c>
      <x:c r="C49" s="7" t="str">
        <x:v>Total bps</x:v>
      </x:c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7" customHeight="1">
      <x:c r="A50" s="2"/>
      <x:c r="B50" s="2" t="str">
        <x:v>Gross margin change</x:v>
      </x:c>
      <x:c r="C50" s="2" t="n">
        <x:f>SUM(Sources!D43:D49)</x:f>
        <x:v>0</x:v>
      </x:c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7" customHeight="1">
      <x:c r="A51" s="2"/>
      <x:c r="B51" s="2" t="str">
        <x:v>SG&amp;A ratio change</x:v>
      </x:c>
      <x:c r="C51" s="2" t="n">
        <x:f>SUM(Sources!D50:D52)</x:f>
        <x:v>130</x:v>
      </x:c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7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7" customHeight="1">
      <x:c r="A53" s="2"/>
      <x:c r="B53" s="2" t="str">
        <x:v>Reported operating profit is GAAP. Core margin bridges exclude designated adjustments.</x:v>
      </x:c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7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7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7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7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7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7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7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7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7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7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7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7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7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7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7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7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7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7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7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27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7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7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4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7" customHeight="1">
      <x:c r="A2" s="2"/>
      <x:c r="B2" s="3" t="str">
        <x:v>Dated inputs and saved simulation output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6" customHeight="1">
      <x:c r="A5" s="2"/>
      <x:c r="B5" s="7" t="str">
        <x:v>Quarterly financials ($m)</x:v>
      </x:c>
      <x:c r="C5" s="7" t="str">
        <x:v>Apr–Jun 2025</x:v>
      </x:c>
      <x:c r="D5" s="7" t="str">
        <x:v>Apr–Jun 2026</x:v>
      </x:c>
      <x:c r="E5" s="2"/>
      <x:c r="F5" s="2"/>
      <x:c r="G5" s="2"/>
      <x:c r="H5" s="2"/>
      <x:c r="I5" s="2"/>
      <x:c r="J5" s="2"/>
      <x:c r="K5" s="2"/>
      <x:c r="L5" s="2"/>
    </x:row>
    <x:row r="6" ht="27" customHeight="1">
      <x:c r="A6" s="2"/>
      <x:c r="B6" s="2" t="str">
        <x:v>Net sales</x:v>
      </x:c>
      <x:c r="C6" s="8" t="n">
        <x:v>20889</x:v>
      </x:c>
      <x:c r="D6" s="8" t="n">
        <x:v>21203</x:v>
      </x:c>
      <x:c r="E6" s="2"/>
      <x:c r="F6" s="2"/>
      <x:c r="G6" s="2"/>
      <x:c r="H6" s="2"/>
      <x:c r="I6" s="2"/>
      <x:c r="J6" s="2"/>
      <x:c r="K6" s="2"/>
      <x:c r="L6" s="2"/>
    </x:row>
    <x:row r="7" ht="27" customHeight="1">
      <x:c r="A7" s="2"/>
      <x:c r="B7" s="2" t="str">
        <x:v>Cost of products sold</x:v>
      </x:c>
      <x:c r="C7" s="8" t="n">
        <x:v>10631</x:v>
      </x:c>
      <x:c r="D7" s="8" t="n">
        <x:v>10920</x:v>
      </x:c>
      <x:c r="E7" s="2"/>
      <x:c r="F7" s="2"/>
      <x:c r="G7" s="2"/>
      <x:c r="H7" s="2"/>
      <x:c r="I7" s="2"/>
      <x:c r="J7" s="2"/>
      <x:c r="K7" s="2"/>
      <x:c r="L7" s="2"/>
    </x:row>
    <x:row r="8" ht="27" customHeight="1">
      <x:c r="A8" s="2"/>
      <x:c r="B8" s="2" t="str">
        <x:v>Gross profit</x:v>
      </x:c>
      <x:c r="C8" s="8" t="n">
        <x:v>10258</x:v>
      </x:c>
      <x:c r="D8" s="8" t="n">
        <x:v>10283</x:v>
      </x:c>
      <x:c r="E8" s="2"/>
      <x:c r="F8" s="2"/>
      <x:c r="G8" s="2"/>
      <x:c r="H8" s="2"/>
      <x:c r="I8" s="2"/>
      <x:c r="J8" s="2"/>
      <x:c r="K8" s="2"/>
      <x:c r="L8" s="2"/>
    </x:row>
    <x:row r="9" ht="27" customHeight="1">
      <x:c r="A9" s="2"/>
      <x:c r="B9" s="2" t="str">
        <x:v>SG&amp;A</x:v>
      </x:c>
      <x:c r="C9" s="8" t="n">
        <x:v>5903</x:v>
      </x:c>
      <x:c r="D9" s="8" t="n">
        <x:v>6334</x:v>
      </x:c>
      <x:c r="E9" s="2"/>
      <x:c r="F9" s="2"/>
      <x:c r="G9" s="2"/>
      <x:c r="H9" s="2"/>
      <x:c r="I9" s="2"/>
      <x:c r="J9" s="2"/>
      <x:c r="K9" s="2"/>
      <x:c r="L9" s="2"/>
    </x:row>
    <x:row r="10" ht="27" customHeight="1">
      <x:c r="A10" s="2"/>
      <x:c r="B10" s="2" t="str">
        <x:v>Operating income</x:v>
      </x:c>
      <x:c r="C10" s="8" t="n">
        <x:v>4355</x:v>
      </x:c>
      <x:c r="D10" s="8" t="n">
        <x:v>3949</x:v>
      </x:c>
      <x:c r="E10" s="2"/>
      <x:c r="F10" s="2"/>
      <x:c r="G10" s="2"/>
      <x:c r="H10" s="2"/>
      <x:c r="I10" s="2"/>
      <x:c r="J10" s="2"/>
      <x:c r="K10" s="2"/>
      <x:c r="L10" s="2"/>
    </x:row>
    <x:row r="11" ht="27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7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46" customHeight="1">
      <x:c r="A13" s="2"/>
      <x:c r="B13" s="7" t="str">
        <x:v>Frozen April 24 forecast</x:v>
      </x:c>
      <x:c r="C13" s="7" t="str">
        <x:v>Forecast</x:v>
      </x:c>
      <x:c r="D13" s="7" t="str">
        <x:v>Later actual</x:v>
      </x:c>
      <x:c r="E13" s="2"/>
      <x:c r="F13" s="2"/>
      <x:c r="G13" s="2"/>
      <x:c r="H13" s="2"/>
      <x:c r="I13" s="2"/>
      <x:c r="J13" s="2"/>
      <x:c r="K13" s="2"/>
      <x:c r="L13" s="2"/>
    </x:row>
    <x:row r="14" ht="27" customHeight="1">
      <x:c r="A14" s="2"/>
      <x:c r="B14" s="2" t="str">
        <x:v>Baby / Feminine / Family volume</x:v>
      </x:c>
      <x:c r="C14" s="9" t="n">
        <x:v>-1.652062168789822</x:v>
      </x:c>
      <x:c r="D14" s="9" t="n">
        <x:v>-1</x:v>
      </x:c>
      <x:c r="E14" s="2"/>
      <x:c r="F14" s="2"/>
      <x:c r="G14" s="2"/>
      <x:c r="H14" s="2"/>
      <x:c r="I14" s="2"/>
      <x:c r="J14" s="2"/>
      <x:c r="K14" s="2"/>
      <x:c r="L14" s="2"/>
    </x:row>
    <x:row r="15" ht="27" customHeight="1">
      <x:c r="A15" s="2"/>
      <x:c r="B15" s="2" t="str">
        <x:v>Beauty organic sales</x:v>
      </x:c>
      <x:c r="C15" s="9" t="n">
        <x:v>3.289568967374506</x:v>
      </x:c>
      <x:c r="D15" s="9" t="n">
        <x:v>4</x:v>
      </x:c>
      <x:c r="E15" s="2"/>
      <x:c r="F15" s="2"/>
      <x:c r="G15" s="2"/>
      <x:c r="H15" s="2"/>
      <x:c r="I15" s="2"/>
      <x:c r="J15" s="2"/>
      <x:c r="K15" s="2"/>
      <x:c r="L15" s="2"/>
    </x:row>
    <x:row r="16" ht="27" customHeight="1">
      <x:c r="A16" s="2"/>
      <x:c r="B16" s="2" t="str">
        <x:v>Beauty volume</x:v>
      </x:c>
      <x:c r="C16" s="9" t="n">
        <x:v>5</x:v>
      </x:c>
      <x:c r="D16" s="9" t="n">
        <x:v>3</x:v>
      </x:c>
      <x:c r="E16" s="2"/>
      <x:c r="F16" s="2"/>
      <x:c r="G16" s="2"/>
      <x:c r="H16" s="2"/>
      <x:c r="I16" s="2"/>
      <x:c r="J16" s="2"/>
      <x:c r="K16" s="2"/>
      <x:c r="L16" s="2"/>
    </x:row>
    <x:row r="17" ht="27" customHeight="1">
      <x:c r="A17" s="2"/>
      <x:c r="B17" s="2" t="str">
        <x:v>Beauty pricing</x:v>
      </x:c>
      <x:c r="C17" s="9" t="n">
        <x:v>4.308198652998944</x:v>
      </x:c>
      <x:c r="D17" s="9" t="n">
        <x:v>1</x:v>
      </x:c>
      <x:c r="E17" s="2"/>
      <x:c r="F17" s="2"/>
      <x:c r="G17" s="2"/>
      <x:c r="H17" s="2"/>
      <x:c r="I17" s="2"/>
      <x:c r="J17" s="2"/>
      <x:c r="K17" s="2"/>
      <x:c r="L17" s="2"/>
    </x:row>
    <x:row r="18" ht="27" customHeight="1">
      <x:c r="A18" s="2"/>
      <x:c r="B18" s="2" t="str">
        <x:v>Fabric &amp; Home volume</x:v>
      </x:c>
      <x:c r="C18" s="9" t="n">
        <x:v>0</x:v>
      </x:c>
      <x:c r="D18" s="9" t="n">
        <x:v>1</x:v>
      </x:c>
      <x:c r="E18" s="2"/>
      <x:c r="F18" s="2"/>
      <x:c r="G18" s="2"/>
      <x:c r="H18" s="2"/>
      <x:c r="I18" s="2"/>
      <x:c r="J18" s="2"/>
      <x:c r="K18" s="2"/>
      <x:c r="L18" s="2"/>
    </x:row>
    <x:row r="19" ht="27" customHeight="1">
      <x:c r="A19" s="2"/>
      <x:c r="B19" s="2" t="str">
        <x:v>Health Care pricing</x:v>
      </x:c>
      <x:c r="C19" s="9" t="n">
        <x:v>2.6809914443502034</x:v>
      </x:c>
      <x:c r="D19" s="9" t="n">
        <x:v>2</x:v>
      </x:c>
      <x:c r="E19" s="2"/>
      <x:c r="F19" s="2"/>
      <x:c r="G19" s="2"/>
      <x:c r="H19" s="2"/>
      <x:c r="I19" s="2"/>
      <x:c r="J19" s="2"/>
      <x:c r="K19" s="2"/>
      <x:c r="L19" s="2"/>
    </x:row>
    <x:row r="20" ht="27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7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46" customHeight="1">
      <x:c r="A22" s="2"/>
      <x:c r="B22" s="7" t="str">
        <x:v>Saved simulation counts</x:v>
      </x:c>
      <x:c r="C22" s="7" t="str">
        <x:v>Below −1pp</x:v>
      </x:c>
      <x:c r="D22" s="7" t="str">
        <x:v>Within ±1pp</x:v>
      </x:c>
      <x:c r="E22" s="7" t="str">
        <x:v>Above +1pp</x:v>
      </x:c>
      <x:c r="F22" s="7" t="str">
        <x:v>Draws</x:v>
      </x:c>
      <x:c r="G22" s="7" t="str">
        <x:v>P10</x:v>
      </x:c>
      <x:c r="H22" s="7" t="str">
        <x:v>Median</x:v>
      </x:c>
      <x:c r="I22" s="7" t="str">
        <x:v>P90</x:v>
      </x:c>
      <x:c r="J22" s="2"/>
      <x:c r="K22" s="2"/>
      <x:c r="L22" s="2"/>
    </x:row>
    <x:row r="23" ht="27" customHeight="1">
      <x:c r="A23" s="2"/>
      <x:c r="B23" s="2" t="str">
        <x:v>Baby / Feminine / Family volume</x:v>
      </x:c>
      <x:c r="C23" s="10" t="n">
        <x:v>22345</x:v>
      </x:c>
      <x:c r="D23" s="10" t="n">
        <x:v>28029</x:v>
      </x:c>
      <x:c r="E23" s="10" t="n">
        <x:v>49626</x:v>
      </x:c>
      <x:c r="F23" s="10" t="n">
        <x:v>100000</x:v>
      </x:c>
      <x:c r="G23" s="9" t="n">
        <x:v>-4.190303565969929</x:v>
      </x:c>
      <x:c r="H23" s="9" t="n">
        <x:v>-0.6730890891729985</x:v>
      </x:c>
      <x:c r="I23" s="9" t="n">
        <x:v>2.8316147036273143</x:v>
      </x:c>
      <x:c r="J23" s="2"/>
      <x:c r="K23" s="2"/>
      <x:c r="L23" s="2"/>
    </x:row>
    <x:row r="24" ht="27" customHeight="1">
      <x:c r="A24" s="2"/>
      <x:c r="B24" s="2" t="str">
        <x:v>Beauty organic sales</x:v>
      </x:c>
      <x:c r="C24" s="10" t="n">
        <x:v>49598</x:v>
      </x:c>
      <x:c r="D24" s="10" t="n">
        <x:v>30009</x:v>
      </x:c>
      <x:c r="E24" s="10" t="n">
        <x:v>20393</x:v>
      </x:c>
      <x:c r="F24" s="10" t="n">
        <x:v>100000</x:v>
      </x:c>
      <x:c r="G24" s="9" t="n">
        <x:v>-0.9207473179556067</x:v>
      </x:c>
      <x:c r="H24" s="9" t="n">
        <x:v>2.313063627936719</x:v>
      </x:c>
      <x:c r="I24" s="9" t="n">
        <x:v>5.536374304777815</x:v>
      </x:c>
      <x:c r="J24" s="2"/>
      <x:c r="K24" s="2"/>
      <x:c r="L24" s="2"/>
    </x:row>
    <x:row r="25" ht="27" customHeight="1">
      <x:c r="A25" s="2"/>
      <x:c r="B25" s="2" t="str">
        <x:v>Beauty volume</x:v>
      </x:c>
      <x:c r="C25" s="10" t="n">
        <x:v>10042</x:v>
      </x:c>
      <x:c r="D25" s="10" t="n">
        <x:v>45291</x:v>
      </x:c>
      <x:c r="E25" s="10" t="n">
        <x:v>44667</x:v>
      </x:c>
      <x:c r="F25" s="10" t="n">
        <x:v>100000</x:v>
      </x:c>
      <x:c r="G25" s="9" t="n">
        <x:v>3.996312660820852</x:v>
      </x:c>
      <x:c r="H25" s="9" t="n">
        <x:v>5.82589721857182</x:v>
      </x:c>
      <x:c r="I25" s="9" t="n">
        <x:v>7.657344579177043</x:v>
      </x:c>
      <x:c r="J25" s="2"/>
      <x:c r="K25" s="2"/>
      <x:c r="L25" s="2"/>
    </x:row>
    <x:row r="26" ht="27" customHeight="1">
      <x:c r="A26" s="2"/>
      <x:c r="B26" s="2" t="str">
        <x:v>Beauty pricing</x:v>
      </x:c>
      <x:c r="C26" s="10" t="n">
        <x:v>57943</x:v>
      </x:c>
      <x:c r="D26" s="10" t="n">
        <x:v>40144</x:v>
      </x:c>
      <x:c r="E26" s="10" t="n">
        <x:v>1913</x:v>
      </x:c>
      <x:c r="F26" s="10" t="n">
        <x:v>100000</x:v>
      </x:c>
      <x:c r="G26" s="9" t="n">
        <x:v>2.002678227164764</x:v>
      </x:c>
      <x:c r="H26" s="9" t="n">
        <x:v>3.145512297081284</x:v>
      </x:c>
      <x:c r="I26" s="9" t="n">
        <x:v>4.288569698933082</x:v>
      </x:c>
      <x:c r="J26" s="2"/>
      <x:c r="K26" s="2"/>
      <x:c r="L26" s="2"/>
    </x:row>
    <x:row r="27" ht="27" customHeight="1">
      <x:c r="A27" s="2"/>
      <x:c r="B27" s="2" t="str">
        <x:v>Fabric &amp; Home volume</x:v>
      </x:c>
      <x:c r="C27" s="10" t="n">
        <x:v>48629</x:v>
      </x:c>
      <x:c r="D27" s="10" t="n">
        <x:v>41656</x:v>
      </x:c>
      <x:c r="E27" s="10" t="n">
        <x:v>9715</x:v>
      </x:c>
      <x:c r="F27" s="10" t="n">
        <x:v>100000</x:v>
      </x:c>
      <x:c r="G27" s="9" t="n">
        <x:v>-2.877149623047858</x:v>
      </x:c>
      <x:c r="H27" s="9" t="n">
        <x:v>-0.9550097458061524</x:v>
      </x:c>
      <x:c r="I27" s="9" t="n">
        <x:v>0.9718722957236746</x:v>
      </x:c>
      <x:c r="J27" s="2"/>
      <x:c r="K27" s="2"/>
      <x:c r="L27" s="2"/>
    </x:row>
    <x:row r="28" ht="27" customHeight="1">
      <x:c r="A28" s="2"/>
      <x:c r="B28" s="2" t="str">
        <x:v>Health Care pricing</x:v>
      </x:c>
      <x:c r="C28" s="10" t="n">
        <x:v>30593</x:v>
      </x:c>
      <x:c r="D28" s="10" t="n">
        <x:v>64514</x:v>
      </x:c>
      <x:c r="E28" s="10" t="n">
        <x:v>4893</x:v>
      </x:c>
      <x:c r="F28" s="10" t="n">
        <x:v>100000</x:v>
      </x:c>
      <x:c r="G28" s="9" t="n">
        <x:v>0.963597510499273</x:v>
      </x:c>
      <x:c r="H28" s="9" t="n">
        <x:v>2.1023255454154706</x:v>
      </x:c>
      <x:c r="I28" s="9" t="n">
        <x:v>3.2436077431169497</x:v>
      </x:c>
      <x:c r="J28" s="2"/>
      <x:c r="K28" s="2"/>
      <x:c r="L28" s="2"/>
    </x:row>
    <x:row r="29" ht="27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7" customHeight="1">
      <x:c r="A30" s="2"/>
      <x:c r="B30" s="2" t="str">
        <x:v>Counts are imported from a seeded 100,000-draw Python run. Rerun analysis to change simulation assumptions.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7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7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70" customHeight="1">
      <x:c r="A33" s="2"/>
      <x:c r="B33" s="7" t="str">
        <x:v>Historical error quarter</x:v>
      </x:c>
      <x:c r="C33" s="7" t="str">
        <x:v>Baby / Feminine / Family volume</x:v>
      </x:c>
      <x:c r="D33" s="7" t="str">
        <x:v>Beauty organic sales</x:v>
      </x:c>
      <x:c r="E33" s="7" t="str">
        <x:v>Beauty volume</x:v>
      </x:c>
      <x:c r="F33" s="7" t="str">
        <x:v>Beauty pricing</x:v>
      </x:c>
      <x:c r="G33" s="7" t="str">
        <x:v>Fabric &amp; Home volume</x:v>
      </x:c>
      <x:c r="H33" s="7" t="str">
        <x:v>Health Care pricing</x:v>
      </x:c>
      <x:c r="I33" s="2"/>
      <x:c r="J33" s="2"/>
      <x:c r="K33" s="2"/>
      <x:c r="L33" s="2"/>
    </x:row>
    <x:row r="34" ht="27" customHeight="1">
      <x:c r="A34" s="2"/>
      <x:c r="B34" s="2" t="str">
        <x:v>2024-09-30</x:v>
      </x:c>
      <x:c r="C34" s="9" t="n">
        <x:v>1.0072610213353066</x:v>
      </x:c>
      <x:c r="D34" s="9" t="n">
        <x:v>-4.954791148043352</x:v>
      </x:c>
      <x:c r="E34" s="9" t="n">
        <x:v>-1</x:v>
      </x:c>
      <x:c r="F34" s="9" t="n">
        <x:v>-1.7604172900995416</x:v>
      </x:c>
      <x:c r="G34" s="9" t="n">
        <x:v>1</x:v>
      </x:c>
      <x:c r="H34" s="9" t="n">
        <x:v>-0.6610083394945341</x:v>
      </x:c>
      <x:c r="I34" s="2"/>
      <x:c r="J34" s="2"/>
      <x:c r="K34" s="2"/>
      <x:c r="L34" s="2"/>
    </x:row>
    <x:row r="35" ht="27" customHeight="1">
      <x:c r="A35" s="2"/>
      <x:c r="B35" s="2" t="str">
        <x:v>2024-12-31</x:v>
      </x:c>
      <x:c r="C35" s="9" t="n">
        <x:v>5.862489404553953</x:v>
      </x:c>
      <x:c r="D35" s="9" t="n">
        <x:v>-1.2578599650684525</x:v>
      </x:c>
      <x:c r="E35" s="9" t="n">
        <x:v>-1</x:v>
      </x:c>
      <x:c r="F35" s="9" t="n">
        <x:v>-1.3161339469800235</x:v>
      </x:c>
      <x:c r="G35" s="9" t="n">
        <x:v>0.75</x:v>
      </x:c>
      <x:c r="H35" s="9" t="n">
        <x:v>-0.43099431367808916</x:v>
      </x:c>
      <x:c r="I35" s="2"/>
      <x:c r="J35" s="2"/>
      <x:c r="K35" s="2"/>
      <x:c r="L35" s="2"/>
    </x:row>
    <x:row r="36" ht="27" customHeight="1">
      <x:c r="A36" s="2"/>
      <x:c r="B36" s="2" t="str">
        <x:v>2025-03-31</x:v>
      </x:c>
      <x:c r="C36" s="9" t="n">
        <x:v>-0.20767490774109354</x:v>
      </x:c>
      <x:c r="D36" s="9" t="n">
        <x:v>-1.4413529741365867</x:v>
      </x:c>
      <x:c r="E36" s="9" t="n">
        <x:v>1</x:v>
      </x:c>
      <x:c r="F36" s="9" t="n">
        <x:v>0.017324489009422184</x:v>
      </x:c>
      <x:c r="G36" s="9" t="n">
        <x:v>-1.5</x:v>
      </x:c>
      <x:c r="H36" s="9" t="n">
        <x:v>-0.5116233758229449</x:v>
      </x:c>
      <x:c r="I36" s="2"/>
      <x:c r="J36" s="2"/>
      <x:c r="K36" s="2"/>
      <x:c r="L36" s="2"/>
    </x:row>
    <x:row r="37" ht="27" customHeight="1">
      <x:c r="A37" s="2"/>
      <x:c r="B37" s="2" t="str">
        <x:v>2025-06-30</x:v>
      </x:c>
      <x:c r="C37" s="9" t="n">
        <x:v>1.410079311365218</x:v>
      </x:c>
      <x:c r="D37" s="9" t="n">
        <x:v>-2.4546356196306878</x:v>
      </x:c>
      <x:c r="E37" s="9" t="n">
        <x:v>1</x:v>
      </x:c>
      <x:c r="F37" s="9" t="n">
        <x:v>-1.7277349172647112</x:v>
      </x:c>
      <x:c r="G37" s="9" t="n">
        <x:v>-1.75</x:v>
      </x:c>
      <x:c r="H37" s="9" t="n">
        <x:v>-0.5776597079802979</x:v>
      </x:c>
      <x:c r="I37" s="2"/>
      <x:c r="J37" s="2"/>
      <x:c r="K37" s="2"/>
      <x:c r="L37" s="2"/>
    </x:row>
    <x:row r="38" ht="27" customHeight="1">
      <x:c r="A38" s="2"/>
      <x:c r="B38" s="2" t="str">
        <x:v>2025-09-30</x:v>
      </x:c>
      <x:c r="C38" s="9" t="n">
        <x:v>1.416490729360728</x:v>
      </x:c>
      <x:c r="D38" s="9" t="n">
        <x:v>3.245127635187321</x:v>
      </x:c>
      <x:c r="E38" s="9" t="n">
        <x:v>3</x:v>
      </x:c>
      <x:c r="F38" s="9" t="n">
        <x:v>-0.43818244031548126</x:v>
      </x:c>
      <x:c r="G38" s="9" t="n">
        <x:v>-3.5</x:v>
      </x:c>
      <x:c r="H38" s="9" t="n">
        <x:v>-0.49149035317805256</x:v>
      </x:c>
      <x:c r="I38" s="2"/>
      <x:c r="J38" s="2"/>
      <x:c r="K38" s="2"/>
      <x:c r="L38" s="2"/>
    </x:row>
    <x:row r="39" ht="27" customHeight="1">
      <x:c r="A39" s="2"/>
      <x:c r="B39" s="2" t="str">
        <x:v>2025-12-31</x:v>
      </x:c>
      <x:c r="C39" s="9" t="n">
        <x:v>-3.698516187914717</x:v>
      </x:c>
      <x:c r="D39" s="9" t="n">
        <x:v>1.0050806551898823</x:v>
      </x:c>
      <x:c r="E39" s="9" t="n">
        <x:v>2</x:v>
      </x:c>
      <x:c r="F39" s="9" t="n">
        <x:v>-1.7386979218094685</x:v>
      </x:c>
      <x:c r="G39" s="9" t="n">
        <x:v>-0.75</x:v>
      </x:c>
      <x:c r="H39" s="9" t="n">
        <x:v>-0.8021374109908532</x:v>
      </x:c>
      <x:c r="I39" s="2"/>
      <x:c r="J39" s="2"/>
      <x:c r="K39" s="2"/>
      <x:c r="L39" s="2"/>
    </x:row>
    <x:row r="40" ht="27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7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46" customHeight="1">
      <x:c r="A42" s="2"/>
      <x:c r="B42" s="7" t="str">
        <x:v>Cost measure</x:v>
      </x:c>
      <x:c r="C42" s="7" t="str">
        <x:v>Driver</x:v>
      </x:c>
      <x:c r="D42" s="7" t="str">
        <x:v>Basis points</x:v>
      </x:c>
      <x:c r="E42" s="2"/>
      <x:c r="F42" s="2"/>
      <x:c r="G42" s="2"/>
      <x:c r="H42" s="2"/>
      <x:c r="I42" s="2"/>
      <x:c r="J42" s="2"/>
      <x:c r="K42" s="2"/>
      <x:c r="L42" s="2"/>
    </x:row>
    <x:row r="43" ht="42" customHeight="1">
      <x:c r="A43" s="2"/>
      <x:c r="B43" s="2" t="str">
        <x:v>Core gross margin</x:v>
      </x:c>
      <x:c r="C43" s="11" t="str">
        <x:v>Productivity</x:v>
      </x:c>
      <x:c r="D43" s="2" t="n">
        <x:v>160</x:v>
      </x:c>
      <x:c r="E43" s="2"/>
      <x:c r="F43" s="2"/>
      <x:c r="G43" s="2"/>
      <x:c r="H43" s="2"/>
      <x:c r="I43" s="2"/>
      <x:c r="J43" s="2"/>
      <x:c r="K43" s="2"/>
      <x:c r="L43" s="2"/>
    </x:row>
    <x:row r="44" ht="42" customHeight="1">
      <x:c r="A44" s="2"/>
      <x:c r="B44" s="2" t="str">
        <x:v>Core gross margin</x:v>
      </x:c>
      <x:c r="C44" s="11" t="str">
        <x:v>Net tariffs / recoveries</x:v>
      </x:c>
      <x:c r="D44" s="2" t="n">
        <x:v>40</x:v>
      </x:c>
      <x:c r="E44" s="2"/>
      <x:c r="F44" s="2"/>
      <x:c r="G44" s="2"/>
      <x:c r="H44" s="2"/>
      <x:c r="I44" s="2"/>
      <x:c r="J44" s="2"/>
      <x:c r="K44" s="2"/>
      <x:c r="L44" s="2"/>
    </x:row>
    <x:row r="45" ht="42" customHeight="1">
      <x:c r="A45" s="2"/>
      <x:c r="B45" s="2" t="str">
        <x:v>Core gross margin</x:v>
      </x:c>
      <x:c r="C45" s="11" t="str">
        <x:v>Other / rounding</x:v>
      </x:c>
      <x:c r="D45" s="2" t="n">
        <x:v>20</x:v>
      </x:c>
      <x:c r="E45" s="2"/>
      <x:c r="F45" s="2"/>
      <x:c r="G45" s="2"/>
      <x:c r="H45" s="2"/>
      <x:c r="I45" s="2"/>
      <x:c r="J45" s="2"/>
      <x:c r="K45" s="2"/>
      <x:c r="L45" s="2"/>
    </x:row>
    <x:row r="46" ht="42" customHeight="1">
      <x:c r="A46" s="2"/>
      <x:c r="B46" s="2" t="str">
        <x:v>Core gross margin</x:v>
      </x:c>
      <x:c r="C46" s="11" t="str">
        <x:v>Pricing</x:v>
      </x:c>
      <x:c r="D46" s="2" t="n">
        <x:v>10</x:v>
      </x:c>
      <x:c r="E46" s="2"/>
      <x:c r="F46" s="2"/>
      <x:c r="G46" s="2"/>
      <x:c r="H46" s="2"/>
      <x:c r="I46" s="2"/>
      <x:c r="J46" s="2"/>
      <x:c r="K46" s="2"/>
      <x:c r="L46" s="2"/>
    </x:row>
    <x:row r="47" ht="42" customHeight="1">
      <x:c r="A47" s="2"/>
      <x:c r="B47" s="2" t="str">
        <x:v>Core gross margin</x:v>
      </x:c>
      <x:c r="C47" s="11" t="str">
        <x:v>Product mix</x:v>
      </x:c>
      <x:c r="D47" s="2" t="n">
        <x:v>-120</x:v>
      </x:c>
      <x:c r="E47" s="2"/>
      <x:c r="F47" s="2"/>
      <x:c r="G47" s="2"/>
      <x:c r="H47" s="2"/>
      <x:c r="I47" s="2"/>
      <x:c r="J47" s="2"/>
      <x:c r="K47" s="2"/>
      <x:c r="L47" s="2"/>
    </x:row>
    <x:row r="48" ht="42" customHeight="1">
      <x:c r="A48" s="2"/>
      <x:c r="B48" s="2" t="str">
        <x:v>Core gross margin</x:v>
      </x:c>
      <x:c r="C48" s="11" t="str">
        <x:v>Product / pack investment</x:v>
      </x:c>
      <x:c r="D48" s="2" t="n">
        <x:v>-70</x:v>
      </x:c>
      <x:c r="E48" s="2"/>
      <x:c r="F48" s="2"/>
      <x:c r="G48" s="2"/>
      <x:c r="H48" s="2"/>
      <x:c r="I48" s="2"/>
      <x:c r="J48" s="2"/>
      <x:c r="K48" s="2"/>
      <x:c r="L48" s="2"/>
    </x:row>
    <x:row r="49" ht="42" customHeight="1">
      <x:c r="A49" s="2"/>
      <x:c r="B49" s="2" t="str">
        <x:v>Core gross margin</x:v>
      </x:c>
      <x:c r="C49" s="11" t="str">
        <x:v>Commodities</x:v>
      </x:c>
      <x:c r="D49" s="2" t="n">
        <x:v>-40</x:v>
      </x:c>
      <x:c r="E49" s="2"/>
      <x:c r="F49" s="2"/>
      <x:c r="G49" s="2"/>
      <x:c r="H49" s="2"/>
      <x:c r="I49" s="2"/>
      <x:c r="J49" s="2"/>
      <x:c r="K49" s="2"/>
      <x:c r="L49" s="2"/>
    </x:row>
    <x:row r="50" ht="42" customHeight="1">
      <x:c r="A50" s="2"/>
      <x:c r="B50" s="2" t="str">
        <x:v>Core SG&amp;A ratio</x:v>
      </x:c>
      <x:c r="C50" s="11" t="str">
        <x:v>Reinvestment, mainly marketing</x:v>
      </x:c>
      <x:c r="D50" s="2" t="n">
        <x:v>410</x:v>
      </x:c>
      <x:c r="E50" s="2"/>
      <x:c r="F50" s="2"/>
      <x:c r="G50" s="2"/>
      <x:c r="H50" s="2"/>
      <x:c r="I50" s="2"/>
      <x:c r="J50" s="2"/>
      <x:c r="K50" s="2"/>
      <x:c r="L50" s="2"/>
    </x:row>
    <x:row r="51" ht="42" customHeight="1">
      <x:c r="A51" s="2"/>
      <x:c r="B51" s="2" t="str">
        <x:v>Core SG&amp;A ratio</x:v>
      </x:c>
      <x:c r="C51" s="11" t="str">
        <x:v>Other / rounding</x:v>
      </x:c>
      <x:c r="D51" s="2" t="n">
        <x:v>20</x:v>
      </x:c>
      <x:c r="E51" s="2"/>
      <x:c r="F51" s="2"/>
      <x:c r="G51" s="2"/>
      <x:c r="H51" s="2"/>
      <x:c r="I51" s="2"/>
      <x:c r="J51" s="2"/>
      <x:c r="K51" s="2"/>
      <x:c r="L51" s="2"/>
    </x:row>
    <x:row r="52" ht="42" customHeight="1">
      <x:c r="A52" s="2"/>
      <x:c r="B52" s="2" t="str">
        <x:v>Core SG&amp;A ratio</x:v>
      </x:c>
      <x:c r="C52" s="11" t="str">
        <x:v>Productivity</x:v>
      </x:c>
      <x:c r="D52" s="2" t="n">
        <x:v>-300</x:v>
      </x:c>
      <x:c r="E52" s="2"/>
      <x:c r="F52" s="2"/>
      <x:c r="G52" s="2"/>
      <x:c r="H52" s="2"/>
      <x:c r="I52" s="2"/>
      <x:c r="J52" s="2"/>
      <x:c r="K52" s="2"/>
      <x:c r="L52" s="2"/>
    </x:row>
    <x:row r="53" ht="27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7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46" customHeight="1">
      <x:c r="A55" s="2"/>
      <x:c r="B55" s="7" t="str">
        <x:v>US market YoY %</x:v>
      </x:c>
      <x:c r="C55" s="7" t="str">
        <x:v>24-Apr forecast</x:v>
      </x:c>
      <x:c r="D55" s="7" t="str">
        <x:v>1-Aug vintage</x:v>
      </x:c>
      <x:c r="E55" s="2"/>
      <x:c r="F55" s="2"/>
      <x:c r="G55" s="2"/>
      <x:c r="H55" s="2"/>
      <x:c r="I55" s="2"/>
      <x:c r="J55" s="2"/>
      <x:c r="K55" s="2"/>
      <x:c r="L55" s="2"/>
    </x:row>
    <x:row r="56" ht="27" customHeight="1">
      <x:c r="A56" s="2"/>
      <x:c r="B56" s="2" t="str">
        <x:v>PCENDC96</x:v>
      </x:c>
      <x:c r="C56" s="9" t="n">
        <x:v>1.3039748661953787</x:v>
      </x:c>
      <x:c r="D56" s="9" t="n">
        <x:v>2.2929415789273655</x:v>
      </x:c>
      <x:c r="E56" s="2"/>
      <x:c r="F56" s="2"/>
      <x:c r="G56" s="2"/>
      <x:c r="H56" s="2"/>
      <x:c r="I56" s="2"/>
      <x:c r="J56" s="2"/>
      <x:c r="K56" s="2"/>
      <x:c r="L56" s="2"/>
    </x:row>
    <x:row r="57" ht="27" customHeight="1">
      <x:c r="A57" s="2"/>
      <x:c r="B57" s="2" t="str">
        <x:v>RSHPCS</x:v>
      </x:c>
      <x:c r="C57" s="9" t="n">
        <x:v>1.7837994246906463</x:v>
      </x:c>
      <x:c r="D57" s="9" t="n">
        <x:v>2.3335773008118954</x:v>
      </x:c>
      <x:c r="E57" s="2"/>
      <x:c r="F57" s="2"/>
      <x:c r="G57" s="2"/>
      <x:c r="H57" s="2"/>
      <x:c r="I57" s="2"/>
      <x:c r="J57" s="2"/>
      <x:c r="K57" s="2"/>
      <x:c r="L57" s="2"/>
    </x:row>
    <x:row r="58" ht="27" customHeight="1">
      <x:c r="A58" s="2"/>
      <x:c r="B58" s="2" t="str">
        <x:v>CUUR0000SEGB02</x:v>
      </x:c>
      <x:c r="C58" s="9" t="n">
        <x:v>1.578877328393169</x:v>
      </x:c>
      <x:c r="D58" s="9" t="n">
        <x:v>2.644536352525484</x:v>
      </x:c>
      <x:c r="E58" s="2"/>
      <x:c r="F58" s="2"/>
      <x:c r="G58" s="2"/>
      <x:c r="H58" s="2"/>
      <x:c r="I58" s="2"/>
      <x:c r="J58" s="2"/>
      <x:c r="K58" s="2"/>
      <x:c r="L58" s="2"/>
    </x:row>
    <x:row r="59" ht="27" customHeight="1">
      <x:c r="A59" s="2"/>
      <x:c r="B59" s="2" t="str">
        <x:v>CUUR0000SEGB</x:v>
      </x:c>
      <x:c r="C59" s="9" t="n">
        <x:v>2.183289558800894</x:v>
      </x:c>
      <x:c r="D59" s="9" t="n">
        <x:v>2.6822636221587537</x:v>
      </x:c>
      <x:c r="E59" s="2"/>
      <x:c r="F59" s="2"/>
      <x:c r="G59" s="2"/>
      <x:c r="H59" s="2"/>
      <x:c r="I59" s="2"/>
      <x:c r="J59" s="2"/>
      <x:c r="K59" s="2"/>
      <x:c r="L59" s="2"/>
    </x:row>
    <x:row r="60" ht="27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7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46" customHeight="1">
      <x:c r="A62" s="2"/>
      <x:c r="B62" s="7" t="str">
        <x:v>Source ID</x:v>
      </x:c>
      <x:c r="C62" s="7" t="str">
        <x:v>Published / period</x:v>
      </x:c>
      <x:c r="D62" s="7" t="str">
        <x:v>Original link</x:v>
      </x:c>
      <x:c r="E62" s="2"/>
      <x:c r="F62" s="2"/>
      <x:c r="G62" s="2"/>
      <x:c r="H62" s="2"/>
      <x:c r="I62" s="2"/>
      <x:c r="J62" s="2"/>
      <x:c r="K62" s="2"/>
      <x:c r="L62" s="2"/>
    </x:row>
    <x:row r="63" ht="42" customHeight="1">
      <x:c r="A63" s="2"/>
      <x:c r="B63" s="2" t="str">
        <x:v>PGQ4</x:v>
      </x:c>
      <x:c r="C63" s="11" t="str">
        <x:v>2026-07-29</x:v>
      </x:c>
      <x:c r="D63" s="2" t="str">
        <x:v>https://www.pginvestor.com/news/news-details/2026/PG-Announces-Fourth-Quarter-and-Fiscal-Year-2026-Results/default.aspx</x:v>
      </x:c>
      <x:c r="E63" s="2"/>
      <x:c r="F63" s="2"/>
      <x:c r="G63" s="2"/>
      <x:c r="H63" s="2"/>
      <x:c r="I63" s="2"/>
      <x:c r="J63" s="2"/>
      <x:c r="K63" s="2"/>
      <x:c r="L63" s="2"/>
    </x:row>
    <x:row r="64" ht="42" customHeight="1">
      <x:c r="A64" s="2"/>
      <x:c r="B64" s="2" t="str">
        <x:v>PGQ3</x:v>
      </x:c>
      <x:c r="C64" s="11" t="str">
        <x:v>2026-04-24</x:v>
      </x:c>
      <x:c r="D64" s="2" t="str">
        <x:v>https://www.pginvestor.com/news/news-details/2026/PG-Announces-Fiscal-Year-2026-Third-Quarter-Results/default.aspx</x:v>
      </x:c>
      <x:c r="E64" s="2"/>
      <x:c r="F64" s="2"/>
      <x:c r="G64" s="2"/>
      <x:c r="H64" s="2"/>
      <x:c r="I64" s="2"/>
      <x:c r="J64" s="2"/>
      <x:c r="K64" s="2"/>
      <x:c r="L64" s="2"/>
    </x:row>
    <x:row r="65" ht="42" customHeight="1">
      <x:c r="A65" s="2"/>
      <x:c r="B65" s="2" t="str">
        <x:v>PGAR</x:v>
      </x:c>
      <x:c r="C65" s="11" t="str">
        <x:v>FY ended 2026-06-30; available after forecast cutoff</x:v>
      </x:c>
      <x:c r="D65" s="2" t="str">
        <x:v>https://www.sec.gov/Archives/edgar/data/80424/000119312526372220/pg_ars_2026.pdf</x:v>
      </x:c>
      <x:c r="E65" s="2"/>
      <x:c r="F65" s="2"/>
      <x:c r="G65" s="2"/>
      <x:c r="H65" s="2"/>
      <x:c r="I65" s="2"/>
      <x:c r="J65" s="2"/>
      <x:c r="K65" s="2"/>
      <x:c r="L65" s="2"/>
    </x:row>
    <x:row r="66" ht="42" customHeight="1">
      <x:c r="A66" s="2"/>
      <x:c r="B66" s="2" t="str">
        <x:v>BEA</x:v>
      </x:c>
      <x:c r="C66" s="11" t="str">
        <x:v>2026-07-30</x:v>
      </x:c>
      <x:c r="D66" s="2" t="str">
        <x:v>https://www.bea.gov/news/2026/personal-income-and-outlays-june-2026</x:v>
      </x:c>
      <x:c r="E66" s="2"/>
      <x:c r="F66" s="2"/>
      <x:c r="G66" s="2"/>
      <x:c r="H66" s="2"/>
      <x:c r="I66" s="2"/>
      <x:c r="J66" s="2"/>
      <x:c r="K66" s="2"/>
      <x:c r="L66" s="2"/>
    </x:row>
    <x:row r="67" ht="42" customHeight="1">
      <x:c r="A67" s="2"/>
      <x:c r="B67" s="2" t="str">
        <x:v>NBS04</x:v>
      </x:c>
      <x:c r="C67" s="11" t="str">
        <x:v>2026-05-19</x:v>
      </x:c>
      <x:c r="D67" s="2" t="str">
        <x:v>https://www.stats.gov.cn/english/PressRelease/202605/t20260519_1963757.html</x:v>
      </x:c>
      <x:c r="E67" s="2"/>
      <x:c r="F67" s="2"/>
      <x:c r="G67" s="2"/>
      <x:c r="H67" s="2"/>
      <x:c r="I67" s="2"/>
      <x:c r="J67" s="2"/>
      <x:c r="K67" s="2"/>
      <x:c r="L67" s="2"/>
    </x:row>
    <x:row r="68" ht="42" customHeight="1">
      <x:c r="A68" s="2"/>
      <x:c r="B68" s="2" t="str">
        <x:v>NBS05</x:v>
      </x:c>
      <x:c r="C68" s="11" t="str">
        <x:v>2026-06-17</x:v>
      </x:c>
      <x:c r="D68" s="2" t="str">
        <x:v>https://www.stats.gov.cn/english/PressRelease/202606/t20260617_1963969.html</x:v>
      </x:c>
      <x:c r="E68" s="2"/>
      <x:c r="F68" s="2"/>
      <x:c r="G68" s="2"/>
      <x:c r="H68" s="2"/>
      <x:c r="I68" s="2"/>
      <x:c r="J68" s="2"/>
      <x:c r="K68" s="2"/>
      <x:c r="L68" s="2"/>
    </x:row>
    <x:row r="69" ht="42" customHeight="1">
      <x:c r="A69" s="2"/>
      <x:c r="B69" s="2" t="str">
        <x:v>NBS06</x:v>
      </x:c>
      <x:c r="C69" s="11" t="str">
        <x:v>2026-07-16 as displayed on page</x:v>
      </x:c>
      <x:c r="D69" s="2" t="str">
        <x:v>https://www.stats.gov.cn/english/PressRelease/202607/t20260717_1964156.html</x:v>
      </x:c>
      <x:c r="E69" s="2"/>
      <x:c r="F69" s="2"/>
      <x:c r="G69" s="2"/>
      <x:c r="H69" s="2"/>
      <x:c r="I69" s="2"/>
      <x:c r="J69" s="2"/>
      <x:c r="K69" s="2"/>
      <x:c r="L69" s="2"/>
    </x:row>
    <x:row r="70" ht="42" customHeight="1">
      <x:c r="A70" s="2"/>
      <x:c r="B70" s="2" t="str">
        <x:v>UL</x:v>
      </x:c>
      <x:c r="C70" s="11" t="str">
        <x:v>2026-07-28</x:v>
      </x:c>
      <x:c r="D70" s="2" t="str">
        <x:v>https://www.unilever.com/files/unilever-q2-2026-results-full-announcement.pdf</x:v>
      </x:c>
      <x:c r="E70" s="2"/>
      <x:c r="F70" s="2"/>
      <x:c r="G70" s="2"/>
      <x:c r="H70" s="2"/>
      <x:c r="I70" s="2"/>
      <x:c r="J70" s="2"/>
      <x:c r="K70" s="2"/>
      <x:c r="L70" s="2"/>
    </x:row>
    <x:row r="71" ht="42" customHeight="1">
      <x:c r="A71" s="2"/>
      <x:c r="B71" s="2" t="str">
        <x:v>CL</x:v>
      </x:c>
      <x:c r="C71" s="11" t="str">
        <x:v>2026-07-31</x:v>
      </x:c>
      <x:c r="D71" s="2" t="str">
        <x:v>https://investor.colgatepalmolive.com/static-files/ca92df4c-8d85-4df1-bf67-c2b76b8b36fe</x:v>
      </x:c>
      <x:c r="E71" s="2"/>
      <x:c r="F71" s="2"/>
      <x:c r="G71" s="2"/>
      <x:c r="H71" s="2"/>
      <x:c r="I71" s="2"/>
      <x:c r="J71" s="2"/>
      <x:c r="K71" s="2"/>
      <x:c r="L71" s="2"/>
    </x:row>
    <x:row r="72" ht="42" customHeight="1">
      <x:c r="A72" s="2"/>
      <x:c r="B72" s="2" t="str">
        <x:v>KMB</x:v>
      </x:c>
      <x:c r="C72" s="11" t="str">
        <x:v>2026-08-04</x:v>
      </x:c>
      <x:c r="D72" s="2" t="str">
        <x:v>https://www.investor.kimberly-clark.com/news-releases/news-release-details/kimberly-clark-announces-second-quarter-and-first-half-2026</x:v>
      </x:c>
      <x:c r="E72" s="2"/>
      <x:c r="F72" s="2"/>
      <x:c r="G72" s="2"/>
      <x:c r="H72" s="2"/>
      <x:c r="I72" s="2"/>
      <x:c r="J72" s="2"/>
      <x:c r="K72" s="2"/>
      <x:c r="L72" s="2"/>
    </x:row>
    <x:row r="73" ht="42" customHeight="1">
      <x:c r="A73" s="2"/>
      <x:c r="B73" s="2" t="str">
        <x:v>MARKET</x:v>
      </x:c>
      <x:c r="C73" s="11" t="str">
        <x:v>2026-04-24 and 2026-08-01</x:v>
      </x:c>
      <x:c r="D73" s="2" t="str">
        <x:v>https://alfred.stlouisfed.org/</x:v>
      </x:c>
      <x:c r="E73" s="2"/>
      <x:c r="F73" s="2"/>
      <x:c r="G73" s="2"/>
      <x:c r="H73" s="2"/>
      <x:c r="I73" s="2"/>
      <x:c r="J73" s="2"/>
      <x:c r="K73" s="2"/>
      <x:c r="L73" s="2"/>
    </x:row>
    <x:row r="74" ht="27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7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46" customHeight="1">
      <x:c r="A76" s="2"/>
      <x:c r="B76" s="7" t="str">
        <x:v>Annual context ($m)</x:v>
      </x:c>
      <x:c r="C76" s="7" t="str">
        <x:v>FY2025</x:v>
      </x:c>
      <x:c r="D76" s="7" t="str">
        <x:v>FY2026</x:v>
      </x:c>
      <x:c r="E76" s="2"/>
      <x:c r="F76" s="2"/>
      <x:c r="G76" s="2"/>
      <x:c r="H76" s="2"/>
      <x:c r="I76" s="2"/>
      <x:c r="J76" s="2"/>
      <x:c r="K76" s="2"/>
      <x:c r="L76" s="2"/>
    </x:row>
    <x:row r="77" ht="27" customHeight="1">
      <x:c r="A77" s="2"/>
      <x:c r="B77" s="2" t="str">
        <x:v>Advertising costs</x:v>
      </x:c>
      <x:c r="C77" s="8" t="n">
        <x:v>9200</x:v>
      </x:c>
      <x:c r="D77" s="8" t="n">
        <x:v>10200</x:v>
      </x:c>
      <x:c r="E77" s="2"/>
      <x:c r="F77" s="2"/>
      <x:c r="G77" s="2"/>
      <x:c r="H77" s="2"/>
      <x:c r="I77" s="2"/>
      <x:c r="J77" s="2"/>
      <x:c r="K77" s="2"/>
      <x:c r="L77" s="2"/>
    </x:row>
    <x:row r="78" ht="27" customHeight="1">
      <x:c r="A78" s="2"/>
      <x:c r="B78" s="2" t="str">
        <x:v>Research and development</x:v>
      </x:c>
      <x:c r="C78" s="8" t="n">
        <x:v>2100</x:v>
      </x:c>
      <x:c r="D78" s="8" t="n">
        <x:v>2100</x:v>
      </x:c>
      <x:c r="E78" s="2"/>
      <x:c r="F78" s="2"/>
      <x:c r="G78" s="2"/>
      <x:c r="H78" s="2"/>
      <x:c r="I78" s="2"/>
      <x:c r="J78" s="2"/>
      <x:c r="K78" s="2"/>
      <x:c r="L78" s="2"/>
    </x:row>
    <x:row r="79" ht="27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27" customHeight="1">
      <x:c r="A80" s="2"/>
      <x:c r="B80" s="2" t="str">
        <x:v>Annual advertising is not quarterly advertising; SG&amp;A reinvestment is not an advertising-only dollar figure.</x:v>
      </x:c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 ht="27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 ht="27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 ht="46" customHeight="1">
      <x:c r="A83" s="2"/>
      <x:c r="B83" s="7" t="str">
        <x:v>Assumption</x:v>
      </x:c>
      <x:c r="C83" s="7" t="str">
        <x:v>Value</x:v>
      </x:c>
      <x:c r="D83" s="7" t="str">
        <x:v>Purpose</x:v>
      </x:c>
      <x:c r="E83" s="2"/>
      <x:c r="F83" s="2"/>
      <x:c r="G83" s="2"/>
      <x:c r="H83" s="2"/>
      <x:c r="I83" s="2"/>
      <x:c r="J83" s="2"/>
      <x:c r="K83" s="2"/>
      <x:c r="L83" s="2"/>
    </x:row>
    <x:row r="84" ht="42" customHeight="1">
      <x:c r="A84" s="2"/>
      <x:c r="B84" s="2" t="str">
        <x:v>Minimum error SD (pp)</x:v>
      </x:c>
      <x:c r="C84" s="12" t="n">
        <x:v>1</x:v>
      </x:c>
      <x:c r="D84" s="11" t="str">
        <x:v>Analyst floor, tested against no floor</x:v>
      </x:c>
      <x:c r="E84" s="2"/>
      <x:c r="F84" s="2"/>
      <x:c r="G84" s="2"/>
      <x:c r="H84" s="2"/>
      <x:c r="I84" s="2"/>
      <x:c r="J84" s="2"/>
      <x:c r="K84" s="2"/>
      <x:c r="L84" s="2"/>
    </x:row>
    <x:row r="85" ht="42" customHeight="1">
      <x:c r="A85" s="2"/>
      <x:c r="B85" s="2" t="str">
        <x:v>Student t degrees of freedom</x:v>
      </x:c>
      <x:c r="C85" s="12" t="n">
        <x:v>5</x:v>
      </x:c>
      <x:c r="D85" s="11" t="str">
        <x:v>Heavy-tail assumption</x:v>
      </x:c>
      <x:c r="E85" s="2"/>
      <x:c r="F85" s="2"/>
      <x:c r="G85" s="2"/>
      <x:c r="H85" s="2"/>
      <x:c r="I85" s="2"/>
      <x:c r="J85" s="2"/>
      <x:c r="K85" s="2"/>
      <x:c r="L85" s="2"/>
    </x:row>
    <x:row r="86" ht="42" customHeight="1">
      <x:c r="A86" s="2"/>
      <x:c r="B86" s="2" t="str">
        <x:v>Correlation shrinkage</x:v>
      </x:c>
      <x:c r="C86" s="12" t="n">
        <x:v>0.5</x:v>
      </x:c>
      <x:c r="D86" s="11" t="str">
        <x:v>Reduce noisy historical correlation</x:v>
      </x:c>
      <x:c r="E86" s="2"/>
      <x:c r="F86" s="2"/>
      <x:c r="G86" s="2"/>
      <x:c r="H86" s="2"/>
      <x:c r="I86" s="2"/>
      <x:c r="J86" s="2"/>
      <x:c r="K86" s="2"/>
      <x:c r="L86" s="2"/>
    </x:row>
    <x:row r="87" ht="27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 ht="27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 ht="27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 ht="27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 ht="27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 ht="27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 ht="27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 ht="27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 ht="27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 ht="27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 ht="27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 ht="27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 ht="27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 ht="27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 ht="27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 ht="27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 ht="27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 ht="27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 ht="27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 ht="27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 ht="27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 ht="27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 ht="27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 ht="27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</x:sheetData>
  <x:pageMargins left="0.7" right="0.7" top="0.75" bottom="0.75" header="0.3" footer="0.3"/>
</x:worksheet>
</file>