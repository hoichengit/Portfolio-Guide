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zhiyimylove/Documents/申请工作/work/pg_external_analysis/outputs/april_guidance_sample/"/>
    </mc:Choice>
  </mc:AlternateContent>
  <xr:revisionPtr revIDLastSave="0" documentId="13_ncr:1_{3488999D-7471-D144-B048-3AB4A1196DFE}" xr6:coauthVersionLast="47" xr6:coauthVersionMax="47" xr10:uidLastSave="{00000000-0000-0000-0000-000000000000}"/>
  <bookViews>
    <workbookView xWindow="0" yWindow="500" windowWidth="30240" windowHeight="19640" xr2:uid="{00000000-000D-0000-FFFF-FFFF00000000}"/>
  </bookViews>
  <sheets>
    <sheet name="Quarter sales tar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E9" i="1" s="1"/>
  <c r="E8" i="1"/>
  <c r="D8" i="1"/>
  <c r="C8" i="1"/>
  <c r="D6" i="1"/>
  <c r="E10" i="1" l="1"/>
  <c r="E11" i="1" s="1"/>
  <c r="E25" i="1"/>
  <c r="D9" i="1"/>
  <c r="C9" i="1"/>
  <c r="D10" i="1" l="1"/>
  <c r="D11" i="1" s="1"/>
  <c r="C10" i="1"/>
  <c r="C11" i="1" s="1"/>
  <c r="D25" i="1" l="1"/>
  <c r="C25" i="1"/>
</calcChain>
</file>

<file path=xl/sharedStrings.xml><?xml version="1.0" encoding="utf-8"?>
<sst xmlns="http://schemas.openxmlformats.org/spreadsheetml/2006/main" count="37" uniqueCount="36">
  <si>
    <t>P&amp;G | Sales needed in April–June</t>
  </si>
  <si>
    <t>Information available: 24 Apr 2026 | Amounts in USD millions</t>
  </si>
  <si>
    <t>Company guidance reference</t>
  </si>
  <si>
    <t>Low</t>
  </si>
  <si>
    <t>Midpoint</t>
  </si>
  <si>
    <t>High</t>
  </si>
  <si>
    <t>FY2026 sales growth</t>
  </si>
  <si>
    <t>Implied FY2026 sales</t>
  </si>
  <si>
    <t>Less: nine-month actual sales</t>
  </si>
  <si>
    <t>Sales needed: Apr–Jun 2026</t>
  </si>
  <si>
    <t>Growth vs Apr–Jun 2025</t>
  </si>
  <si>
    <t>These are implied company targets, not independent scenarios.</t>
  </si>
  <si>
    <t>The midpoint is arithmetic; it is not a company-endorsed base case.</t>
  </si>
  <si>
    <t>Reported sales inputs</t>
  </si>
  <si>
    <t>USD millions</t>
  </si>
  <si>
    <t>Source</t>
  </si>
  <si>
    <t>FY2025 sales</t>
  </si>
  <si>
    <t>S1</t>
  </si>
  <si>
    <t>Apr–Jun 2025 sales</t>
  </si>
  <si>
    <t>Jul–Sep 2025 sales</t>
  </si>
  <si>
    <t>S2</t>
  </si>
  <si>
    <t>Oct–Dec 2025 sales</t>
  </si>
  <si>
    <t>S3</t>
  </si>
  <si>
    <t>Jan–Mar 2026 sales</t>
  </si>
  <si>
    <t>S4</t>
  </si>
  <si>
    <t>Nine-month sales subtotal</t>
  </si>
  <si>
    <t>Check: full-year reconciliation</t>
  </si>
  <si>
    <t>Sources: net sales rows; S4 also supplies the annual growth limits.</t>
  </si>
  <si>
    <t>S1 | 29 Jul 2025</t>
  </si>
  <si>
    <t>https://www.pginvestor.com/news/news-details/2025/PG-Announces-Fourth-Quarter-and-Fiscal-Year-2025-Results/default.aspx</t>
  </si>
  <si>
    <t>S2 | 24 Oct 2025</t>
  </si>
  <si>
    <t>https://www.pginvestor.com/news/news-details/2025/PG-Announces-Fiscal-Year-2026-First-Quarter-Results/default.aspx</t>
  </si>
  <si>
    <t>S3 | 22 Jan 2026</t>
  </si>
  <si>
    <t>https://www.pginvestor.com/news/news-details/2026/PG-Announces-Fiscal-Year-2026-Second-Quarter-Results/default.aspx</t>
  </si>
  <si>
    <t>S4 | 24 Apr 2026</t>
  </si>
  <si>
    <t>https://www.pginvestor.com/news/news-details/2026/PG-Announces-Fiscal-Year-2026-Third-Quarter-Results/default.aspx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</si>
</sst>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;\(0.0%\);0.0%"/>
    <numFmt numFmtId="177" formatCode="&quot;$&quot;#,##0.00;\(&quot;$&quot;#,##0.00\);&quot;$&quot;0.00"/>
    <numFmt numFmtId="178" formatCode="0.00%;\(0.00%\);0.00%"/>
    <numFmt numFmtId="179" formatCode="&quot;$&quot;#,##0;\(&quot;$&quot;#,##0\);&quot;$&quot;0"/>
    <numFmt numFmtId="180" formatCode="0.00;\(0.00\);0.00"/>
  </numFmts>
  <fonts count="10">
    <font>
      <sz val="11"/>
      <name val="Carlito"/>
    </font>
    <font>
      <sz val="12"/>
      <color rgb="FF16324F"/>
      <name val="Arial"/>
      <family val="2"/>
    </font>
    <font>
      <b/>
      <sz val="18"/>
      <color rgb="FF16324F"/>
      <name val="Arial"/>
      <family val="2"/>
    </font>
    <font>
      <b/>
      <sz val="12"/>
      <color rgb="FFFFFFFF"/>
      <name val="Arial"/>
      <family val="2"/>
    </font>
    <font>
      <b/>
      <sz val="12"/>
      <color rgb="FF16324F"/>
      <name val="Arial"/>
      <family val="2"/>
    </font>
    <font>
      <sz val="12"/>
      <color rgb="FF0000FF"/>
      <name val="Arial"/>
      <family val="2"/>
    </font>
    <font>
      <sz val="12"/>
      <color rgb="FF000000"/>
      <name val="Arial"/>
      <family val="2"/>
    </font>
    <font>
      <sz val="10"/>
      <color rgb="FF16324F"/>
      <name val="Arial"/>
      <family val="2"/>
    </font>
    <font>
      <sz val="11"/>
      <name val="Carlito"/>
    </font>
    <font>
      <sz val="9"/>
      <name val="FangSong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EDF3FA"/>
      </patternFill>
    </fill>
    <fill>
      <patternFill patternType="solid">
        <fgColor rgb="FFDFE7E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5">
    <xf numFmtId="0" fontId="0" fillId="0" borderId="0" xfId="0"/>
    <xf numFmtId="0" fontId="1" fillId="0" borderId="0" xfId="1" applyFont="1"/>
    <xf numFmtId="0" fontId="2" fillId="0" borderId="0" xfId="1" applyFont="1"/>
    <xf numFmtId="0" fontId="3" fillId="2" borderId="0" xfId="1" applyFont="1" applyFill="1"/>
    <xf numFmtId="176" fontId="1" fillId="0" borderId="0" xfId="1" applyNumberFormat="1" applyFont="1"/>
    <xf numFmtId="177" fontId="1" fillId="0" borderId="0" xfId="1" applyNumberFormat="1" applyFont="1"/>
    <xf numFmtId="0" fontId="1" fillId="3" borderId="0" xfId="1" applyFont="1" applyFill="1"/>
    <xf numFmtId="0" fontId="4" fillId="3" borderId="0" xfId="1" applyFont="1" applyFill="1"/>
    <xf numFmtId="177" fontId="4" fillId="3" borderId="0" xfId="1" applyNumberFormat="1" applyFont="1" applyFill="1"/>
    <xf numFmtId="178" fontId="4" fillId="3" borderId="0" xfId="1" applyNumberFormat="1" applyFont="1" applyFill="1"/>
    <xf numFmtId="0" fontId="4" fillId="4" borderId="0" xfId="1" applyFont="1" applyFill="1"/>
    <xf numFmtId="179" fontId="5" fillId="0" borderId="0" xfId="1" applyNumberFormat="1" applyFont="1"/>
    <xf numFmtId="179" fontId="6" fillId="3" borderId="0" xfId="1" applyNumberFormat="1" applyFont="1" applyFill="1"/>
    <xf numFmtId="180" fontId="1" fillId="0" borderId="0" xfId="1" applyNumberFormat="1" applyFont="1"/>
    <xf numFmtId="0" fontId="7" fillId="0" borderId="0" xfId="1" applyFont="1"/>
  </cellXfs>
  <cellStyles count="2">
    <cellStyle name="Normal" xfId="1" xr:uid="{00000000-0005-0000-0000-000000000000}"/>
    <cellStyle name="常规" xfId="0" builtinId="0"/>
  </cellStyles>
  <dxfs count="2">
    <dxf>
      <font>
        <color rgb="FF21734B"/>
      </font>
    </dxf>
    <dxf>
      <font>
        <color rgb="FFBA252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showGridLines="0" tabSelected="1" zoomScale="150" zoomScaleNormal="150" workbookViewId="0"/>
  </sheetViews>
  <sheetFormatPr baseColWidth="10" defaultColWidth="8.83203125" defaultRowHeight="14"/>
  <cols>
    <col min="1" max="1" width="3" customWidth="1"/>
    <col min="2" max="2" width="40" customWidth="1"/>
    <col min="3" max="5" width="20" customWidth="1"/>
    <col min="6" max="6" width="3" customWidth="1"/>
  </cols>
  <sheetData>
    <row r="1" spans="1:6" ht="25" customHeight="1">
      <c r="A1" s="1"/>
      <c r="B1" s="1"/>
      <c r="C1" s="1"/>
      <c r="D1" s="1"/>
      <c r="E1" s="1"/>
      <c r="F1" s="1"/>
    </row>
    <row r="2" spans="1:6" ht="25" customHeight="1">
      <c r="A2" s="1"/>
      <c r="B2" s="2" t="s">
        <v>0</v>
      </c>
      <c r="C2" s="1"/>
      <c r="D2" s="1"/>
      <c r="E2" s="1"/>
      <c r="F2" s="1"/>
    </row>
    <row r="3" spans="1:6" ht="25" customHeight="1">
      <c r="A3" s="1"/>
      <c r="B3" s="1" t="s">
        <v>1</v>
      </c>
      <c r="C3" s="1"/>
      <c r="D3" s="1"/>
      <c r="E3" s="1"/>
      <c r="F3" s="1"/>
    </row>
    <row r="4" spans="1:6" ht="25" customHeight="1">
      <c r="A4" s="1"/>
      <c r="B4" s="1"/>
      <c r="C4" s="1"/>
      <c r="D4" s="1"/>
      <c r="E4" s="1"/>
      <c r="F4" s="1"/>
    </row>
    <row r="5" spans="1:6" ht="30" customHeight="1">
      <c r="A5" s="1"/>
      <c r="B5" s="3" t="s">
        <v>2</v>
      </c>
      <c r="C5" s="3" t="s">
        <v>3</v>
      </c>
      <c r="D5" s="3" t="s">
        <v>4</v>
      </c>
      <c r="E5" s="3" t="s">
        <v>5</v>
      </c>
      <c r="F5" s="1"/>
    </row>
    <row r="6" spans="1:6" ht="25" customHeight="1">
      <c r="A6" s="1"/>
      <c r="B6" s="1" t="s">
        <v>6</v>
      </c>
      <c r="C6" s="4">
        <v>0.01</v>
      </c>
      <c r="D6" s="4">
        <f>(C6+E6)/2</f>
        <v>3.0000000000000002E-2</v>
      </c>
      <c r="E6" s="4">
        <v>0.05</v>
      </c>
      <c r="F6" s="1"/>
    </row>
    <row r="7" spans="1:6" ht="25" customHeight="1">
      <c r="A7" s="1"/>
      <c r="B7" s="1"/>
      <c r="C7" s="1"/>
      <c r="D7" s="1"/>
      <c r="E7" s="1"/>
      <c r="F7" s="1"/>
    </row>
    <row r="8" spans="1:6" ht="25" customHeight="1">
      <c r="A8" s="1"/>
      <c r="B8" s="1" t="s">
        <v>7</v>
      </c>
      <c r="C8" s="5">
        <f>$C$17*(1+C6)</f>
        <v>85126.84</v>
      </c>
      <c r="D8" s="5">
        <f>$C$17*(1+D6)</f>
        <v>86812.52</v>
      </c>
      <c r="E8" s="5">
        <f>$C$17*(1+E6)</f>
        <v>88498.2</v>
      </c>
      <c r="F8" s="1"/>
    </row>
    <row r="9" spans="1:6" ht="25" customHeight="1">
      <c r="A9" s="1"/>
      <c r="B9" s="1" t="s">
        <v>8</v>
      </c>
      <c r="C9" s="5">
        <f>$C$23</f>
        <v>65829</v>
      </c>
      <c r="D9" s="5">
        <f>$C$23</f>
        <v>65829</v>
      </c>
      <c r="E9" s="5">
        <f>$C$23</f>
        <v>65829</v>
      </c>
      <c r="F9" s="1"/>
    </row>
    <row r="10" spans="1:6" ht="25" customHeight="1">
      <c r="A10" s="1"/>
      <c r="B10" s="7" t="s">
        <v>9</v>
      </c>
      <c r="C10" s="8">
        <f>C8-C9</f>
        <v>19297.839999999997</v>
      </c>
      <c r="D10" s="8">
        <f>D8-D9</f>
        <v>20983.520000000004</v>
      </c>
      <c r="E10" s="8">
        <f>E8-E9</f>
        <v>22669.199999999997</v>
      </c>
      <c r="F10" s="1"/>
    </row>
    <row r="11" spans="1:6" ht="25" customHeight="1">
      <c r="A11" s="1"/>
      <c r="B11" s="7" t="s">
        <v>10</v>
      </c>
      <c r="C11" s="9">
        <f>C10/$C$18-1</f>
        <v>-7.6172148020489439E-2</v>
      </c>
      <c r="D11" s="9">
        <f>D10/$C$18-1</f>
        <v>4.524869548566457E-3</v>
      </c>
      <c r="E11" s="9">
        <f>E10/$C$18-1</f>
        <v>8.5221887117621575E-2</v>
      </c>
      <c r="F11" s="1"/>
    </row>
    <row r="12" spans="1:6" ht="25" customHeight="1">
      <c r="A12" s="1"/>
      <c r="B12" s="1"/>
      <c r="C12" s="1"/>
      <c r="D12" s="1"/>
      <c r="E12" s="1"/>
      <c r="F12" s="1"/>
    </row>
    <row r="13" spans="1:6" ht="25" customHeight="1">
      <c r="A13" s="1"/>
      <c r="B13" s="1" t="s">
        <v>11</v>
      </c>
      <c r="C13" s="1"/>
      <c r="D13" s="1"/>
      <c r="E13" s="1"/>
      <c r="F13" s="1"/>
    </row>
    <row r="14" spans="1:6" ht="25" customHeight="1">
      <c r="A14" s="1"/>
      <c r="B14" s="1" t="s">
        <v>12</v>
      </c>
      <c r="C14" s="1"/>
      <c r="D14" s="1"/>
      <c r="E14" s="1"/>
      <c r="F14" s="1"/>
    </row>
    <row r="15" spans="1:6" ht="25" customHeight="1">
      <c r="A15" s="1"/>
      <c r="B15" s="1"/>
      <c r="C15" s="1"/>
      <c r="D15" s="1"/>
      <c r="E15" s="1"/>
      <c r="F15" s="1"/>
    </row>
    <row r="16" spans="1:6" ht="25" customHeight="1">
      <c r="A16" s="1"/>
      <c r="B16" s="10" t="s">
        <v>13</v>
      </c>
      <c r="C16" s="10" t="s">
        <v>14</v>
      </c>
      <c r="D16" s="10" t="s">
        <v>15</v>
      </c>
      <c r="E16" s="1"/>
      <c r="F16" s="1"/>
    </row>
    <row r="17" spans="1:6" ht="25" customHeight="1">
      <c r="A17" s="1"/>
      <c r="B17" s="1" t="s">
        <v>16</v>
      </c>
      <c r="C17" s="11">
        <v>84284</v>
      </c>
      <c r="D17" s="1" t="s">
        <v>17</v>
      </c>
      <c r="E17" s="1"/>
      <c r="F17" s="1"/>
    </row>
    <row r="18" spans="1:6" ht="25" customHeight="1">
      <c r="A18" s="1"/>
      <c r="B18" s="1" t="s">
        <v>18</v>
      </c>
      <c r="C18" s="11">
        <v>20889</v>
      </c>
      <c r="D18" s="1" t="s">
        <v>17</v>
      </c>
      <c r="E18" s="1"/>
      <c r="F18" s="1"/>
    </row>
    <row r="19" spans="1:6" ht="25" customHeight="1">
      <c r="A19" s="1"/>
      <c r="B19" s="1"/>
      <c r="C19" s="11"/>
      <c r="D19" s="1"/>
      <c r="E19" s="1"/>
      <c r="F19" s="1"/>
    </row>
    <row r="20" spans="1:6" ht="25" customHeight="1">
      <c r="A20" s="1"/>
      <c r="B20" s="1" t="s">
        <v>19</v>
      </c>
      <c r="C20" s="11">
        <v>22386</v>
      </c>
      <c r="D20" s="1" t="s">
        <v>20</v>
      </c>
      <c r="E20" s="1"/>
      <c r="F20" s="1"/>
    </row>
    <row r="21" spans="1:6" ht="25" customHeight="1">
      <c r="A21" s="1"/>
      <c r="B21" s="1" t="s">
        <v>21</v>
      </c>
      <c r="C21" s="11">
        <v>22208</v>
      </c>
      <c r="D21" s="1" t="s">
        <v>22</v>
      </c>
      <c r="E21" s="1"/>
      <c r="F21" s="1"/>
    </row>
    <row r="22" spans="1:6" ht="25" customHeight="1">
      <c r="A22" s="1"/>
      <c r="B22" s="1" t="s">
        <v>23</v>
      </c>
      <c r="C22" s="11">
        <v>21235</v>
      </c>
      <c r="D22" s="1" t="s">
        <v>24</v>
      </c>
      <c r="E22" s="1"/>
      <c r="F22" s="1"/>
    </row>
    <row r="23" spans="1:6" ht="25" customHeight="1">
      <c r="A23" s="1"/>
      <c r="B23" s="6" t="s">
        <v>25</v>
      </c>
      <c r="C23" s="12">
        <f>SUM(C20:C22)</f>
        <v>65829</v>
      </c>
      <c r="D23" s="6"/>
      <c r="E23" s="1"/>
      <c r="F23" s="1"/>
    </row>
    <row r="24" spans="1:6" ht="25" customHeight="1">
      <c r="A24" s="1"/>
      <c r="B24" s="1"/>
      <c r="C24" s="1"/>
      <c r="D24" s="1"/>
      <c r="E24" s="1"/>
      <c r="F24" s="1"/>
    </row>
    <row r="25" spans="1:6" ht="25" customHeight="1">
      <c r="A25" s="1"/>
      <c r="B25" s="1" t="s">
        <v>26</v>
      </c>
      <c r="C25" s="13">
        <f>C9+C10-C8</f>
        <v>0</v>
      </c>
      <c r="D25" s="13">
        <f>D9+D10-D8</f>
        <v>0</v>
      </c>
      <c r="E25" s="13">
        <f>E9+E10-E8</f>
        <v>0</v>
      </c>
      <c r="F25" s="1"/>
    </row>
    <row r="26" spans="1:6" ht="25" customHeight="1">
      <c r="A26" s="1"/>
      <c r="B26" s="1"/>
      <c r="C26" s="1"/>
      <c r="D26" s="1"/>
      <c r="E26" s="1"/>
      <c r="F26" s="1"/>
    </row>
    <row r="27" spans="1:6" ht="25" customHeight="1">
      <c r="A27" s="1"/>
      <c r="B27" s="1" t="s">
        <v>27</v>
      </c>
      <c r="C27" s="1"/>
      <c r="D27" s="1"/>
      <c r="E27" s="1"/>
      <c r="F27" s="1"/>
    </row>
    <row r="28" spans="1:6" ht="25" customHeight="1">
      <c r="A28" s="1"/>
      <c r="B28" s="1" t="s">
        <v>28</v>
      </c>
      <c r="C28" s="1"/>
      <c r="D28" s="1"/>
      <c r="E28" s="1"/>
      <c r="F28" s="1"/>
    </row>
    <row r="29" spans="1:6" ht="25" customHeight="1">
      <c r="A29" s="1"/>
      <c r="B29" s="14" t="s">
        <v>29</v>
      </c>
      <c r="C29" s="1"/>
      <c r="D29" s="1"/>
      <c r="E29" s="1"/>
      <c r="F29" s="1"/>
    </row>
    <row r="30" spans="1:6" ht="25" customHeight="1">
      <c r="A30" s="1"/>
      <c r="B30" s="1" t="s">
        <v>30</v>
      </c>
      <c r="C30" s="1"/>
      <c r="D30" s="1"/>
      <c r="E30" s="1"/>
      <c r="F30" s="1"/>
    </row>
    <row r="31" spans="1:6" ht="25" customHeight="1">
      <c r="A31" s="1"/>
      <c r="B31" s="14" t="s">
        <v>31</v>
      </c>
      <c r="C31" s="1"/>
      <c r="D31" s="1"/>
      <c r="E31" s="1"/>
      <c r="F31" s="1"/>
    </row>
    <row r="32" spans="1:6" ht="25" customHeight="1">
      <c r="A32" s="1"/>
      <c r="B32" s="1" t="s">
        <v>32</v>
      </c>
      <c r="C32" s="1"/>
      <c r="D32" s="1"/>
      <c r="E32" s="1"/>
      <c r="F32" s="1"/>
    </row>
    <row r="33" spans="1:6" ht="25" customHeight="1">
      <c r="A33" s="1"/>
      <c r="B33" s="14" t="s">
        <v>33</v>
      </c>
      <c r="C33" s="1"/>
      <c r="D33" s="1"/>
      <c r="E33" s="1"/>
      <c r="F33" s="1"/>
    </row>
    <row r="34" spans="1:6" ht="25" customHeight="1">
      <c r="A34" s="1"/>
      <c r="B34" s="1" t="s">
        <v>34</v>
      </c>
      <c r="C34" s="1"/>
      <c r="D34" s="1"/>
      <c r="E34" s="1"/>
      <c r="F34" s="1"/>
    </row>
    <row r="35" spans="1:6" ht="25" customHeight="1">
      <c r="A35" s="1"/>
      <c r="B35" s="14" t="s">
        <v>35</v>
      </c>
      <c r="C35" s="1"/>
      <c r="D35" s="1"/>
      <c r="E35" s="1"/>
      <c r="F35" s="1"/>
    </row>
    <row r="36" spans="1:6" ht="25" customHeight="1">
      <c r="A36" s="1"/>
      <c r="B36" s="1"/>
      <c r="C36" s="1"/>
      <c r="D36" s="1"/>
      <c r="E36" s="1"/>
      <c r="F36" s="1"/>
    </row>
  </sheetData>
  <phoneticPr fontId="9" type="noConversion"/>
  <conditionalFormatting sqref="C11:E1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Quarter sales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PG-Chen, Hoi Chun</cp:lastModifiedBy>
  <dcterms:modified xsi:type="dcterms:W3CDTF">2026-10-05T14:52:30Z</dcterms:modified>
</cp:coreProperties>
</file>