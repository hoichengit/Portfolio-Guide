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zhiyimylove/Documents/申请工作/work/pg_external_analysis/outputs/history_review/"/>
    </mc:Choice>
  </mc:AlternateContent>
  <xr:revisionPtr revIDLastSave="0" documentId="13_ncr:1_{9663264B-F579-E546-9ACB-B41124DC67F6}" xr6:coauthVersionLast="47" xr6:coauthVersionMax="47" xr10:uidLastSave="{00000000-0000-0000-0000-000000000000}"/>
  <bookViews>
    <workbookView xWindow="0" yWindow="500" windowWidth="30240" windowHeight="19640" xr2:uid="{00000000-000D-0000-FFFF-FFFF00000000}"/>
  </bookViews>
  <sheets>
    <sheet name="Review" sheetId="1" r:id="rId1"/>
    <sheet name="Product match" sheetId="2" r:id="rId2"/>
    <sheet name="Model tests" sheetId="3" r:id="rId3"/>
    <sheet name="Matched quarters" sheetId="4" r:id="rId4"/>
    <sheet name="Quarterly market" sheetId="5" r:id="rId5"/>
    <sheet name="PG history" sheetId="6" r:id="rId6"/>
    <sheet name="Monthly market" sheetId="7" r:id="rId7"/>
    <sheet name="Product prices" sheetId="8" r:id="rId8"/>
    <sheet name="Source evidence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4" i="5" l="1"/>
  <c r="E104" i="5"/>
  <c r="G104" i="5" s="1"/>
  <c r="F103" i="5"/>
  <c r="E103" i="5"/>
  <c r="G103" i="5" s="1"/>
  <c r="F102" i="5"/>
  <c r="E102" i="5"/>
  <c r="G102" i="5" s="1"/>
  <c r="G101" i="5"/>
  <c r="G249" i="4" s="1"/>
  <c r="F101" i="5"/>
  <c r="E101" i="5"/>
  <c r="F100" i="5"/>
  <c r="G100" i="5" s="1"/>
  <c r="G264" i="4" s="1"/>
  <c r="E100" i="5"/>
  <c r="G99" i="5"/>
  <c r="G263" i="4" s="1"/>
  <c r="F99" i="5"/>
  <c r="E99" i="5"/>
  <c r="G98" i="5"/>
  <c r="G262" i="4" s="1"/>
  <c r="F98" i="5"/>
  <c r="E98" i="5"/>
  <c r="F97" i="5"/>
  <c r="E97" i="5"/>
  <c r="G97" i="5" s="1"/>
  <c r="F96" i="5"/>
  <c r="E96" i="5"/>
  <c r="G96" i="5" s="1"/>
  <c r="F95" i="5"/>
  <c r="E95" i="5"/>
  <c r="G95" i="5" s="1"/>
  <c r="F94" i="5"/>
  <c r="E94" i="5"/>
  <c r="F93" i="5"/>
  <c r="E93" i="5"/>
  <c r="F92" i="5"/>
  <c r="G92" i="5" s="1"/>
  <c r="E92" i="5"/>
  <c r="F91" i="5"/>
  <c r="E91" i="5"/>
  <c r="G91" i="5" s="1"/>
  <c r="F90" i="5"/>
  <c r="E90" i="5"/>
  <c r="F89" i="5"/>
  <c r="G89" i="5" s="1"/>
  <c r="E89" i="5"/>
  <c r="F88" i="5"/>
  <c r="E88" i="5"/>
  <c r="G88" i="5" s="1"/>
  <c r="G87" i="5"/>
  <c r="F87" i="5"/>
  <c r="E87" i="5"/>
  <c r="G86" i="5"/>
  <c r="F86" i="5"/>
  <c r="E86" i="5"/>
  <c r="F85" i="5"/>
  <c r="E85" i="5"/>
  <c r="G85" i="5" s="1"/>
  <c r="F84" i="5"/>
  <c r="E84" i="5"/>
  <c r="G84" i="5" s="1"/>
  <c r="F83" i="5"/>
  <c r="G83" i="5" s="1"/>
  <c r="E83" i="5"/>
  <c r="F82" i="5"/>
  <c r="E82" i="5"/>
  <c r="G82" i="5" s="1"/>
  <c r="F81" i="5"/>
  <c r="E81" i="5"/>
  <c r="G81" i="5" s="1"/>
  <c r="F80" i="5"/>
  <c r="E80" i="5"/>
  <c r="F79" i="5"/>
  <c r="E79" i="5"/>
  <c r="G79" i="5" s="1"/>
  <c r="F78" i="5"/>
  <c r="G78" i="5" s="1"/>
  <c r="E78" i="5"/>
  <c r="F77" i="5"/>
  <c r="E77" i="5"/>
  <c r="F76" i="5"/>
  <c r="E76" i="5"/>
  <c r="G76" i="5" s="1"/>
  <c r="G75" i="5"/>
  <c r="F75" i="5"/>
  <c r="E75" i="5"/>
  <c r="F74" i="5"/>
  <c r="E74" i="5"/>
  <c r="G74" i="5" s="1"/>
  <c r="G73" i="5"/>
  <c r="F73" i="5"/>
  <c r="E73" i="5"/>
  <c r="F72" i="5"/>
  <c r="G72" i="5" s="1"/>
  <c r="E72" i="5"/>
  <c r="F71" i="5"/>
  <c r="E71" i="5"/>
  <c r="G71" i="5" s="1"/>
  <c r="F70" i="5"/>
  <c r="E70" i="5"/>
  <c r="G70" i="5" s="1"/>
  <c r="G234" i="4" s="1"/>
  <c r="F69" i="5"/>
  <c r="E69" i="5"/>
  <c r="F68" i="5"/>
  <c r="E68" i="5"/>
  <c r="G68" i="5" s="1"/>
  <c r="G232" i="4" s="1"/>
  <c r="G67" i="5"/>
  <c r="F67" i="5"/>
  <c r="E67" i="5"/>
  <c r="F66" i="5"/>
  <c r="E66" i="5"/>
  <c r="G66" i="5" s="1"/>
  <c r="F65" i="5"/>
  <c r="E65" i="5"/>
  <c r="G65" i="5" s="1"/>
  <c r="G212" i="4" s="1"/>
  <c r="G64" i="5"/>
  <c r="F64" i="5"/>
  <c r="E64" i="5"/>
  <c r="F63" i="5"/>
  <c r="E63" i="5"/>
  <c r="F62" i="5"/>
  <c r="E62" i="5"/>
  <c r="G62" i="5" s="1"/>
  <c r="G61" i="5"/>
  <c r="G208" i="4" s="1"/>
  <c r="F61" i="5"/>
  <c r="E61" i="5"/>
  <c r="F60" i="5"/>
  <c r="E60" i="5"/>
  <c r="G60" i="5" s="1"/>
  <c r="G190" i="4" s="1"/>
  <c r="G59" i="5"/>
  <c r="F59" i="5"/>
  <c r="E59" i="5"/>
  <c r="F58" i="5"/>
  <c r="G58" i="5" s="1"/>
  <c r="E58" i="5"/>
  <c r="F57" i="5"/>
  <c r="E57" i="5"/>
  <c r="G57" i="5" s="1"/>
  <c r="G56" i="5"/>
  <c r="F56" i="5"/>
  <c r="E56" i="5"/>
  <c r="F55" i="5"/>
  <c r="G55" i="5" s="1"/>
  <c r="E55" i="5"/>
  <c r="F54" i="5"/>
  <c r="E54" i="5"/>
  <c r="G54" i="5" s="1"/>
  <c r="F53" i="5"/>
  <c r="E53" i="5"/>
  <c r="G53" i="5" s="1"/>
  <c r="F52" i="5"/>
  <c r="E52" i="5"/>
  <c r="G51" i="5"/>
  <c r="F51" i="5"/>
  <c r="E51" i="5"/>
  <c r="F50" i="5"/>
  <c r="G50" i="5" s="1"/>
  <c r="E50" i="5"/>
  <c r="F49" i="5"/>
  <c r="E49" i="5"/>
  <c r="G49" i="5" s="1"/>
  <c r="F48" i="5"/>
  <c r="E48" i="5"/>
  <c r="G48" i="5" s="1"/>
  <c r="F47" i="5"/>
  <c r="E47" i="5"/>
  <c r="G47" i="5" s="1"/>
  <c r="G46" i="5"/>
  <c r="F46" i="5"/>
  <c r="E46" i="5"/>
  <c r="G45" i="5"/>
  <c r="F45" i="5"/>
  <c r="E45" i="5"/>
  <c r="G44" i="5"/>
  <c r="F44" i="5"/>
  <c r="E44" i="5"/>
  <c r="F43" i="5"/>
  <c r="E43" i="5"/>
  <c r="G43" i="5" s="1"/>
  <c r="F42" i="5"/>
  <c r="E42" i="5"/>
  <c r="G42" i="5" s="1"/>
  <c r="G41" i="5"/>
  <c r="F41" i="5"/>
  <c r="E41" i="5"/>
  <c r="F40" i="5"/>
  <c r="E40" i="5"/>
  <c r="G40" i="5" s="1"/>
  <c r="F39" i="5"/>
  <c r="E39" i="5"/>
  <c r="G39" i="5" s="1"/>
  <c r="G302" i="4" s="1"/>
  <c r="F38" i="5"/>
  <c r="E38" i="5"/>
  <c r="G38" i="5" s="1"/>
  <c r="F37" i="5"/>
  <c r="E37" i="5"/>
  <c r="G37" i="5" s="1"/>
  <c r="F36" i="5"/>
  <c r="G36" i="5" s="1"/>
  <c r="E36" i="5"/>
  <c r="F35" i="5"/>
  <c r="E35" i="5"/>
  <c r="G35" i="5" s="1"/>
  <c r="F34" i="5"/>
  <c r="G34" i="5" s="1"/>
  <c r="E34" i="5"/>
  <c r="F33" i="5"/>
  <c r="E33" i="5"/>
  <c r="G33" i="5" s="1"/>
  <c r="F32" i="5"/>
  <c r="E32" i="5"/>
  <c r="G32" i="5" s="1"/>
  <c r="G31" i="5"/>
  <c r="F31" i="5"/>
  <c r="E31" i="5"/>
  <c r="G30" i="5"/>
  <c r="F30" i="5"/>
  <c r="E30" i="5"/>
  <c r="G29" i="5"/>
  <c r="F29" i="5"/>
  <c r="E29" i="5"/>
  <c r="F28" i="5"/>
  <c r="E28" i="5"/>
  <c r="G28" i="5" s="1"/>
  <c r="F27" i="5"/>
  <c r="E27" i="5"/>
  <c r="G27" i="5" s="1"/>
  <c r="F26" i="5"/>
  <c r="E26" i="5"/>
  <c r="G26" i="5" s="1"/>
  <c r="G25" i="5"/>
  <c r="F25" i="5"/>
  <c r="E25" i="5"/>
  <c r="F24" i="5"/>
  <c r="E24" i="5"/>
  <c r="F23" i="5"/>
  <c r="E23" i="5"/>
  <c r="G23" i="5" s="1"/>
  <c r="G286" i="4" s="1"/>
  <c r="K286" i="4" s="1"/>
  <c r="F22" i="5"/>
  <c r="G22" i="5" s="1"/>
  <c r="G151" i="4" s="1"/>
  <c r="E22" i="5"/>
  <c r="F21" i="5"/>
  <c r="E21" i="5"/>
  <c r="G21" i="5" s="1"/>
  <c r="G150" i="4" s="1"/>
  <c r="F20" i="5"/>
  <c r="E20" i="5"/>
  <c r="F19" i="5"/>
  <c r="E19" i="5"/>
  <c r="G19" i="5" s="1"/>
  <c r="F18" i="5"/>
  <c r="E18" i="5"/>
  <c r="G18" i="5" s="1"/>
  <c r="G17" i="5"/>
  <c r="F17" i="5"/>
  <c r="E17" i="5"/>
  <c r="F16" i="5"/>
  <c r="G16" i="5" s="1"/>
  <c r="E16" i="5"/>
  <c r="G15" i="5"/>
  <c r="F15" i="5"/>
  <c r="E15" i="5"/>
  <c r="F14" i="5"/>
  <c r="E14" i="5"/>
  <c r="G14" i="5" s="1"/>
  <c r="G143" i="4" s="1"/>
  <c r="F13" i="5"/>
  <c r="E13" i="5"/>
  <c r="G13" i="5" s="1"/>
  <c r="G125" i="4" s="1"/>
  <c r="F12" i="5"/>
  <c r="E12" i="5"/>
  <c r="G12" i="5" s="1"/>
  <c r="F11" i="5"/>
  <c r="E11" i="5"/>
  <c r="G11" i="5" s="1"/>
  <c r="G123" i="4" s="1"/>
  <c r="F10" i="5"/>
  <c r="E10" i="5"/>
  <c r="F9" i="5"/>
  <c r="E9" i="5"/>
  <c r="G9" i="5" s="1"/>
  <c r="G8" i="5"/>
  <c r="F8" i="5"/>
  <c r="E8" i="5"/>
  <c r="F7" i="5"/>
  <c r="E7" i="5"/>
  <c r="G7" i="5" s="1"/>
  <c r="G119" i="4" s="1"/>
  <c r="F6" i="5"/>
  <c r="G6" i="5" s="1"/>
  <c r="E6" i="5"/>
  <c r="H302" i="4"/>
  <c r="J302" i="4" s="1"/>
  <c r="H301" i="4"/>
  <c r="H300" i="4"/>
  <c r="H299" i="4"/>
  <c r="J299" i="4" s="1"/>
  <c r="O298" i="4"/>
  <c r="J298" i="4"/>
  <c r="H298" i="4"/>
  <c r="G298" i="4"/>
  <c r="J297" i="4"/>
  <c r="H297" i="4"/>
  <c r="G297" i="4"/>
  <c r="H296" i="4"/>
  <c r="O295" i="4"/>
  <c r="J295" i="4"/>
  <c r="H295" i="4"/>
  <c r="J294" i="4"/>
  <c r="H294" i="4"/>
  <c r="J293" i="4"/>
  <c r="H293" i="4"/>
  <c r="O297" i="4" s="1"/>
  <c r="Q297" i="4" s="1"/>
  <c r="H292" i="4"/>
  <c r="G292" i="4"/>
  <c r="J291" i="4"/>
  <c r="H291" i="4"/>
  <c r="H290" i="4"/>
  <c r="J289" i="4"/>
  <c r="H289" i="4"/>
  <c r="K288" i="4"/>
  <c r="H288" i="4"/>
  <c r="G288" i="4"/>
  <c r="I288" i="4" s="1"/>
  <c r="J287" i="4"/>
  <c r="H287" i="4"/>
  <c r="J286" i="4"/>
  <c r="I286" i="4"/>
  <c r="H286" i="4"/>
  <c r="H285" i="4"/>
  <c r="J284" i="4"/>
  <c r="H284" i="4"/>
  <c r="J283" i="4"/>
  <c r="H283" i="4"/>
  <c r="H282" i="4"/>
  <c r="H281" i="4"/>
  <c r="G281" i="4"/>
  <c r="H280" i="4"/>
  <c r="J280" i="4" s="1"/>
  <c r="G280" i="4"/>
  <c r="I280" i="4" s="1"/>
  <c r="J279" i="4"/>
  <c r="H279" i="4"/>
  <c r="H278" i="4"/>
  <c r="Q277" i="4"/>
  <c r="H277" i="4"/>
  <c r="O278" i="4" s="1"/>
  <c r="J276" i="4"/>
  <c r="H276" i="4"/>
  <c r="K275" i="4"/>
  <c r="J275" i="4"/>
  <c r="H275" i="4"/>
  <c r="G275" i="4"/>
  <c r="I275" i="4" s="1"/>
  <c r="J274" i="4"/>
  <c r="H274" i="4"/>
  <c r="J273" i="4"/>
  <c r="H273" i="4"/>
  <c r="O277" i="4" s="1"/>
  <c r="J272" i="4"/>
  <c r="H272" i="4"/>
  <c r="I271" i="4"/>
  <c r="H271" i="4"/>
  <c r="K271" i="4" s="1"/>
  <c r="G271" i="4"/>
  <c r="J270" i="4"/>
  <c r="H270" i="4"/>
  <c r="I269" i="4"/>
  <c r="H269" i="4"/>
  <c r="G269" i="4"/>
  <c r="K269" i="4" s="1"/>
  <c r="H268" i="4"/>
  <c r="G268" i="4"/>
  <c r="O267" i="4"/>
  <c r="Q267" i="4" s="1"/>
  <c r="J267" i="4"/>
  <c r="H267" i="4"/>
  <c r="G267" i="4"/>
  <c r="I267" i="4" s="1"/>
  <c r="O266" i="4"/>
  <c r="Q266" i="4" s="1"/>
  <c r="K266" i="4"/>
  <c r="J266" i="4"/>
  <c r="I266" i="4"/>
  <c r="H266" i="4"/>
  <c r="G266" i="4"/>
  <c r="K265" i="4"/>
  <c r="J265" i="4"/>
  <c r="H265" i="4"/>
  <c r="G265" i="4"/>
  <c r="H264" i="4"/>
  <c r="O263" i="4"/>
  <c r="Q263" i="4" s="1"/>
  <c r="I263" i="4"/>
  <c r="H263" i="4"/>
  <c r="J263" i="4" s="1"/>
  <c r="K262" i="4"/>
  <c r="J262" i="4"/>
  <c r="I262" i="4"/>
  <c r="H262" i="4"/>
  <c r="H261" i="4"/>
  <c r="G261" i="4"/>
  <c r="J260" i="4"/>
  <c r="H260" i="4"/>
  <c r="G260" i="4"/>
  <c r="K260" i="4" s="1"/>
  <c r="H259" i="4"/>
  <c r="J259" i="4" s="1"/>
  <c r="G259" i="4"/>
  <c r="K259" i="4" s="1"/>
  <c r="H258" i="4"/>
  <c r="H257" i="4"/>
  <c r="J257" i="4" s="1"/>
  <c r="H256" i="4"/>
  <c r="J256" i="4" s="1"/>
  <c r="K255" i="4"/>
  <c r="J255" i="4"/>
  <c r="I255" i="4"/>
  <c r="H255" i="4"/>
  <c r="G255" i="4"/>
  <c r="H254" i="4"/>
  <c r="H253" i="4"/>
  <c r="G253" i="4"/>
  <c r="K253" i="4" s="1"/>
  <c r="H252" i="4"/>
  <c r="G252" i="4"/>
  <c r="H251" i="4"/>
  <c r="G251" i="4"/>
  <c r="K250" i="4"/>
  <c r="H250" i="4"/>
  <c r="J250" i="4" s="1"/>
  <c r="G250" i="4"/>
  <c r="I250" i="4" s="1"/>
  <c r="I249" i="4"/>
  <c r="H249" i="4"/>
  <c r="H248" i="4"/>
  <c r="H247" i="4"/>
  <c r="J246" i="4"/>
  <c r="H246" i="4"/>
  <c r="G246" i="4"/>
  <c r="K246" i="4" s="1"/>
  <c r="Q245" i="4"/>
  <c r="O245" i="4"/>
  <c r="J245" i="4"/>
  <c r="H245" i="4"/>
  <c r="G245" i="4"/>
  <c r="H244" i="4"/>
  <c r="G244" i="4"/>
  <c r="I244" i="4" s="1"/>
  <c r="J243" i="4"/>
  <c r="H243" i="4"/>
  <c r="O247" i="4" s="1"/>
  <c r="G243" i="4"/>
  <c r="J242" i="4"/>
  <c r="H242" i="4"/>
  <c r="J241" i="4"/>
  <c r="H241" i="4"/>
  <c r="J240" i="4"/>
  <c r="H240" i="4"/>
  <c r="K239" i="4"/>
  <c r="J239" i="4"/>
  <c r="H239" i="4"/>
  <c r="G239" i="4"/>
  <c r="I239" i="4" s="1"/>
  <c r="H238" i="4"/>
  <c r="J237" i="4"/>
  <c r="H237" i="4"/>
  <c r="G237" i="4"/>
  <c r="I237" i="4" s="1"/>
  <c r="H236" i="4"/>
  <c r="D43" i="1" s="1"/>
  <c r="H235" i="4"/>
  <c r="I234" i="4"/>
  <c r="H234" i="4"/>
  <c r="O236" i="4" s="1"/>
  <c r="H233" i="4"/>
  <c r="J233" i="4" s="1"/>
  <c r="K232" i="4"/>
  <c r="J232" i="4"/>
  <c r="I232" i="4"/>
  <c r="H232" i="4"/>
  <c r="H231" i="4"/>
  <c r="G231" i="4"/>
  <c r="K230" i="4"/>
  <c r="H230" i="4"/>
  <c r="G230" i="4"/>
  <c r="I230" i="4" s="1"/>
  <c r="H229" i="4"/>
  <c r="G229" i="4"/>
  <c r="H228" i="4"/>
  <c r="J228" i="4" s="1"/>
  <c r="G228" i="4"/>
  <c r="I228" i="4" s="1"/>
  <c r="H227" i="4"/>
  <c r="H226" i="4"/>
  <c r="G226" i="4"/>
  <c r="I226" i="4" s="1"/>
  <c r="H225" i="4"/>
  <c r="G225" i="4"/>
  <c r="K225" i="4" s="1"/>
  <c r="H224" i="4"/>
  <c r="J224" i="4" s="1"/>
  <c r="H223" i="4"/>
  <c r="J223" i="4" s="1"/>
  <c r="G223" i="4"/>
  <c r="H222" i="4"/>
  <c r="G222" i="4"/>
  <c r="H221" i="4"/>
  <c r="J221" i="4" s="1"/>
  <c r="H220" i="4"/>
  <c r="G220" i="4"/>
  <c r="I220" i="4" s="1"/>
  <c r="J219" i="4"/>
  <c r="H219" i="4"/>
  <c r="H218" i="4"/>
  <c r="H217" i="4"/>
  <c r="O216" i="4"/>
  <c r="Q216" i="4" s="1"/>
  <c r="H216" i="4"/>
  <c r="J216" i="4" s="1"/>
  <c r="K215" i="4"/>
  <c r="J215" i="4"/>
  <c r="H215" i="4"/>
  <c r="G215" i="4"/>
  <c r="H214" i="4"/>
  <c r="G214" i="4"/>
  <c r="K213" i="4"/>
  <c r="J213" i="4"/>
  <c r="H213" i="4"/>
  <c r="G213" i="4"/>
  <c r="I213" i="4" s="1"/>
  <c r="I212" i="4"/>
  <c r="H212" i="4"/>
  <c r="I211" i="4"/>
  <c r="H211" i="4"/>
  <c r="J211" i="4" s="1"/>
  <c r="G211" i="4"/>
  <c r="K211" i="4" s="1"/>
  <c r="J210" i="4"/>
  <c r="H210" i="4"/>
  <c r="H209" i="4"/>
  <c r="J209" i="4" s="1"/>
  <c r="G209" i="4"/>
  <c r="K209" i="4" s="1"/>
  <c r="I208" i="4"/>
  <c r="H208" i="4"/>
  <c r="H207" i="4"/>
  <c r="G207" i="4"/>
  <c r="K206" i="4"/>
  <c r="J206" i="4"/>
  <c r="H206" i="4"/>
  <c r="G206" i="4"/>
  <c r="I206" i="4" s="1"/>
  <c r="H205" i="4"/>
  <c r="J205" i="4" s="1"/>
  <c r="H204" i="4"/>
  <c r="J204" i="4" s="1"/>
  <c r="H203" i="4"/>
  <c r="J203" i="4" s="1"/>
  <c r="G203" i="4"/>
  <c r="J202" i="4"/>
  <c r="H202" i="4"/>
  <c r="J201" i="4"/>
  <c r="H201" i="4"/>
  <c r="H200" i="4"/>
  <c r="G200" i="4"/>
  <c r="O199" i="4"/>
  <c r="Q199" i="4" s="1"/>
  <c r="H199" i="4"/>
  <c r="K198" i="4"/>
  <c r="H198" i="4"/>
  <c r="G198" i="4"/>
  <c r="H197" i="4"/>
  <c r="K196" i="4"/>
  <c r="J196" i="4"/>
  <c r="H196" i="4"/>
  <c r="G196" i="4"/>
  <c r="I196" i="4" s="1"/>
  <c r="H195" i="4"/>
  <c r="G195" i="4"/>
  <c r="O194" i="4"/>
  <c r="I194" i="4"/>
  <c r="H194" i="4"/>
  <c r="G194" i="4"/>
  <c r="H193" i="4"/>
  <c r="J192" i="4"/>
  <c r="H192" i="4"/>
  <c r="G192" i="4"/>
  <c r="H191" i="4"/>
  <c r="G191" i="4"/>
  <c r="J190" i="4"/>
  <c r="I190" i="4"/>
  <c r="H190" i="4"/>
  <c r="K189" i="4"/>
  <c r="J189" i="4"/>
  <c r="H189" i="4"/>
  <c r="G189" i="4"/>
  <c r="I189" i="4" s="1"/>
  <c r="J188" i="4"/>
  <c r="H188" i="4"/>
  <c r="H187" i="4"/>
  <c r="J187" i="4" s="1"/>
  <c r="H186" i="4"/>
  <c r="G186" i="4"/>
  <c r="O185" i="4"/>
  <c r="Q185" i="4" s="1"/>
  <c r="J185" i="4"/>
  <c r="H185" i="4"/>
  <c r="G185" i="4"/>
  <c r="J184" i="4"/>
  <c r="H184" i="4"/>
  <c r="G184" i="4"/>
  <c r="I184" i="4" s="1"/>
  <c r="H183" i="4"/>
  <c r="G183" i="4"/>
  <c r="J182" i="4"/>
  <c r="H182" i="4"/>
  <c r="H181" i="4"/>
  <c r="J181" i="4" s="1"/>
  <c r="G181" i="4"/>
  <c r="J180" i="4"/>
  <c r="H180" i="4"/>
  <c r="H179" i="4"/>
  <c r="G179" i="4"/>
  <c r="K178" i="4"/>
  <c r="I178" i="4"/>
  <c r="H178" i="4"/>
  <c r="G178" i="4"/>
  <c r="K177" i="4"/>
  <c r="J177" i="4"/>
  <c r="H177" i="4"/>
  <c r="G177" i="4"/>
  <c r="H176" i="4"/>
  <c r="K175" i="4"/>
  <c r="H175" i="4"/>
  <c r="G175" i="4"/>
  <c r="I175" i="4" s="1"/>
  <c r="I174" i="4"/>
  <c r="H174" i="4"/>
  <c r="G174" i="4"/>
  <c r="K174" i="4" s="1"/>
  <c r="J173" i="4"/>
  <c r="H173" i="4"/>
  <c r="H172" i="4"/>
  <c r="J172" i="4" s="1"/>
  <c r="G172" i="4"/>
  <c r="J171" i="4"/>
  <c r="H171" i="4"/>
  <c r="J170" i="4"/>
  <c r="H170" i="4"/>
  <c r="I169" i="4"/>
  <c r="H169" i="4"/>
  <c r="G169" i="4"/>
  <c r="H168" i="4"/>
  <c r="G168" i="4"/>
  <c r="K168" i="4" s="1"/>
  <c r="J167" i="4"/>
  <c r="H167" i="4"/>
  <c r="K166" i="4"/>
  <c r="J166" i="4"/>
  <c r="H166" i="4"/>
  <c r="G166" i="4"/>
  <c r="J165" i="4"/>
  <c r="H165" i="4"/>
  <c r="H164" i="4"/>
  <c r="G164" i="4"/>
  <c r="O163" i="4"/>
  <c r="Q163" i="4" s="1"/>
  <c r="I163" i="4"/>
  <c r="H163" i="4"/>
  <c r="J163" i="4" s="1"/>
  <c r="G163" i="4"/>
  <c r="K162" i="4"/>
  <c r="J162" i="4"/>
  <c r="I162" i="4"/>
  <c r="H162" i="4"/>
  <c r="G162" i="4"/>
  <c r="I161" i="4"/>
  <c r="H161" i="4"/>
  <c r="G161" i="4"/>
  <c r="H160" i="4"/>
  <c r="G160" i="4"/>
  <c r="J159" i="4"/>
  <c r="H159" i="4"/>
  <c r="I158" i="4"/>
  <c r="H158" i="4"/>
  <c r="G158" i="4"/>
  <c r="K157" i="4"/>
  <c r="J157" i="4"/>
  <c r="I157" i="4"/>
  <c r="H157" i="4"/>
  <c r="G157" i="4"/>
  <c r="H156" i="4"/>
  <c r="G156" i="4"/>
  <c r="K156" i="4" s="1"/>
  <c r="K155" i="4"/>
  <c r="J155" i="4"/>
  <c r="I155" i="4"/>
  <c r="H155" i="4"/>
  <c r="G155" i="4"/>
  <c r="H154" i="4"/>
  <c r="G154" i="4"/>
  <c r="J153" i="4"/>
  <c r="H153" i="4"/>
  <c r="H152" i="4"/>
  <c r="J152" i="4" s="1"/>
  <c r="G152" i="4"/>
  <c r="K152" i="4" s="1"/>
  <c r="I151" i="4"/>
  <c r="H151" i="4"/>
  <c r="O150" i="4"/>
  <c r="H150" i="4"/>
  <c r="O149" i="4"/>
  <c r="H149" i="4"/>
  <c r="H148" i="4"/>
  <c r="G148" i="4"/>
  <c r="Q147" i="4"/>
  <c r="O147" i="4"/>
  <c r="K147" i="4"/>
  <c r="H147" i="4"/>
  <c r="J147" i="4" s="1"/>
  <c r="G147" i="4"/>
  <c r="H146" i="4"/>
  <c r="G146" i="4"/>
  <c r="J145" i="4"/>
  <c r="I145" i="4"/>
  <c r="H145" i="4"/>
  <c r="G145" i="4"/>
  <c r="H144" i="4"/>
  <c r="G144" i="4"/>
  <c r="H143" i="4"/>
  <c r="H142" i="4"/>
  <c r="G142" i="4"/>
  <c r="I142" i="4" s="1"/>
  <c r="K141" i="4"/>
  <c r="J141" i="4"/>
  <c r="H141" i="4"/>
  <c r="G141" i="4"/>
  <c r="I141" i="4" s="1"/>
  <c r="H140" i="4"/>
  <c r="J139" i="4"/>
  <c r="H139" i="4"/>
  <c r="H138" i="4"/>
  <c r="J138" i="4" s="1"/>
  <c r="G138" i="4"/>
  <c r="K137" i="4"/>
  <c r="I137" i="4"/>
  <c r="H137" i="4"/>
  <c r="J137" i="4" s="1"/>
  <c r="G137" i="4"/>
  <c r="H136" i="4"/>
  <c r="G136" i="4"/>
  <c r="I136" i="4" s="1"/>
  <c r="I135" i="4"/>
  <c r="H135" i="4"/>
  <c r="G135" i="4"/>
  <c r="H134" i="4"/>
  <c r="K133" i="4"/>
  <c r="I133" i="4"/>
  <c r="H133" i="4"/>
  <c r="J133" i="4" s="1"/>
  <c r="G133" i="4"/>
  <c r="J132" i="4"/>
  <c r="H132" i="4"/>
  <c r="H131" i="4"/>
  <c r="G131" i="4"/>
  <c r="J130" i="4"/>
  <c r="H130" i="4"/>
  <c r="G130" i="4"/>
  <c r="J129" i="4"/>
  <c r="H129" i="4"/>
  <c r="G129" i="4"/>
  <c r="O128" i="4"/>
  <c r="Q128" i="4" s="1"/>
  <c r="H128" i="4"/>
  <c r="J128" i="4" s="1"/>
  <c r="G128" i="4"/>
  <c r="K128" i="4" s="1"/>
  <c r="I127" i="4"/>
  <c r="H127" i="4"/>
  <c r="G127" i="4"/>
  <c r="H126" i="4"/>
  <c r="G126" i="4"/>
  <c r="J125" i="4"/>
  <c r="I125" i="4"/>
  <c r="H125" i="4"/>
  <c r="H124" i="4"/>
  <c r="G124" i="4"/>
  <c r="K124" i="4" s="1"/>
  <c r="I123" i="4"/>
  <c r="H123" i="4"/>
  <c r="H122" i="4"/>
  <c r="I121" i="4"/>
  <c r="H121" i="4"/>
  <c r="G121" i="4"/>
  <c r="K121" i="4" s="1"/>
  <c r="H120" i="4"/>
  <c r="G120" i="4"/>
  <c r="I119" i="4"/>
  <c r="H119" i="4"/>
  <c r="J119" i="4" s="1"/>
  <c r="H118" i="4"/>
  <c r="G118" i="4"/>
  <c r="I118" i="4" s="1"/>
  <c r="O117" i="4"/>
  <c r="Q117" i="4" s="1"/>
  <c r="H117" i="4"/>
  <c r="K116" i="4"/>
  <c r="J116" i="4"/>
  <c r="I116" i="4"/>
  <c r="H116" i="4"/>
  <c r="G116" i="4"/>
  <c r="H115" i="4"/>
  <c r="G115" i="4"/>
  <c r="H114" i="4"/>
  <c r="G114" i="4"/>
  <c r="I114" i="4" s="1"/>
  <c r="K113" i="4"/>
  <c r="J113" i="4"/>
  <c r="H113" i="4"/>
  <c r="G113" i="4"/>
  <c r="I113" i="4" s="1"/>
  <c r="H112" i="4"/>
  <c r="O116" i="4" s="1"/>
  <c r="Q116" i="4" s="1"/>
  <c r="G112" i="4"/>
  <c r="H111" i="4"/>
  <c r="G111" i="4"/>
  <c r="H110" i="4"/>
  <c r="J110" i="4" s="1"/>
  <c r="G110" i="4"/>
  <c r="K110" i="4" s="1"/>
  <c r="H109" i="4"/>
  <c r="O113" i="4" s="1"/>
  <c r="Q113" i="4" s="1"/>
  <c r="H108" i="4"/>
  <c r="J108" i="4" s="1"/>
  <c r="G108" i="4"/>
  <c r="K108" i="4" s="1"/>
  <c r="I107" i="4"/>
  <c r="H107" i="4"/>
  <c r="G107" i="4"/>
  <c r="K107" i="4" s="1"/>
  <c r="H106" i="4"/>
  <c r="J106" i="4" s="1"/>
  <c r="J105" i="4"/>
  <c r="H105" i="4"/>
  <c r="G105" i="4"/>
  <c r="K105" i="4" s="1"/>
  <c r="K104" i="4"/>
  <c r="I104" i="4"/>
  <c r="H104" i="4"/>
  <c r="J104" i="4" s="1"/>
  <c r="G104" i="4"/>
  <c r="H103" i="4"/>
  <c r="G103" i="4"/>
  <c r="K102" i="4"/>
  <c r="I102" i="4"/>
  <c r="H102" i="4"/>
  <c r="J102" i="4" s="1"/>
  <c r="G102" i="4"/>
  <c r="H101" i="4"/>
  <c r="Q100" i="4"/>
  <c r="O100" i="4"/>
  <c r="H100" i="4"/>
  <c r="G100" i="4"/>
  <c r="K99" i="4"/>
  <c r="H99" i="4"/>
  <c r="J99" i="4" s="1"/>
  <c r="G99" i="4"/>
  <c r="I99" i="4" s="1"/>
  <c r="O98" i="4"/>
  <c r="K98" i="4"/>
  <c r="J98" i="4"/>
  <c r="H98" i="4"/>
  <c r="G98" i="4"/>
  <c r="I98" i="4" s="1"/>
  <c r="H97" i="4"/>
  <c r="G97" i="4"/>
  <c r="Q96" i="4"/>
  <c r="O96" i="4"/>
  <c r="H96" i="4"/>
  <c r="G96" i="4"/>
  <c r="K95" i="4"/>
  <c r="J95" i="4"/>
  <c r="H95" i="4"/>
  <c r="G95" i="4"/>
  <c r="I95" i="4" s="1"/>
  <c r="K94" i="4"/>
  <c r="J94" i="4"/>
  <c r="H94" i="4"/>
  <c r="G94" i="4"/>
  <c r="H93" i="4"/>
  <c r="K92" i="4"/>
  <c r="J92" i="4"/>
  <c r="I92" i="4"/>
  <c r="H92" i="4"/>
  <c r="G92" i="4"/>
  <c r="I91" i="4"/>
  <c r="H91" i="4"/>
  <c r="G91" i="4"/>
  <c r="H90" i="4"/>
  <c r="I89" i="4"/>
  <c r="H89" i="4"/>
  <c r="G89" i="4"/>
  <c r="H88" i="4"/>
  <c r="G88" i="4"/>
  <c r="K88" i="4" s="1"/>
  <c r="I87" i="4"/>
  <c r="H87" i="4"/>
  <c r="G87" i="4"/>
  <c r="H86" i="4"/>
  <c r="G86" i="4"/>
  <c r="K86" i="4" s="1"/>
  <c r="I85" i="4"/>
  <c r="H85" i="4"/>
  <c r="G85" i="4"/>
  <c r="J84" i="4"/>
  <c r="H84" i="4"/>
  <c r="G84" i="4"/>
  <c r="K84" i="4" s="1"/>
  <c r="Q83" i="4"/>
  <c r="O83" i="4"/>
  <c r="K83" i="4"/>
  <c r="J83" i="4"/>
  <c r="I83" i="4"/>
  <c r="H83" i="4"/>
  <c r="G83" i="4"/>
  <c r="J82" i="4"/>
  <c r="H82" i="4"/>
  <c r="I81" i="4"/>
  <c r="H81" i="4"/>
  <c r="G81" i="4"/>
  <c r="H80" i="4"/>
  <c r="J80" i="4" s="1"/>
  <c r="G80" i="4"/>
  <c r="I79" i="4"/>
  <c r="H79" i="4"/>
  <c r="G79" i="4"/>
  <c r="K78" i="4"/>
  <c r="J78" i="4"/>
  <c r="H78" i="4"/>
  <c r="G78" i="4"/>
  <c r="H77" i="4"/>
  <c r="G77" i="4"/>
  <c r="K76" i="4"/>
  <c r="J76" i="4"/>
  <c r="I76" i="4"/>
  <c r="H76" i="4"/>
  <c r="G76" i="4"/>
  <c r="J75" i="4"/>
  <c r="H75" i="4"/>
  <c r="G75" i="4"/>
  <c r="H74" i="4"/>
  <c r="G74" i="4"/>
  <c r="K74" i="4" s="1"/>
  <c r="J73" i="4"/>
  <c r="I73" i="4"/>
  <c r="H73" i="4"/>
  <c r="G73" i="4"/>
  <c r="K73" i="4" s="1"/>
  <c r="H72" i="4"/>
  <c r="G72" i="4"/>
  <c r="K72" i="4" s="1"/>
  <c r="J71" i="4"/>
  <c r="I71" i="4"/>
  <c r="H71" i="4"/>
  <c r="G71" i="4"/>
  <c r="K70" i="4"/>
  <c r="H70" i="4"/>
  <c r="G70" i="4"/>
  <c r="I70" i="4" s="1"/>
  <c r="K69" i="4"/>
  <c r="H69" i="4"/>
  <c r="J69" i="4" s="1"/>
  <c r="G69" i="4"/>
  <c r="I69" i="4" s="1"/>
  <c r="J68" i="4"/>
  <c r="H68" i="4"/>
  <c r="G68" i="4"/>
  <c r="K68" i="4" s="1"/>
  <c r="K67" i="4"/>
  <c r="H67" i="4"/>
  <c r="O68" i="4" s="1"/>
  <c r="G67" i="4"/>
  <c r="I67" i="4" s="1"/>
  <c r="J66" i="4"/>
  <c r="H66" i="4"/>
  <c r="K65" i="4"/>
  <c r="J65" i="4"/>
  <c r="H65" i="4"/>
  <c r="G65" i="4"/>
  <c r="I65" i="4" s="1"/>
  <c r="H64" i="4"/>
  <c r="G64" i="4"/>
  <c r="K64" i="4" s="1"/>
  <c r="I63" i="4"/>
  <c r="H63" i="4"/>
  <c r="G63" i="4"/>
  <c r="J62" i="4"/>
  <c r="H62" i="4"/>
  <c r="G62" i="4"/>
  <c r="K62" i="4" s="1"/>
  <c r="K61" i="4"/>
  <c r="J61" i="4"/>
  <c r="H61" i="4"/>
  <c r="O64" i="4" s="1"/>
  <c r="G61" i="4"/>
  <c r="I61" i="4" s="1"/>
  <c r="J60" i="4"/>
  <c r="H60" i="4"/>
  <c r="G60" i="4"/>
  <c r="K60" i="4" s="1"/>
  <c r="I59" i="4"/>
  <c r="H59" i="4"/>
  <c r="O63" i="4" s="1"/>
  <c r="G59" i="4"/>
  <c r="J58" i="4"/>
  <c r="H58" i="4"/>
  <c r="G58" i="4"/>
  <c r="K58" i="4" s="1"/>
  <c r="K57" i="4"/>
  <c r="J57" i="4"/>
  <c r="I57" i="4"/>
  <c r="H57" i="4"/>
  <c r="G57" i="4"/>
  <c r="J56" i="4"/>
  <c r="H56" i="4"/>
  <c r="G56" i="4"/>
  <c r="K56" i="4" s="1"/>
  <c r="I55" i="4"/>
  <c r="H55" i="4"/>
  <c r="G55" i="4"/>
  <c r="J54" i="4"/>
  <c r="I54" i="4"/>
  <c r="H54" i="4"/>
  <c r="G54" i="4"/>
  <c r="K54" i="4" s="1"/>
  <c r="K53" i="4"/>
  <c r="J53" i="4"/>
  <c r="H53" i="4"/>
  <c r="G53" i="4"/>
  <c r="I53" i="4" s="1"/>
  <c r="H52" i="4"/>
  <c r="G52" i="4"/>
  <c r="K52" i="4" s="1"/>
  <c r="J51" i="4"/>
  <c r="H51" i="4"/>
  <c r="G51" i="4"/>
  <c r="H50" i="4"/>
  <c r="J50" i="4" s="1"/>
  <c r="O49" i="4"/>
  <c r="Q49" i="4" s="1"/>
  <c r="K49" i="4"/>
  <c r="J49" i="4"/>
  <c r="I49" i="4"/>
  <c r="H49" i="4"/>
  <c r="G49" i="4"/>
  <c r="J48" i="4"/>
  <c r="H48" i="4"/>
  <c r="G48" i="4"/>
  <c r="H47" i="4"/>
  <c r="G47" i="4"/>
  <c r="O46" i="4"/>
  <c r="H46" i="4"/>
  <c r="J46" i="4" s="1"/>
  <c r="G46" i="4"/>
  <c r="H45" i="4"/>
  <c r="G45" i="4"/>
  <c r="K45" i="4" s="1"/>
  <c r="K44" i="4"/>
  <c r="H44" i="4"/>
  <c r="J44" i="4" s="1"/>
  <c r="G44" i="4"/>
  <c r="I44" i="4" s="1"/>
  <c r="K43" i="4"/>
  <c r="H43" i="4"/>
  <c r="G43" i="4"/>
  <c r="I43" i="4" s="1"/>
  <c r="K42" i="4"/>
  <c r="J42" i="4"/>
  <c r="H42" i="4"/>
  <c r="G42" i="4"/>
  <c r="I42" i="4" s="1"/>
  <c r="K41" i="4"/>
  <c r="J41" i="4"/>
  <c r="I41" i="4"/>
  <c r="H41" i="4"/>
  <c r="G41" i="4"/>
  <c r="K40" i="4"/>
  <c r="J40" i="4"/>
  <c r="I40" i="4"/>
  <c r="H40" i="4"/>
  <c r="G40" i="4"/>
  <c r="J39" i="4"/>
  <c r="H39" i="4"/>
  <c r="G39" i="4"/>
  <c r="J38" i="4"/>
  <c r="I38" i="4"/>
  <c r="H38" i="4"/>
  <c r="G38" i="4"/>
  <c r="H37" i="4"/>
  <c r="G37" i="4"/>
  <c r="I37" i="4" s="1"/>
  <c r="H36" i="4"/>
  <c r="G36" i="4"/>
  <c r="K35" i="4"/>
  <c r="H35" i="4"/>
  <c r="G35" i="4"/>
  <c r="I35" i="4" s="1"/>
  <c r="J34" i="4"/>
  <c r="H34" i="4"/>
  <c r="J33" i="4"/>
  <c r="H33" i="4"/>
  <c r="G33" i="4"/>
  <c r="K33" i="4" s="1"/>
  <c r="O32" i="4"/>
  <c r="J32" i="4"/>
  <c r="H32" i="4"/>
  <c r="G32" i="4"/>
  <c r="H31" i="4"/>
  <c r="J31" i="4" s="1"/>
  <c r="G31" i="4"/>
  <c r="K30" i="4"/>
  <c r="J30" i="4"/>
  <c r="I30" i="4"/>
  <c r="H30" i="4"/>
  <c r="G30" i="4"/>
  <c r="I29" i="4"/>
  <c r="H29" i="4"/>
  <c r="G29" i="4"/>
  <c r="K29" i="4" s="1"/>
  <c r="K28" i="4"/>
  <c r="J28" i="4"/>
  <c r="I28" i="4"/>
  <c r="H28" i="4"/>
  <c r="G28" i="4"/>
  <c r="H27" i="4"/>
  <c r="O31" i="4" s="1"/>
  <c r="G27" i="4"/>
  <c r="K27" i="4" s="1"/>
  <c r="K26" i="4"/>
  <c r="J26" i="4"/>
  <c r="I26" i="4"/>
  <c r="H26" i="4"/>
  <c r="G26" i="4"/>
  <c r="H25" i="4"/>
  <c r="G25" i="4"/>
  <c r="K25" i="4" s="1"/>
  <c r="K24" i="4"/>
  <c r="J24" i="4"/>
  <c r="I24" i="4"/>
  <c r="H24" i="4"/>
  <c r="G24" i="4"/>
  <c r="H23" i="4"/>
  <c r="J23" i="4" s="1"/>
  <c r="G23" i="4"/>
  <c r="K23" i="4" s="1"/>
  <c r="K22" i="4"/>
  <c r="J22" i="4"/>
  <c r="I22" i="4"/>
  <c r="H22" i="4"/>
  <c r="G22" i="4"/>
  <c r="I21" i="4"/>
  <c r="H21" i="4"/>
  <c r="G21" i="4"/>
  <c r="K21" i="4" s="1"/>
  <c r="I20" i="4"/>
  <c r="H20" i="4"/>
  <c r="G20" i="4"/>
  <c r="J19" i="4"/>
  <c r="I19" i="4"/>
  <c r="H19" i="4"/>
  <c r="G19" i="4"/>
  <c r="K19" i="4" s="1"/>
  <c r="H18" i="4"/>
  <c r="J18" i="4" s="1"/>
  <c r="I17" i="4"/>
  <c r="H17" i="4"/>
  <c r="K17" i="4" s="1"/>
  <c r="G17" i="4"/>
  <c r="J16" i="4"/>
  <c r="H16" i="4"/>
  <c r="G16" i="4"/>
  <c r="H15" i="4"/>
  <c r="G15" i="4"/>
  <c r="K14" i="4"/>
  <c r="H14" i="4"/>
  <c r="J14" i="4" s="1"/>
  <c r="G14" i="4"/>
  <c r="I14" i="4" s="1"/>
  <c r="H13" i="4"/>
  <c r="G13" i="4"/>
  <c r="K13" i="4" s="1"/>
  <c r="I12" i="4"/>
  <c r="H12" i="4"/>
  <c r="J12" i="4" s="1"/>
  <c r="G12" i="4"/>
  <c r="H11" i="4"/>
  <c r="J11" i="4" s="1"/>
  <c r="G11" i="4"/>
  <c r="K11" i="4" s="1"/>
  <c r="K10" i="4"/>
  <c r="I10" i="4"/>
  <c r="H10" i="4"/>
  <c r="J10" i="4" s="1"/>
  <c r="G10" i="4"/>
  <c r="J9" i="4"/>
  <c r="H9" i="4"/>
  <c r="G9" i="4"/>
  <c r="K9" i="4" s="1"/>
  <c r="I8" i="4"/>
  <c r="H8" i="4"/>
  <c r="J8" i="4" s="1"/>
  <c r="G8" i="4"/>
  <c r="K8" i="4" s="1"/>
  <c r="K7" i="4"/>
  <c r="H7" i="4"/>
  <c r="J7" i="4" s="1"/>
  <c r="G7" i="4"/>
  <c r="I7" i="4" s="1"/>
  <c r="H6" i="4"/>
  <c r="J6" i="4" s="1"/>
  <c r="G6" i="4"/>
  <c r="I6" i="4" s="1"/>
  <c r="B43" i="1"/>
  <c r="D42" i="1"/>
  <c r="B42" i="1"/>
  <c r="D41" i="1"/>
  <c r="C41" i="1"/>
  <c r="B41" i="1"/>
  <c r="D40" i="1"/>
  <c r="B40" i="1"/>
  <c r="D39" i="1"/>
  <c r="C39" i="1"/>
  <c r="B39" i="1"/>
  <c r="D38" i="1"/>
  <c r="C38" i="1"/>
  <c r="B38" i="1"/>
  <c r="D37" i="1"/>
  <c r="C37" i="1"/>
  <c r="B37" i="1"/>
  <c r="D36" i="1"/>
  <c r="C36" i="1"/>
  <c r="B36" i="1"/>
  <c r="D35" i="1"/>
  <c r="C35" i="1"/>
  <c r="B35" i="1"/>
  <c r="D34" i="1"/>
  <c r="B34" i="1"/>
  <c r="D33" i="1"/>
  <c r="C33" i="1"/>
  <c r="B33" i="1"/>
  <c r="D32" i="1"/>
  <c r="C32" i="1"/>
  <c r="B32" i="1"/>
  <c r="D31" i="1"/>
  <c r="B31" i="1"/>
  <c r="D30" i="1"/>
  <c r="C30" i="1"/>
  <c r="B30" i="1"/>
  <c r="D29" i="1"/>
  <c r="C29" i="1"/>
  <c r="B29" i="1"/>
  <c r="D28" i="1"/>
  <c r="B28" i="1"/>
  <c r="D27" i="1"/>
  <c r="C27" i="1"/>
  <c r="B27" i="1"/>
  <c r="F11" i="1"/>
  <c r="B11" i="1"/>
  <c r="F10" i="1"/>
  <c r="B10" i="1"/>
  <c r="F9" i="1"/>
  <c r="B9" i="1"/>
  <c r="F8" i="1"/>
  <c r="B8" i="1"/>
  <c r="F7" i="1"/>
  <c r="B7" i="1"/>
  <c r="J236" i="4" l="1"/>
  <c r="O67" i="4"/>
  <c r="K96" i="4"/>
  <c r="I96" i="4"/>
  <c r="K100" i="4"/>
  <c r="O133" i="4"/>
  <c r="Q133" i="4" s="1"/>
  <c r="J131" i="4"/>
  <c r="G299" i="4"/>
  <c r="G282" i="4"/>
  <c r="G240" i="4"/>
  <c r="G256" i="4"/>
  <c r="K46" i="4"/>
  <c r="I46" i="4"/>
  <c r="O161" i="4"/>
  <c r="J158" i="4"/>
  <c r="O162" i="4"/>
  <c r="Q162" i="4" s="1"/>
  <c r="O20" i="4"/>
  <c r="Q20" i="4" s="1"/>
  <c r="Q48" i="4"/>
  <c r="O52" i="4"/>
  <c r="Q52" i="4" s="1"/>
  <c r="K80" i="4"/>
  <c r="I80" i="4"/>
  <c r="K85" i="4"/>
  <c r="K87" i="4"/>
  <c r="J87" i="4"/>
  <c r="J96" i="4"/>
  <c r="J100" i="4"/>
  <c r="K111" i="4"/>
  <c r="I111" i="4"/>
  <c r="K118" i="4"/>
  <c r="K126" i="4"/>
  <c r="I126" i="4"/>
  <c r="I144" i="4"/>
  <c r="K144" i="4"/>
  <c r="I251" i="4"/>
  <c r="K251" i="4"/>
  <c r="K12" i="4"/>
  <c r="I16" i="4"/>
  <c r="I32" i="4"/>
  <c r="J37" i="4"/>
  <c r="I39" i="4"/>
  <c r="I48" i="4"/>
  <c r="I51" i="4"/>
  <c r="J59" i="4"/>
  <c r="J63" i="4"/>
  <c r="J85" i="4"/>
  <c r="I100" i="4"/>
  <c r="I105" i="4"/>
  <c r="O115" i="4"/>
  <c r="J111" i="4"/>
  <c r="J118" i="4"/>
  <c r="O129" i="4"/>
  <c r="Q129" i="4" s="1"/>
  <c r="J126" i="4"/>
  <c r="J135" i="4"/>
  <c r="J144" i="4"/>
  <c r="O148" i="4"/>
  <c r="Q148" i="4" s="1"/>
  <c r="I166" i="4"/>
  <c r="K263" i="4"/>
  <c r="O14" i="4"/>
  <c r="Q14" i="4" s="1"/>
  <c r="O17" i="4"/>
  <c r="Q17" i="4" s="1"/>
  <c r="O30" i="4"/>
  <c r="Q30" i="4" s="1"/>
  <c r="K37" i="4"/>
  <c r="K59" i="4"/>
  <c r="N64" i="4" s="1"/>
  <c r="P64" i="4" s="1"/>
  <c r="Q67" i="4"/>
  <c r="I129" i="4"/>
  <c r="K129" i="4"/>
  <c r="K135" i="4"/>
  <c r="I231" i="4"/>
  <c r="K231" i="4"/>
  <c r="G94" i="5"/>
  <c r="K16" i="4"/>
  <c r="Q21" i="4"/>
  <c r="O33" i="4"/>
  <c r="Q33" i="4" s="1"/>
  <c r="K32" i="4"/>
  <c r="O35" i="4"/>
  <c r="K39" i="4"/>
  <c r="K48" i="4"/>
  <c r="K51" i="4"/>
  <c r="Q63" i="4"/>
  <c r="J67" i="4"/>
  <c r="O78" i="4"/>
  <c r="O94" i="4"/>
  <c r="Q94" i="4" s="1"/>
  <c r="K103" i="4"/>
  <c r="O112" i="4"/>
  <c r="O127" i="4"/>
  <c r="Q127" i="4" s="1"/>
  <c r="O131" i="4"/>
  <c r="Q131" i="4" s="1"/>
  <c r="J231" i="4"/>
  <c r="O234" i="4"/>
  <c r="O235" i="4"/>
  <c r="Q235" i="4" s="1"/>
  <c r="I252" i="4"/>
  <c r="K252" i="4"/>
  <c r="I143" i="4"/>
  <c r="K143" i="4"/>
  <c r="G295" i="4"/>
  <c r="G278" i="4"/>
  <c r="G153" i="4"/>
  <c r="G221" i="4"/>
  <c r="G187" i="4"/>
  <c r="G170" i="4"/>
  <c r="G204" i="4"/>
  <c r="G101" i="4"/>
  <c r="G117" i="4"/>
  <c r="I13" i="4"/>
  <c r="O19" i="4"/>
  <c r="Q19" i="4" s="1"/>
  <c r="J21" i="4"/>
  <c r="I27" i="4"/>
  <c r="N30" i="4" s="1"/>
  <c r="P30" i="4" s="1"/>
  <c r="J29" i="4"/>
  <c r="K31" i="4"/>
  <c r="I31" i="4"/>
  <c r="Q46" i="4"/>
  <c r="J55" i="4"/>
  <c r="I62" i="4"/>
  <c r="I74" i="4"/>
  <c r="O80" i="4"/>
  <c r="Q80" i="4" s="1"/>
  <c r="J90" i="4"/>
  <c r="I97" i="4"/>
  <c r="Q101" i="4"/>
  <c r="I103" i="4"/>
  <c r="J109" i="4"/>
  <c r="I112" i="4"/>
  <c r="K120" i="4"/>
  <c r="I120" i="4"/>
  <c r="J123" i="4"/>
  <c r="J127" i="4"/>
  <c r="O160" i="4"/>
  <c r="Q160" i="4" s="1"/>
  <c r="J156" i="4"/>
  <c r="O180" i="4"/>
  <c r="Q180" i="4" s="1"/>
  <c r="O183" i="4"/>
  <c r="J179" i="4"/>
  <c r="K55" i="4"/>
  <c r="I64" i="4"/>
  <c r="O65" i="4"/>
  <c r="Q65" i="4" s="1"/>
  <c r="J74" i="4"/>
  <c r="K77" i="4"/>
  <c r="I77" i="4"/>
  <c r="I88" i="4"/>
  <c r="O101" i="4"/>
  <c r="J103" i="4"/>
  <c r="J112" i="4"/>
  <c r="O114" i="4"/>
  <c r="Q114" i="4" s="1"/>
  <c r="K127" i="4"/>
  <c r="O132" i="4"/>
  <c r="Q132" i="4" s="1"/>
  <c r="K145" i="4"/>
  <c r="I156" i="4"/>
  <c r="I172" i="4"/>
  <c r="K172" i="4"/>
  <c r="I222" i="4"/>
  <c r="K222" i="4"/>
  <c r="I243" i="4"/>
  <c r="K243" i="4"/>
  <c r="J27" i="4"/>
  <c r="K6" i="4"/>
  <c r="N15" i="4" s="1"/>
  <c r="P15" i="4" s="1"/>
  <c r="I11" i="4"/>
  <c r="I15" i="4"/>
  <c r="O16" i="4"/>
  <c r="Q16" i="4" s="1"/>
  <c r="I23" i="4"/>
  <c r="J25" i="4"/>
  <c r="I36" i="4"/>
  <c r="O51" i="4"/>
  <c r="Q51" i="4" s="1"/>
  <c r="O48" i="4"/>
  <c r="I60" i="4"/>
  <c r="J64" i="4"/>
  <c r="O81" i="4"/>
  <c r="Q81" i="4" s="1"/>
  <c r="J79" i="4"/>
  <c r="O82" i="4"/>
  <c r="Q82" i="4" s="1"/>
  <c r="J88" i="4"/>
  <c r="O97" i="4"/>
  <c r="Q97" i="4" s="1"/>
  <c r="J97" i="4"/>
  <c r="J101" i="4"/>
  <c r="K112" i="4"/>
  <c r="J120" i="4"/>
  <c r="J176" i="4"/>
  <c r="J222" i="4"/>
  <c r="N80" i="4"/>
  <c r="P80" i="4" s="1"/>
  <c r="I25" i="4"/>
  <c r="J15" i="4"/>
  <c r="O34" i="4"/>
  <c r="Q34" i="4" s="1"/>
  <c r="J36" i="4"/>
  <c r="I45" i="4"/>
  <c r="N46" i="4" s="1"/>
  <c r="P46" i="4" s="1"/>
  <c r="I47" i="4"/>
  <c r="I52" i="4"/>
  <c r="O53" i="4"/>
  <c r="Q53" i="4" s="1"/>
  <c r="Q68" i="4"/>
  <c r="I72" i="4"/>
  <c r="K79" i="4"/>
  <c r="I86" i="4"/>
  <c r="K97" i="4"/>
  <c r="O165" i="4"/>
  <c r="Q165" i="4" s="1"/>
  <c r="J161" i="4"/>
  <c r="K207" i="4"/>
  <c r="I207" i="4"/>
  <c r="I179" i="4"/>
  <c r="K179" i="4"/>
  <c r="J13" i="4"/>
  <c r="I9" i="4"/>
  <c r="K15" i="4"/>
  <c r="I33" i="4"/>
  <c r="K36" i="4"/>
  <c r="J45" i="4"/>
  <c r="J47" i="4"/>
  <c r="J52" i="4"/>
  <c r="I58" i="4"/>
  <c r="O62" i="4"/>
  <c r="Q62" i="4" s="1"/>
  <c r="I68" i="4"/>
  <c r="J72" i="4"/>
  <c r="O85" i="4"/>
  <c r="Q85" i="4" s="1"/>
  <c r="J81" i="4"/>
  <c r="J86" i="4"/>
  <c r="O111" i="4"/>
  <c r="Q111" i="4" s="1"/>
  <c r="Q115" i="4"/>
  <c r="I185" i="4"/>
  <c r="K185" i="4"/>
  <c r="J207" i="4"/>
  <c r="O211" i="4"/>
  <c r="Q211" i="4" s="1"/>
  <c r="O233" i="4"/>
  <c r="Q233" i="4" s="1"/>
  <c r="O15" i="4"/>
  <c r="O37" i="4"/>
  <c r="Q37" i="4" s="1"/>
  <c r="O21" i="4"/>
  <c r="O36" i="4"/>
  <c r="Q36" i="4" s="1"/>
  <c r="O47" i="4"/>
  <c r="K47" i="4"/>
  <c r="O50" i="4"/>
  <c r="K91" i="4"/>
  <c r="J91" i="4"/>
  <c r="I115" i="4"/>
  <c r="O130" i="4"/>
  <c r="Q130" i="4" s="1"/>
  <c r="Q161" i="4"/>
  <c r="K164" i="4"/>
  <c r="I164" i="4"/>
  <c r="Q112" i="4"/>
  <c r="K192" i="4"/>
  <c r="I192" i="4"/>
  <c r="Q32" i="4"/>
  <c r="J17" i="4"/>
  <c r="O18" i="4"/>
  <c r="Q18" i="4" s="1"/>
  <c r="J20" i="4"/>
  <c r="K38" i="4"/>
  <c r="I56" i="4"/>
  <c r="N62" i="4" s="1"/>
  <c r="P62" i="4" s="1"/>
  <c r="J70" i="4"/>
  <c r="Q78" i="4"/>
  <c r="K81" i="4"/>
  <c r="O84" i="4"/>
  <c r="Q84" i="4" s="1"/>
  <c r="O95" i="4"/>
  <c r="Q95" i="4" s="1"/>
  <c r="Q98" i="4"/>
  <c r="J107" i="4"/>
  <c r="O110" i="4"/>
  <c r="Q110" i="4" s="1"/>
  <c r="J115" i="4"/>
  <c r="Q134" i="4"/>
  <c r="J134" i="4"/>
  <c r="K169" i="4"/>
  <c r="J218" i="4"/>
  <c r="Q15" i="4"/>
  <c r="K20" i="4"/>
  <c r="Q31" i="4"/>
  <c r="J43" i="4"/>
  <c r="Q47" i="4"/>
  <c r="Q50" i="4"/>
  <c r="K63" i="4"/>
  <c r="N65" i="4" s="1"/>
  <c r="P65" i="4" s="1"/>
  <c r="N63" i="4"/>
  <c r="P63" i="4" s="1"/>
  <c r="Q64" i="4"/>
  <c r="O66" i="4"/>
  <c r="Q66" i="4" s="1"/>
  <c r="I78" i="4"/>
  <c r="O79" i="4"/>
  <c r="Q79" i="4" s="1"/>
  <c r="K89" i="4"/>
  <c r="J89" i="4"/>
  <c r="I94" i="4"/>
  <c r="K115" i="4"/>
  <c r="K131" i="4"/>
  <c r="I131" i="4"/>
  <c r="I138" i="4"/>
  <c r="K138" i="4"/>
  <c r="K158" i="4"/>
  <c r="J169" i="4"/>
  <c r="O168" i="4"/>
  <c r="Q168" i="4" s="1"/>
  <c r="J164" i="4"/>
  <c r="K183" i="4"/>
  <c r="I183" i="4"/>
  <c r="K203" i="4"/>
  <c r="I203" i="4"/>
  <c r="G273" i="4"/>
  <c r="G290" i="4"/>
  <c r="J143" i="4"/>
  <c r="J151" i="4"/>
  <c r="K160" i="4"/>
  <c r="Q183" i="4"/>
  <c r="J183" i="4"/>
  <c r="O184" i="4"/>
  <c r="Q184" i="4" s="1"/>
  <c r="J194" i="4"/>
  <c r="O198" i="4"/>
  <c r="O196" i="4"/>
  <c r="I150" i="4"/>
  <c r="K150" i="4"/>
  <c r="O145" i="4"/>
  <c r="Q145" i="4" s="1"/>
  <c r="K154" i="4"/>
  <c r="I154" i="4"/>
  <c r="O164" i="4"/>
  <c r="Q164" i="4" s="1"/>
  <c r="J160" i="4"/>
  <c r="G171" i="4"/>
  <c r="G205" i="4"/>
  <c r="J114" i="4"/>
  <c r="J121" i="4"/>
  <c r="K146" i="4"/>
  <c r="I146" i="4"/>
  <c r="J154" i="4"/>
  <c r="I160" i="4"/>
  <c r="O212" i="4"/>
  <c r="Q212" i="4" s="1"/>
  <c r="K208" i="4"/>
  <c r="J208" i="4"/>
  <c r="O229" i="4"/>
  <c r="Q249" i="4"/>
  <c r="K249" i="4"/>
  <c r="J249" i="4"/>
  <c r="K114" i="4"/>
  <c r="I124" i="4"/>
  <c r="K136" i="4"/>
  <c r="O144" i="4"/>
  <c r="Q144" i="4" s="1"/>
  <c r="Q146" i="4"/>
  <c r="J146" i="4"/>
  <c r="Q149" i="4"/>
  <c r="J220" i="4"/>
  <c r="I225" i="4"/>
  <c r="K151" i="4"/>
  <c r="Q35" i="4"/>
  <c r="K75" i="4"/>
  <c r="I84" i="4"/>
  <c r="J93" i="4"/>
  <c r="I110" i="4"/>
  <c r="J117" i="4"/>
  <c r="J124" i="4"/>
  <c r="I128" i="4"/>
  <c r="K130" i="4"/>
  <c r="J140" i="4"/>
  <c r="O146" i="4"/>
  <c r="O151" i="4"/>
  <c r="Q151" i="4" s="1"/>
  <c r="O167" i="4"/>
  <c r="Q167" i="4" s="1"/>
  <c r="K191" i="4"/>
  <c r="Q194" i="4"/>
  <c r="K220" i="4"/>
  <c r="J225" i="4"/>
  <c r="O69" i="4"/>
  <c r="Q69" i="4" s="1"/>
  <c r="O99" i="4"/>
  <c r="Q99" i="4" s="1"/>
  <c r="I108" i="4"/>
  <c r="O134" i="4"/>
  <c r="O143" i="4"/>
  <c r="I147" i="4"/>
  <c r="J149" i="4"/>
  <c r="K181" i="4"/>
  <c r="I181" i="4"/>
  <c r="G188" i="4"/>
  <c r="O195" i="4"/>
  <c r="J191" i="4"/>
  <c r="K195" i="4"/>
  <c r="I195" i="4"/>
  <c r="Q279" i="4"/>
  <c r="O283" i="4"/>
  <c r="Q283" i="4" s="1"/>
  <c r="J35" i="4"/>
  <c r="K71" i="4"/>
  <c r="N79" i="4" s="1"/>
  <c r="P79" i="4" s="1"/>
  <c r="I75" i="4"/>
  <c r="J77" i="4"/>
  <c r="O126" i="4"/>
  <c r="Q126" i="4" s="1"/>
  <c r="J122" i="4"/>
  <c r="I130" i="4"/>
  <c r="G134" i="4"/>
  <c r="Q143" i="4"/>
  <c r="K161" i="4"/>
  <c r="O179" i="4"/>
  <c r="Q179" i="4" s="1"/>
  <c r="J175" i="4"/>
  <c r="O182" i="4"/>
  <c r="Q182" i="4" s="1"/>
  <c r="J178" i="4"/>
  <c r="I191" i="4"/>
  <c r="Q195" i="4"/>
  <c r="J195" i="4"/>
  <c r="O214" i="4"/>
  <c r="O213" i="4"/>
  <c r="O219" i="4"/>
  <c r="Q219" i="4" s="1"/>
  <c r="I261" i="4"/>
  <c r="K292" i="4"/>
  <c r="I292" i="4"/>
  <c r="Q301" i="4"/>
  <c r="O265" i="4"/>
  <c r="J261" i="4"/>
  <c r="O264" i="4"/>
  <c r="Q264" i="4" s="1"/>
  <c r="J292" i="4"/>
  <c r="O296" i="4"/>
  <c r="Q296" i="4" s="1"/>
  <c r="K234" i="4"/>
  <c r="K214" i="4"/>
  <c r="I214" i="4"/>
  <c r="J226" i="4"/>
  <c r="O230" i="4"/>
  <c r="Q230" i="4" s="1"/>
  <c r="K226" i="4"/>
  <c r="Q229" i="4"/>
  <c r="O232" i="4"/>
  <c r="Q232" i="4" s="1"/>
  <c r="Q234" i="4"/>
  <c r="J234" i="4"/>
  <c r="K261" i="4"/>
  <c r="J301" i="4"/>
  <c r="K123" i="4"/>
  <c r="I148" i="4"/>
  <c r="Q150" i="4"/>
  <c r="Q214" i="4"/>
  <c r="J214" i="4"/>
  <c r="O218" i="4"/>
  <c r="Q218" i="4" s="1"/>
  <c r="I229" i="4"/>
  <c r="O251" i="4"/>
  <c r="Q251" i="4" s="1"/>
  <c r="Q247" i="4"/>
  <c r="J253" i="4"/>
  <c r="G235" i="4"/>
  <c r="G218" i="4"/>
  <c r="G201" i="4"/>
  <c r="G167" i="4"/>
  <c r="J148" i="4"/>
  <c r="J150" i="4"/>
  <c r="J168" i="4"/>
  <c r="K200" i="4"/>
  <c r="I200" i="4"/>
  <c r="O215" i="4"/>
  <c r="Q215" i="4" s="1"/>
  <c r="K223" i="4"/>
  <c r="I223" i="4"/>
  <c r="O231" i="4"/>
  <c r="Q231" i="4" s="1"/>
  <c r="J229" i="4"/>
  <c r="I253" i="4"/>
  <c r="J142" i="4"/>
  <c r="K148" i="4"/>
  <c r="K163" i="4"/>
  <c r="I168" i="4"/>
  <c r="K186" i="4"/>
  <c r="I186" i="4"/>
  <c r="O197" i="4"/>
  <c r="Q197" i="4" s="1"/>
  <c r="J200" i="4"/>
  <c r="Q200" i="4"/>
  <c r="O202" i="4"/>
  <c r="Q202" i="4" s="1"/>
  <c r="G217" i="4"/>
  <c r="K229" i="4"/>
  <c r="O248" i="4"/>
  <c r="Q248" i="4" s="1"/>
  <c r="J247" i="4"/>
  <c r="O262" i="4"/>
  <c r="Q262" i="4" s="1"/>
  <c r="O261" i="4"/>
  <c r="Q261" i="4" s="1"/>
  <c r="K21" i="3" s="1"/>
  <c r="J258" i="4"/>
  <c r="K298" i="4"/>
  <c r="G283" i="4"/>
  <c r="G300" i="4"/>
  <c r="K142" i="4"/>
  <c r="I152" i="4"/>
  <c r="O166" i="4"/>
  <c r="Q166" i="4" s="1"/>
  <c r="J186" i="4"/>
  <c r="I198" i="4"/>
  <c r="J212" i="4"/>
  <c r="I215" i="4"/>
  <c r="J217" i="4"/>
  <c r="J227" i="4"/>
  <c r="K237" i="4"/>
  <c r="K244" i="4"/>
  <c r="O250" i="4"/>
  <c r="Q250" i="4" s="1"/>
  <c r="J254" i="4"/>
  <c r="K281" i="4"/>
  <c r="I281" i="4"/>
  <c r="O301" i="4"/>
  <c r="Q298" i="4"/>
  <c r="O302" i="4"/>
  <c r="Q302" i="4" s="1"/>
  <c r="K125" i="4"/>
  <c r="K190" i="4"/>
  <c r="G219" i="4"/>
  <c r="G202" i="4"/>
  <c r="G236" i="4"/>
  <c r="G140" i="4"/>
  <c r="O178" i="4"/>
  <c r="Q178" i="4" s="1"/>
  <c r="J174" i="4"/>
  <c r="K184" i="4"/>
  <c r="J193" i="4"/>
  <c r="J198" i="4"/>
  <c r="Q198" i="4"/>
  <c r="K212" i="4"/>
  <c r="J235" i="4"/>
  <c r="J238" i="4"/>
  <c r="J269" i="4"/>
  <c r="O285" i="4"/>
  <c r="Q285" i="4" s="1"/>
  <c r="J281" i="4"/>
  <c r="O284" i="4"/>
  <c r="Q284" i="4" s="1"/>
  <c r="I298" i="4"/>
  <c r="K119" i="4"/>
  <c r="G289" i="4"/>
  <c r="G272" i="4"/>
  <c r="G277" i="4"/>
  <c r="G294" i="4"/>
  <c r="K264" i="4"/>
  <c r="I264" i="4"/>
  <c r="O300" i="4"/>
  <c r="K268" i="4"/>
  <c r="G301" i="4"/>
  <c r="G284" i="4"/>
  <c r="O201" i="4"/>
  <c r="Q201" i="4" s="1"/>
  <c r="Q268" i="4"/>
  <c r="J268" i="4"/>
  <c r="J271" i="4"/>
  <c r="O181" i="4"/>
  <c r="Q181" i="4" s="1"/>
  <c r="Q236" i="4"/>
  <c r="O246" i="4"/>
  <c r="Q246" i="4" s="1"/>
  <c r="O249" i="4"/>
  <c r="G248" i="4"/>
  <c r="I268" i="4"/>
  <c r="J282" i="4"/>
  <c r="G291" i="4"/>
  <c r="G274" i="4"/>
  <c r="G279" i="4"/>
  <c r="G296" i="4"/>
  <c r="I302" i="4"/>
  <c r="K302" i="4"/>
  <c r="J136" i="4"/>
  <c r="I177" i="4"/>
  <c r="K194" i="4"/>
  <c r="J197" i="4"/>
  <c r="K228" i="4"/>
  <c r="J244" i="4"/>
  <c r="I246" i="4"/>
  <c r="O252" i="4"/>
  <c r="Q252" i="4" s="1"/>
  <c r="J248" i="4"/>
  <c r="I259" i="4"/>
  <c r="O294" i="4"/>
  <c r="Q294" i="4"/>
  <c r="G197" i="4"/>
  <c r="G180" i="4"/>
  <c r="I297" i="4"/>
  <c r="K297" i="4"/>
  <c r="G173" i="4"/>
  <c r="O200" i="4"/>
  <c r="Q196" i="4"/>
  <c r="O217" i="4"/>
  <c r="Q217" i="4" s="1"/>
  <c r="Q213" i="4"/>
  <c r="G224" i="4"/>
  <c r="Q265" i="4"/>
  <c r="O282" i="4"/>
  <c r="Q282" i="4" s="1"/>
  <c r="Q278" i="4"/>
  <c r="O279" i="4"/>
  <c r="J278" i="4"/>
  <c r="G285" i="4"/>
  <c r="O299" i="4"/>
  <c r="Q299" i="4" s="1"/>
  <c r="Q295" i="4"/>
  <c r="O177" i="4"/>
  <c r="Q177" i="4" s="1"/>
  <c r="J199" i="4"/>
  <c r="I209" i="4"/>
  <c r="O228" i="4"/>
  <c r="Q228" i="4" s="1"/>
  <c r="J230" i="4"/>
  <c r="I245" i="4"/>
  <c r="K245" i="4"/>
  <c r="G247" i="4"/>
  <c r="J252" i="4"/>
  <c r="I260" i="4"/>
  <c r="I265" i="4"/>
  <c r="O280" i="4"/>
  <c r="Q280" i="4" s="1"/>
  <c r="J285" i="4"/>
  <c r="G52" i="5"/>
  <c r="G63" i="5"/>
  <c r="G69" i="5"/>
  <c r="Q300" i="4"/>
  <c r="G80" i="5"/>
  <c r="G90" i="5"/>
  <c r="J300" i="4"/>
  <c r="G24" i="5"/>
  <c r="J264" i="4"/>
  <c r="O268" i="4"/>
  <c r="J290" i="4"/>
  <c r="J296" i="4"/>
  <c r="K267" i="4"/>
  <c r="O281" i="4"/>
  <c r="Q281" i="4" s="1"/>
  <c r="J251" i="4"/>
  <c r="J277" i="4"/>
  <c r="K280" i="4"/>
  <c r="J288" i="4"/>
  <c r="G10" i="5"/>
  <c r="G20" i="5"/>
  <c r="G293" i="4"/>
  <c r="G276" i="4"/>
  <c r="G77" i="5"/>
  <c r="G93" i="5"/>
  <c r="K11" i="3" l="1"/>
  <c r="K15" i="3"/>
  <c r="K20" i="3"/>
  <c r="K13" i="3"/>
  <c r="I171" i="4"/>
  <c r="K171" i="4"/>
  <c r="I224" i="4"/>
  <c r="K224" i="4"/>
  <c r="C31" i="1"/>
  <c r="K14" i="3"/>
  <c r="K17" i="3"/>
  <c r="K10" i="3"/>
  <c r="K8" i="3"/>
  <c r="K117" i="4"/>
  <c r="I117" i="4"/>
  <c r="G106" i="4"/>
  <c r="G90" i="4"/>
  <c r="K285" i="4"/>
  <c r="I285" i="4"/>
  <c r="I140" i="4"/>
  <c r="K140" i="4"/>
  <c r="K101" i="4"/>
  <c r="I101" i="4"/>
  <c r="N32" i="4"/>
  <c r="P32" i="4" s="1"/>
  <c r="G159" i="4"/>
  <c r="G210" i="4"/>
  <c r="G193" i="4"/>
  <c r="G227" i="4"/>
  <c r="G176" i="4"/>
  <c r="K272" i="4"/>
  <c r="I272" i="4"/>
  <c r="K236" i="4"/>
  <c r="I236" i="4"/>
  <c r="C43" i="1"/>
  <c r="I204" i="4"/>
  <c r="K204" i="4"/>
  <c r="F18" i="3"/>
  <c r="K256" i="4"/>
  <c r="I256" i="4"/>
  <c r="K240" i="4"/>
  <c r="I240" i="4"/>
  <c r="G216" i="4"/>
  <c r="G182" i="4"/>
  <c r="G165" i="4"/>
  <c r="G233" i="4"/>
  <c r="F19" i="3" s="1"/>
  <c r="G199" i="4"/>
  <c r="I277" i="4"/>
  <c r="K277" i="4"/>
  <c r="K134" i="4"/>
  <c r="I134" i="4"/>
  <c r="K276" i="4"/>
  <c r="I276" i="4"/>
  <c r="I293" i="4"/>
  <c r="K293" i="4"/>
  <c r="I170" i="4"/>
  <c r="K170" i="4"/>
  <c r="G132" i="4"/>
  <c r="G149" i="4"/>
  <c r="K12" i="3"/>
  <c r="N81" i="4"/>
  <c r="P81" i="4" s="1"/>
  <c r="K187" i="4"/>
  <c r="I187" i="4"/>
  <c r="F17" i="3"/>
  <c r="K282" i="4"/>
  <c r="I282" i="4"/>
  <c r="G242" i="4"/>
  <c r="G258" i="4"/>
  <c r="K180" i="4"/>
  <c r="I180" i="4"/>
  <c r="K284" i="4"/>
  <c r="I284" i="4"/>
  <c r="K219" i="4"/>
  <c r="I219" i="4"/>
  <c r="K22" i="3"/>
  <c r="K197" i="4"/>
  <c r="I197" i="4"/>
  <c r="K301" i="4"/>
  <c r="I301" i="4"/>
  <c r="K188" i="4"/>
  <c r="I188" i="4"/>
  <c r="N49" i="4"/>
  <c r="P49" i="4" s="1"/>
  <c r="I221" i="4"/>
  <c r="K221" i="4"/>
  <c r="C28" i="1"/>
  <c r="N33" i="4"/>
  <c r="P33" i="4" s="1"/>
  <c r="I299" i="4"/>
  <c r="K299" i="4"/>
  <c r="I283" i="4"/>
  <c r="K283" i="4"/>
  <c r="K294" i="4"/>
  <c r="I294" i="4"/>
  <c r="G66" i="4"/>
  <c r="G50" i="4"/>
  <c r="G18" i="4"/>
  <c r="G34" i="4"/>
  <c r="G82" i="4"/>
  <c r="K248" i="4"/>
  <c r="I248" i="4"/>
  <c r="K289" i="4"/>
  <c r="I289" i="4"/>
  <c r="K202" i="4"/>
  <c r="I202" i="4"/>
  <c r="K19" i="3"/>
  <c r="G139" i="4"/>
  <c r="G122" i="4"/>
  <c r="K167" i="4"/>
  <c r="I167" i="4"/>
  <c r="N31" i="4"/>
  <c r="P31" i="4" s="1"/>
  <c r="N47" i="4"/>
  <c r="P47" i="4" s="1"/>
  <c r="K153" i="4"/>
  <c r="I153" i="4"/>
  <c r="K173" i="4"/>
  <c r="I173" i="4"/>
  <c r="N48" i="4"/>
  <c r="P48" i="4" s="1"/>
  <c r="K291" i="4"/>
  <c r="I291" i="4"/>
  <c r="K18" i="3"/>
  <c r="I295" i="4"/>
  <c r="K295" i="4"/>
  <c r="I235" i="4"/>
  <c r="C42" i="1"/>
  <c r="K235" i="4"/>
  <c r="K6" i="3"/>
  <c r="N17" i="4"/>
  <c r="P17" i="4" s="1"/>
  <c r="G257" i="4"/>
  <c r="G241" i="4"/>
  <c r="K23" i="3"/>
  <c r="K201" i="4"/>
  <c r="I201" i="4"/>
  <c r="K278" i="4"/>
  <c r="I278" i="4"/>
  <c r="G287" i="4"/>
  <c r="G270" i="4"/>
  <c r="N78" i="4"/>
  <c r="P78" i="4" s="1"/>
  <c r="K16" i="3"/>
  <c r="K290" i="4"/>
  <c r="I290" i="4"/>
  <c r="N16" i="4"/>
  <c r="P16" i="4" s="1"/>
  <c r="G93" i="4"/>
  <c r="G109" i="4"/>
  <c r="K218" i="4"/>
  <c r="I218" i="4"/>
  <c r="K296" i="4"/>
  <c r="I296" i="4"/>
  <c r="K279" i="4"/>
  <c r="I279" i="4"/>
  <c r="K217" i="4"/>
  <c r="I217" i="4"/>
  <c r="I273" i="4"/>
  <c r="K273" i="4"/>
  <c r="N14" i="4"/>
  <c r="P14" i="4" s="1"/>
  <c r="K7" i="3"/>
  <c r="G254" i="4"/>
  <c r="G238" i="4"/>
  <c r="K247" i="4"/>
  <c r="I247" i="4"/>
  <c r="K274" i="4"/>
  <c r="I274" i="4"/>
  <c r="K300" i="4"/>
  <c r="I300" i="4"/>
  <c r="K205" i="4"/>
  <c r="I205" i="4"/>
  <c r="K9" i="3"/>
  <c r="C11" i="1" l="1"/>
  <c r="N231" i="4"/>
  <c r="P231" i="4" s="1"/>
  <c r="I18" i="4"/>
  <c r="N18" i="4"/>
  <c r="P18" i="4" s="1"/>
  <c r="K18" i="4"/>
  <c r="F6" i="3"/>
  <c r="K139" i="4"/>
  <c r="I139" i="4"/>
  <c r="F14" i="3"/>
  <c r="I182" i="4"/>
  <c r="K182" i="4"/>
  <c r="K242" i="4"/>
  <c r="I242" i="4"/>
  <c r="N165" i="4"/>
  <c r="P165" i="4" s="1"/>
  <c r="I165" i="4"/>
  <c r="K165" i="4"/>
  <c r="N167" i="4" s="1"/>
  <c r="P167" i="4" s="1"/>
  <c r="K287" i="4"/>
  <c r="I287" i="4"/>
  <c r="F23" i="3"/>
  <c r="N177" i="4"/>
  <c r="P177" i="4" s="1"/>
  <c r="K270" i="4"/>
  <c r="I270" i="4"/>
  <c r="F22" i="3"/>
  <c r="F13" i="3"/>
  <c r="K122" i="4"/>
  <c r="I122" i="4"/>
  <c r="K50" i="4"/>
  <c r="I50" i="4"/>
  <c r="N50" i="4"/>
  <c r="P50" i="4" s="1"/>
  <c r="F8" i="3"/>
  <c r="K66" i="4"/>
  <c r="I66" i="4"/>
  <c r="N66" i="4"/>
  <c r="P66" i="4" s="1"/>
  <c r="F9" i="3"/>
  <c r="N214" i="4"/>
  <c r="P214" i="4" s="1"/>
  <c r="N215" i="4"/>
  <c r="P215" i="4" s="1"/>
  <c r="N218" i="4"/>
  <c r="P218" i="4" s="1"/>
  <c r="C9" i="1"/>
  <c r="K93" i="4"/>
  <c r="I93" i="4"/>
  <c r="N163" i="4"/>
  <c r="P163" i="4" s="1"/>
  <c r="N160" i="4"/>
  <c r="P160" i="4" s="1"/>
  <c r="N161" i="4"/>
  <c r="P161" i="4" s="1"/>
  <c r="N162" i="4"/>
  <c r="P162" i="4" s="1"/>
  <c r="N217" i="4"/>
  <c r="P217" i="4" s="1"/>
  <c r="N194" i="4"/>
  <c r="P194" i="4" s="1"/>
  <c r="N195" i="4"/>
  <c r="P195" i="4" s="1"/>
  <c r="N198" i="4"/>
  <c r="P198" i="4" s="1"/>
  <c r="N229" i="4"/>
  <c r="P229" i="4" s="1"/>
  <c r="K216" i="4"/>
  <c r="I216" i="4"/>
  <c r="K176" i="4"/>
  <c r="N181" i="4" s="1"/>
  <c r="P181" i="4" s="1"/>
  <c r="I176" i="4"/>
  <c r="I90" i="4"/>
  <c r="K90" i="4"/>
  <c r="F11" i="3"/>
  <c r="I18" i="3"/>
  <c r="E10" i="1" s="1"/>
  <c r="C10" i="1"/>
  <c r="G18" i="3"/>
  <c r="D10" i="1" s="1"/>
  <c r="K227" i="4"/>
  <c r="I227" i="4"/>
  <c r="C34" i="1"/>
  <c r="I106" i="4"/>
  <c r="K106" i="4"/>
  <c r="F12" i="3"/>
  <c r="K233" i="4"/>
  <c r="N236" i="4" s="1"/>
  <c r="P236" i="4" s="1"/>
  <c r="I233" i="4"/>
  <c r="N233" i="4"/>
  <c r="P233" i="4" s="1"/>
  <c r="C40" i="1"/>
  <c r="F15" i="3"/>
  <c r="I109" i="4"/>
  <c r="K109" i="4"/>
  <c r="K238" i="4"/>
  <c r="I238" i="4"/>
  <c r="F20" i="3"/>
  <c r="I241" i="4"/>
  <c r="K241" i="4"/>
  <c r="N212" i="4"/>
  <c r="P212" i="4" s="1"/>
  <c r="I193" i="4"/>
  <c r="K193" i="4"/>
  <c r="N232" i="4"/>
  <c r="P232" i="4" s="1"/>
  <c r="K254" i="4"/>
  <c r="I254" i="4"/>
  <c r="F21" i="3"/>
  <c r="I257" i="4"/>
  <c r="K257" i="4"/>
  <c r="K149" i="4"/>
  <c r="I149" i="4"/>
  <c r="I210" i="4"/>
  <c r="K210" i="4"/>
  <c r="N219" i="4" s="1"/>
  <c r="P219" i="4" s="1"/>
  <c r="N230" i="4"/>
  <c r="P230" i="4" s="1"/>
  <c r="N82" i="4"/>
  <c r="P82" i="4" s="1"/>
  <c r="K82" i="4"/>
  <c r="F10" i="3"/>
  <c r="I82" i="4"/>
  <c r="N180" i="4"/>
  <c r="P180" i="4" s="1"/>
  <c r="I132" i="4"/>
  <c r="K132" i="4"/>
  <c r="K159" i="4"/>
  <c r="N164" i="4" s="1"/>
  <c r="P164" i="4" s="1"/>
  <c r="I159" i="4"/>
  <c r="N34" i="4"/>
  <c r="P34" i="4" s="1"/>
  <c r="K34" i="4"/>
  <c r="I34" i="4"/>
  <c r="F7" i="3"/>
  <c r="K258" i="4"/>
  <c r="I258" i="4"/>
  <c r="F16" i="3"/>
  <c r="I199" i="4"/>
  <c r="I17" i="3" s="1"/>
  <c r="E9" i="1" s="1"/>
  <c r="K199" i="4"/>
  <c r="G16" i="3" l="1"/>
  <c r="D8" i="1" s="1"/>
  <c r="I16" i="3"/>
  <c r="E8" i="1" s="1"/>
  <c r="C8" i="1"/>
  <c r="G17" i="3"/>
  <c r="N146" i="4"/>
  <c r="P146" i="4" s="1"/>
  <c r="N145" i="4"/>
  <c r="P145" i="4" s="1"/>
  <c r="N151" i="4"/>
  <c r="P151" i="4" s="1"/>
  <c r="N147" i="4"/>
  <c r="P147" i="4" s="1"/>
  <c r="N143" i="4"/>
  <c r="P143" i="4" s="1"/>
  <c r="N150" i="4"/>
  <c r="P150" i="4" s="1"/>
  <c r="N144" i="4"/>
  <c r="P144" i="4" s="1"/>
  <c r="N148" i="4"/>
  <c r="P148" i="4" s="1"/>
  <c r="N53" i="4"/>
  <c r="P53" i="4" s="1"/>
  <c r="J8" i="3" s="1"/>
  <c r="N51" i="4"/>
  <c r="P51" i="4" s="1"/>
  <c r="N52" i="4"/>
  <c r="P52" i="4" s="1"/>
  <c r="H21" i="3"/>
  <c r="I21" i="3"/>
  <c r="G21" i="3"/>
  <c r="I6" i="3"/>
  <c r="G6" i="3"/>
  <c r="H6" i="3" s="1"/>
  <c r="N21" i="4"/>
  <c r="P21" i="4" s="1"/>
  <c r="N20" i="4"/>
  <c r="P20" i="4" s="1"/>
  <c r="N19" i="4"/>
  <c r="P19" i="4" s="1"/>
  <c r="J6" i="3" s="1"/>
  <c r="I7" i="3"/>
  <c r="G7" i="3"/>
  <c r="H7" i="3" s="1"/>
  <c r="N85" i="4"/>
  <c r="P85" i="4" s="1"/>
  <c r="N84" i="4"/>
  <c r="P84" i="4" s="1"/>
  <c r="N83" i="4"/>
  <c r="P83" i="4" s="1"/>
  <c r="J10" i="3" s="1"/>
  <c r="N99" i="4"/>
  <c r="P99" i="4" s="1"/>
  <c r="N100" i="4"/>
  <c r="P100" i="4" s="1"/>
  <c r="N94" i="4"/>
  <c r="P94" i="4" s="1"/>
  <c r="N98" i="4"/>
  <c r="P98" i="4" s="1"/>
  <c r="N97" i="4"/>
  <c r="P97" i="4" s="1"/>
  <c r="N96" i="4"/>
  <c r="P96" i="4" s="1"/>
  <c r="N95" i="4"/>
  <c r="P95" i="4" s="1"/>
  <c r="N101" i="4"/>
  <c r="P101" i="4" s="1"/>
  <c r="N37" i="4"/>
  <c r="P37" i="4" s="1"/>
  <c r="N36" i="4"/>
  <c r="P36" i="4" s="1"/>
  <c r="N35" i="4"/>
  <c r="P35" i="4" s="1"/>
  <c r="J7" i="3" s="1"/>
  <c r="G13" i="3"/>
  <c r="H13" i="3"/>
  <c r="I13" i="3"/>
  <c r="N280" i="4"/>
  <c r="P280" i="4" s="1"/>
  <c r="N281" i="4"/>
  <c r="P281" i="4" s="1"/>
  <c r="N277" i="4"/>
  <c r="P277" i="4" s="1"/>
  <c r="J22" i="3" s="1"/>
  <c r="N279" i="4"/>
  <c r="P279" i="4" s="1"/>
  <c r="N284" i="4"/>
  <c r="P284" i="4" s="1"/>
  <c r="N283" i="4"/>
  <c r="P283" i="4" s="1"/>
  <c r="N278" i="4"/>
  <c r="P278" i="4" s="1"/>
  <c r="N285" i="4"/>
  <c r="P285" i="4" s="1"/>
  <c r="N282" i="4"/>
  <c r="P282" i="4" s="1"/>
  <c r="H18" i="3"/>
  <c r="I23" i="3"/>
  <c r="G23" i="3"/>
  <c r="H23" i="3" s="1"/>
  <c r="I15" i="3"/>
  <c r="E7" i="1" s="1"/>
  <c r="G15" i="3"/>
  <c r="D7" i="1" s="1"/>
  <c r="C7" i="1"/>
  <c r="N115" i="4"/>
  <c r="P115" i="4" s="1"/>
  <c r="N110" i="4"/>
  <c r="P110" i="4" s="1"/>
  <c r="J12" i="3" s="1"/>
  <c r="N116" i="4"/>
  <c r="P116" i="4" s="1"/>
  <c r="N113" i="4"/>
  <c r="P113" i="4" s="1"/>
  <c r="N117" i="4"/>
  <c r="P117" i="4" s="1"/>
  <c r="N112" i="4"/>
  <c r="P112" i="4" s="1"/>
  <c r="N111" i="4"/>
  <c r="P111" i="4" s="1"/>
  <c r="N114" i="4"/>
  <c r="P114" i="4" s="1"/>
  <c r="N126" i="4"/>
  <c r="P126" i="4" s="1"/>
  <c r="N131" i="4"/>
  <c r="P131" i="4" s="1"/>
  <c r="N127" i="4"/>
  <c r="P127" i="4" s="1"/>
  <c r="N134" i="4"/>
  <c r="P134" i="4" s="1"/>
  <c r="N133" i="4"/>
  <c r="P133" i="4" s="1"/>
  <c r="N128" i="4"/>
  <c r="P128" i="4" s="1"/>
  <c r="N130" i="4"/>
  <c r="P130" i="4" s="1"/>
  <c r="N129" i="4"/>
  <c r="P129" i="4" s="1"/>
  <c r="N297" i="4"/>
  <c r="P297" i="4" s="1"/>
  <c r="N302" i="4"/>
  <c r="P302" i="4" s="1"/>
  <c r="N298" i="4"/>
  <c r="P298" i="4" s="1"/>
  <c r="N299" i="4"/>
  <c r="P299" i="4" s="1"/>
  <c r="N296" i="4"/>
  <c r="P296" i="4" s="1"/>
  <c r="N301" i="4"/>
  <c r="P301" i="4" s="1"/>
  <c r="N295" i="4"/>
  <c r="P295" i="4" s="1"/>
  <c r="N300" i="4"/>
  <c r="P300" i="4" s="1"/>
  <c r="N294" i="4"/>
  <c r="P294" i="4" s="1"/>
  <c r="I22" i="3"/>
  <c r="G22" i="3"/>
  <c r="H22" i="3" s="1"/>
  <c r="G19" i="3"/>
  <c r="N183" i="4"/>
  <c r="P183" i="4" s="1"/>
  <c r="I19" i="3"/>
  <c r="E11" i="1" s="1"/>
  <c r="I10" i="3"/>
  <c r="G10" i="3"/>
  <c r="H10" i="3" s="1"/>
  <c r="N266" i="4"/>
  <c r="P266" i="4" s="1"/>
  <c r="N268" i="4"/>
  <c r="P268" i="4" s="1"/>
  <c r="N263" i="4"/>
  <c r="P263" i="4" s="1"/>
  <c r="N265" i="4"/>
  <c r="P265" i="4" s="1"/>
  <c r="N261" i="4"/>
  <c r="P261" i="4" s="1"/>
  <c r="N262" i="4"/>
  <c r="P262" i="4" s="1"/>
  <c r="N267" i="4"/>
  <c r="P267" i="4" s="1"/>
  <c r="N264" i="4"/>
  <c r="P264" i="4" s="1"/>
  <c r="J9" i="3"/>
  <c r="N168" i="4"/>
  <c r="P168" i="4" s="1"/>
  <c r="G20" i="3"/>
  <c r="H20" i="3"/>
  <c r="I20" i="3"/>
  <c r="N69" i="4"/>
  <c r="P69" i="4" s="1"/>
  <c r="N67" i="4"/>
  <c r="P67" i="4" s="1"/>
  <c r="N68" i="4"/>
  <c r="P68" i="4" s="1"/>
  <c r="N184" i="4"/>
  <c r="P184" i="4" s="1"/>
  <c r="N182" i="4"/>
  <c r="P182" i="4" s="1"/>
  <c r="N213" i="4"/>
  <c r="P213" i="4" s="1"/>
  <c r="N235" i="4"/>
  <c r="P235" i="4" s="1"/>
  <c r="N179" i="4"/>
  <c r="P179" i="4" s="1"/>
  <c r="N216" i="4"/>
  <c r="P216" i="4" s="1"/>
  <c r="N149" i="4"/>
  <c r="P149" i="4" s="1"/>
  <c r="G8" i="3"/>
  <c r="H8" i="3" s="1"/>
  <c r="I8" i="3"/>
  <c r="N178" i="4"/>
  <c r="P178" i="4" s="1"/>
  <c r="J16" i="3" s="1"/>
  <c r="I14" i="3"/>
  <c r="G14" i="3"/>
  <c r="H14" i="3" s="1"/>
  <c r="N211" i="4"/>
  <c r="P211" i="4" s="1"/>
  <c r="I11" i="3"/>
  <c r="G11" i="3"/>
  <c r="H11" i="3" s="1"/>
  <c r="N197" i="4"/>
  <c r="P197" i="4" s="1"/>
  <c r="J17" i="3" s="1"/>
  <c r="N200" i="4"/>
  <c r="P200" i="4" s="1"/>
  <c r="N202" i="4"/>
  <c r="P202" i="4" s="1"/>
  <c r="N166" i="4"/>
  <c r="P166" i="4" s="1"/>
  <c r="J15" i="3" s="1"/>
  <c r="N196" i="4"/>
  <c r="P196" i="4" s="1"/>
  <c r="I12" i="3"/>
  <c r="H12" i="3"/>
  <c r="G12" i="3"/>
  <c r="G9" i="3"/>
  <c r="H9" i="3" s="1"/>
  <c r="I9" i="3"/>
  <c r="N185" i="4"/>
  <c r="P185" i="4" s="1"/>
  <c r="N199" i="4"/>
  <c r="P199" i="4" s="1"/>
  <c r="N132" i="4"/>
  <c r="P132" i="4" s="1"/>
  <c r="N252" i="4"/>
  <c r="P252" i="4" s="1"/>
  <c r="N249" i="4"/>
  <c r="P249" i="4" s="1"/>
  <c r="N251" i="4"/>
  <c r="P251" i="4" s="1"/>
  <c r="N250" i="4"/>
  <c r="P250" i="4" s="1"/>
  <c r="N246" i="4"/>
  <c r="P246" i="4" s="1"/>
  <c r="N248" i="4"/>
  <c r="P248" i="4" s="1"/>
  <c r="N247" i="4"/>
  <c r="P247" i="4" s="1"/>
  <c r="N245" i="4"/>
  <c r="P245" i="4" s="1"/>
  <c r="N234" i="4"/>
  <c r="P234" i="4" s="1"/>
  <c r="N228" i="4"/>
  <c r="P228" i="4" s="1"/>
  <c r="J19" i="3" s="1"/>
  <c r="N201" i="4"/>
  <c r="P201" i="4" s="1"/>
  <c r="L36" i="4" l="1"/>
  <c r="M36" i="4" s="1"/>
  <c r="L32" i="4"/>
  <c r="M32" i="4" s="1"/>
  <c r="L33" i="4"/>
  <c r="M33" i="4" s="1"/>
  <c r="L23" i="4"/>
  <c r="M23" i="4" s="1"/>
  <c r="L25" i="4"/>
  <c r="M25" i="4" s="1"/>
  <c r="L27" i="4"/>
  <c r="M27" i="4" s="1"/>
  <c r="L31" i="4"/>
  <c r="M31" i="4" s="1"/>
  <c r="L29" i="4"/>
  <c r="M29" i="4" s="1"/>
  <c r="L34" i="4"/>
  <c r="M34" i="4" s="1"/>
  <c r="L37" i="4"/>
  <c r="M37" i="4" s="1"/>
  <c r="L22" i="4"/>
  <c r="M22" i="4" s="1"/>
  <c r="L24" i="4"/>
  <c r="M24" i="4" s="1"/>
  <c r="L26" i="4"/>
  <c r="M26" i="4" s="1"/>
  <c r="L35" i="4"/>
  <c r="M35" i="4" s="1"/>
  <c r="L28" i="4"/>
  <c r="M28" i="4" s="1"/>
  <c r="L30" i="4"/>
  <c r="M30" i="4" s="1"/>
  <c r="L151" i="4"/>
  <c r="M151" i="4" s="1"/>
  <c r="L140" i="4"/>
  <c r="M140" i="4" s="1"/>
  <c r="L145" i="4"/>
  <c r="M145" i="4" s="1"/>
  <c r="L142" i="4"/>
  <c r="M142" i="4" s="1"/>
  <c r="L150" i="4"/>
  <c r="M150" i="4" s="1"/>
  <c r="L148" i="4"/>
  <c r="M148" i="4" s="1"/>
  <c r="L146" i="4"/>
  <c r="M146" i="4" s="1"/>
  <c r="L139" i="4"/>
  <c r="M139" i="4" s="1"/>
  <c r="L144" i="4"/>
  <c r="M144" i="4" s="1"/>
  <c r="L136" i="4"/>
  <c r="M136" i="4" s="1"/>
  <c r="L143" i="4"/>
  <c r="M143" i="4" s="1"/>
  <c r="L147" i="4"/>
  <c r="M147" i="4" s="1"/>
  <c r="L137" i="4"/>
  <c r="M137" i="4" s="1"/>
  <c r="L141" i="4"/>
  <c r="M141" i="4" s="1"/>
  <c r="L149" i="4"/>
  <c r="M149" i="4" s="1"/>
  <c r="L135" i="4"/>
  <c r="M135" i="4" s="1"/>
  <c r="L138" i="4"/>
  <c r="M138" i="4" s="1"/>
  <c r="L300" i="4"/>
  <c r="M300" i="4" s="1"/>
  <c r="L298" i="4"/>
  <c r="M298" i="4" s="1"/>
  <c r="L296" i="4"/>
  <c r="M296" i="4" s="1"/>
  <c r="L290" i="4"/>
  <c r="M290" i="4" s="1"/>
  <c r="L302" i="4"/>
  <c r="M302" i="4" s="1"/>
  <c r="L292" i="4"/>
  <c r="M292" i="4" s="1"/>
  <c r="L297" i="4"/>
  <c r="M297" i="4" s="1"/>
  <c r="L294" i="4"/>
  <c r="M294" i="4" s="1"/>
  <c r="L287" i="4"/>
  <c r="M287" i="4" s="1"/>
  <c r="L291" i="4"/>
  <c r="M291" i="4" s="1"/>
  <c r="L299" i="4"/>
  <c r="M299" i="4" s="1"/>
  <c r="L286" i="4"/>
  <c r="M286" i="4" s="1"/>
  <c r="L301" i="4"/>
  <c r="M301" i="4" s="1"/>
  <c r="L293" i="4"/>
  <c r="M293" i="4" s="1"/>
  <c r="L289" i="4"/>
  <c r="M289" i="4" s="1"/>
  <c r="L288" i="4"/>
  <c r="M288" i="4" s="1"/>
  <c r="L295" i="4"/>
  <c r="M295" i="4" s="1"/>
  <c r="L98" i="4"/>
  <c r="M98" i="4" s="1"/>
  <c r="L93" i="4"/>
  <c r="M93" i="4" s="1"/>
  <c r="L96" i="4"/>
  <c r="M96" i="4" s="1"/>
  <c r="L100" i="4"/>
  <c r="M100" i="4" s="1"/>
  <c r="L91" i="4"/>
  <c r="M91" i="4" s="1"/>
  <c r="L86" i="4"/>
  <c r="M86" i="4" s="1"/>
  <c r="L101" i="4"/>
  <c r="M101" i="4" s="1"/>
  <c r="L97" i="4"/>
  <c r="M97" i="4" s="1"/>
  <c r="L88" i="4"/>
  <c r="M88" i="4" s="1"/>
  <c r="L99" i="4"/>
  <c r="M99" i="4" s="1"/>
  <c r="L95" i="4"/>
  <c r="M95" i="4" s="1"/>
  <c r="L90" i="4"/>
  <c r="M90" i="4" s="1"/>
  <c r="L92" i="4"/>
  <c r="M92" i="4" s="1"/>
  <c r="L87" i="4"/>
  <c r="M87" i="4" s="1"/>
  <c r="L94" i="4"/>
  <c r="M94" i="4" s="1"/>
  <c r="L89" i="4"/>
  <c r="M89" i="4" s="1"/>
  <c r="L281" i="4"/>
  <c r="M281" i="4" s="1"/>
  <c r="L284" i="4"/>
  <c r="M284" i="4" s="1"/>
  <c r="L270" i="4"/>
  <c r="M270" i="4" s="1"/>
  <c r="L278" i="4"/>
  <c r="M278" i="4" s="1"/>
  <c r="L272" i="4"/>
  <c r="M272" i="4" s="1"/>
  <c r="L274" i="4"/>
  <c r="M274" i="4" s="1"/>
  <c r="L276" i="4"/>
  <c r="M276" i="4" s="1"/>
  <c r="L275" i="4"/>
  <c r="M275" i="4" s="1"/>
  <c r="L271" i="4"/>
  <c r="M271" i="4" s="1"/>
  <c r="L277" i="4"/>
  <c r="M277" i="4" s="1"/>
  <c r="L279" i="4"/>
  <c r="M279" i="4" s="1"/>
  <c r="L280" i="4"/>
  <c r="M280" i="4" s="1"/>
  <c r="L283" i="4"/>
  <c r="M283" i="4" s="1"/>
  <c r="L273" i="4"/>
  <c r="M273" i="4" s="1"/>
  <c r="L282" i="4"/>
  <c r="M282" i="4" s="1"/>
  <c r="L269" i="4"/>
  <c r="M269" i="4" s="1"/>
  <c r="L285" i="4"/>
  <c r="M285" i="4" s="1"/>
  <c r="L14" i="4"/>
  <c r="M14" i="4" s="1"/>
  <c r="L12" i="4"/>
  <c r="M12" i="4" s="1"/>
  <c r="L10" i="4"/>
  <c r="M10" i="4" s="1"/>
  <c r="L8" i="4"/>
  <c r="M8" i="4" s="1"/>
  <c r="L6" i="4"/>
  <c r="M6" i="4" s="1"/>
  <c r="L19" i="4"/>
  <c r="M19" i="4" s="1"/>
  <c r="L9" i="4"/>
  <c r="M9" i="4" s="1"/>
  <c r="L15" i="4"/>
  <c r="M15" i="4" s="1"/>
  <c r="L11" i="4"/>
  <c r="M11" i="4" s="1"/>
  <c r="L16" i="4"/>
  <c r="M16" i="4" s="1"/>
  <c r="L18" i="4"/>
  <c r="M18" i="4" s="1"/>
  <c r="L13" i="4"/>
  <c r="M13" i="4" s="1"/>
  <c r="L21" i="4"/>
  <c r="M21" i="4" s="1"/>
  <c r="L17" i="4"/>
  <c r="M17" i="4" s="1"/>
  <c r="L7" i="4"/>
  <c r="M7" i="4" s="1"/>
  <c r="L20" i="4"/>
  <c r="M20" i="4" s="1"/>
  <c r="L81" i="4"/>
  <c r="M81" i="4" s="1"/>
  <c r="L70" i="4"/>
  <c r="M70" i="4" s="1"/>
  <c r="L74" i="4"/>
  <c r="M74" i="4" s="1"/>
  <c r="L75" i="4"/>
  <c r="M75" i="4" s="1"/>
  <c r="L71" i="4"/>
  <c r="M71" i="4" s="1"/>
  <c r="L72" i="4"/>
  <c r="M72" i="4" s="1"/>
  <c r="L79" i="4"/>
  <c r="M79" i="4" s="1"/>
  <c r="L84" i="4"/>
  <c r="M84" i="4" s="1"/>
  <c r="L77" i="4"/>
  <c r="M77" i="4" s="1"/>
  <c r="L82" i="4"/>
  <c r="M82" i="4" s="1"/>
  <c r="L76" i="4"/>
  <c r="M76" i="4" s="1"/>
  <c r="L85" i="4"/>
  <c r="M85" i="4" s="1"/>
  <c r="L80" i="4"/>
  <c r="M80" i="4" s="1"/>
  <c r="L78" i="4"/>
  <c r="M78" i="4" s="1"/>
  <c r="L73" i="4"/>
  <c r="M73" i="4" s="1"/>
  <c r="L83" i="4"/>
  <c r="M83" i="4" s="1"/>
  <c r="L68" i="4"/>
  <c r="M68" i="4" s="1"/>
  <c r="L62" i="4"/>
  <c r="M62" i="4" s="1"/>
  <c r="L60" i="4"/>
  <c r="M60" i="4" s="1"/>
  <c r="L58" i="4"/>
  <c r="M58" i="4" s="1"/>
  <c r="L56" i="4"/>
  <c r="M56" i="4" s="1"/>
  <c r="L54" i="4"/>
  <c r="M54" i="4" s="1"/>
  <c r="L66" i="4"/>
  <c r="M66" i="4" s="1"/>
  <c r="L63" i="4"/>
  <c r="M63" i="4" s="1"/>
  <c r="L64" i="4"/>
  <c r="M64" i="4" s="1"/>
  <c r="L55" i="4"/>
  <c r="M55" i="4" s="1"/>
  <c r="L69" i="4"/>
  <c r="M69" i="4" s="1"/>
  <c r="L67" i="4"/>
  <c r="M67" i="4" s="1"/>
  <c r="L57" i="4"/>
  <c r="M57" i="4" s="1"/>
  <c r="L65" i="4"/>
  <c r="M65" i="4" s="1"/>
  <c r="L59" i="4"/>
  <c r="M59" i="4" s="1"/>
  <c r="L61" i="4"/>
  <c r="M61" i="4" s="1"/>
  <c r="L46" i="4"/>
  <c r="M46" i="4" s="1"/>
  <c r="L44" i="4"/>
  <c r="M44" i="4" s="1"/>
  <c r="L42" i="4"/>
  <c r="M42" i="4" s="1"/>
  <c r="L40" i="4"/>
  <c r="M40" i="4" s="1"/>
  <c r="L38" i="4"/>
  <c r="M38" i="4" s="1"/>
  <c r="L50" i="4"/>
  <c r="M50" i="4" s="1"/>
  <c r="L52" i="4"/>
  <c r="M52" i="4" s="1"/>
  <c r="L47" i="4"/>
  <c r="M47" i="4" s="1"/>
  <c r="L45" i="4"/>
  <c r="M45" i="4" s="1"/>
  <c r="L51" i="4"/>
  <c r="M51" i="4" s="1"/>
  <c r="L48" i="4"/>
  <c r="M48" i="4" s="1"/>
  <c r="L39" i="4"/>
  <c r="M39" i="4" s="1"/>
  <c r="L53" i="4"/>
  <c r="M53" i="4" s="1"/>
  <c r="L41" i="4"/>
  <c r="M41" i="4" s="1"/>
  <c r="L49" i="4"/>
  <c r="M49" i="4" s="1"/>
  <c r="L43" i="4"/>
  <c r="M43" i="4" s="1"/>
  <c r="J21" i="3"/>
  <c r="J18" i="3"/>
  <c r="J13" i="3"/>
  <c r="J20" i="3"/>
  <c r="J14" i="3"/>
  <c r="D11" i="1"/>
  <c r="H19" i="3"/>
  <c r="H15" i="3"/>
  <c r="J11" i="3"/>
  <c r="D9" i="1"/>
  <c r="H17" i="3"/>
  <c r="L268" i="4"/>
  <c r="M268" i="4" s="1"/>
  <c r="L260" i="4"/>
  <c r="M260" i="4" s="1"/>
  <c r="L258" i="4"/>
  <c r="M258" i="4" s="1"/>
  <c r="L256" i="4"/>
  <c r="M256" i="4" s="1"/>
  <c r="L254" i="4"/>
  <c r="M254" i="4" s="1"/>
  <c r="L267" i="4"/>
  <c r="M267" i="4" s="1"/>
  <c r="L264" i="4"/>
  <c r="M264" i="4" s="1"/>
  <c r="L259" i="4"/>
  <c r="M259" i="4" s="1"/>
  <c r="L261" i="4"/>
  <c r="M261" i="4" s="1"/>
  <c r="L265" i="4"/>
  <c r="M265" i="4" s="1"/>
  <c r="L262" i="4"/>
  <c r="M262" i="4" s="1"/>
  <c r="L266" i="4"/>
  <c r="M266" i="4" s="1"/>
  <c r="L253" i="4"/>
  <c r="M253" i="4" s="1"/>
  <c r="L257" i="4"/>
  <c r="M257" i="4" s="1"/>
  <c r="L263" i="4"/>
  <c r="M263" i="4" s="1"/>
  <c r="L255" i="4"/>
  <c r="M255" i="4" s="1"/>
  <c r="L133" i="4"/>
  <c r="M133" i="4" s="1"/>
  <c r="L134" i="4"/>
  <c r="M134" i="4" s="1"/>
  <c r="L130" i="4"/>
  <c r="M130" i="4" s="1"/>
  <c r="L122" i="4"/>
  <c r="M122" i="4" s="1"/>
  <c r="L124" i="4"/>
  <c r="M124" i="4" s="1"/>
  <c r="L119" i="4"/>
  <c r="M119" i="4" s="1"/>
  <c r="L128" i="4"/>
  <c r="M128" i="4" s="1"/>
  <c r="L126" i="4"/>
  <c r="M126" i="4" s="1"/>
  <c r="L121" i="4"/>
  <c r="M121" i="4" s="1"/>
  <c r="L131" i="4"/>
  <c r="M131" i="4" s="1"/>
  <c r="L129" i="4"/>
  <c r="M129" i="4" s="1"/>
  <c r="L118" i="4"/>
  <c r="M118" i="4" s="1"/>
  <c r="L125" i="4"/>
  <c r="M125" i="4" s="1"/>
  <c r="L120" i="4"/>
  <c r="M120" i="4" s="1"/>
  <c r="L127" i="4"/>
  <c r="M127" i="4" s="1"/>
  <c r="L123" i="4"/>
  <c r="M123" i="4" s="1"/>
  <c r="L132" i="4"/>
  <c r="M132" i="4" s="1"/>
  <c r="L216" i="4"/>
  <c r="M216" i="4" s="1"/>
  <c r="L213" i="4"/>
  <c r="M213" i="4" s="1"/>
  <c r="L205" i="4"/>
  <c r="M205" i="4" s="1"/>
  <c r="L219" i="4"/>
  <c r="M219" i="4" s="1"/>
  <c r="L206" i="4"/>
  <c r="M206" i="4" s="1"/>
  <c r="L211" i="4"/>
  <c r="M211" i="4" s="1"/>
  <c r="L208" i="4"/>
  <c r="M208" i="4" s="1"/>
  <c r="L203" i="4"/>
  <c r="M203" i="4" s="1"/>
  <c r="L212" i="4"/>
  <c r="M212" i="4" s="1"/>
  <c r="L217" i="4"/>
  <c r="M217" i="4" s="1"/>
  <c r="L209" i="4"/>
  <c r="M209" i="4" s="1"/>
  <c r="L214" i="4"/>
  <c r="M214" i="4" s="1"/>
  <c r="L204" i="4"/>
  <c r="M204" i="4" s="1"/>
  <c r="L215" i="4"/>
  <c r="M215" i="4" s="1"/>
  <c r="L207" i="4"/>
  <c r="M207" i="4" s="1"/>
  <c r="L210" i="4"/>
  <c r="M210" i="4" s="1"/>
  <c r="L218" i="4"/>
  <c r="M218" i="4" s="1"/>
  <c r="H16" i="3"/>
  <c r="L110" i="4"/>
  <c r="M110" i="4" s="1"/>
  <c r="L117" i="4"/>
  <c r="M117" i="4" s="1"/>
  <c r="L114" i="4"/>
  <c r="M114" i="4" s="1"/>
  <c r="L111" i="4"/>
  <c r="M111" i="4" s="1"/>
  <c r="L103" i="4"/>
  <c r="M103" i="4" s="1"/>
  <c r="L105" i="4"/>
  <c r="M105" i="4" s="1"/>
  <c r="L107" i="4"/>
  <c r="M107" i="4" s="1"/>
  <c r="L115" i="4"/>
  <c r="M115" i="4" s="1"/>
  <c r="L109" i="4"/>
  <c r="M109" i="4" s="1"/>
  <c r="L104" i="4"/>
  <c r="M104" i="4" s="1"/>
  <c r="L116" i="4"/>
  <c r="M116" i="4" s="1"/>
  <c r="L112" i="4"/>
  <c r="M112" i="4" s="1"/>
  <c r="L106" i="4"/>
  <c r="M106" i="4" s="1"/>
  <c r="L102" i="4"/>
  <c r="M102" i="4" s="1"/>
  <c r="L108" i="4"/>
  <c r="M108" i="4" s="1"/>
  <c r="L113" i="4"/>
  <c r="M113" i="4" s="1"/>
  <c r="J23" i="3"/>
  <c r="L246" i="4"/>
  <c r="M246" i="4" s="1"/>
  <c r="L251" i="4"/>
  <c r="M251" i="4" s="1"/>
  <c r="L245" i="4"/>
  <c r="M245" i="4" s="1"/>
  <c r="L240" i="4"/>
  <c r="M240" i="4" s="1"/>
  <c r="L242" i="4"/>
  <c r="M242" i="4" s="1"/>
  <c r="L250" i="4"/>
  <c r="M250" i="4" s="1"/>
  <c r="L244" i="4"/>
  <c r="M244" i="4" s="1"/>
  <c r="L237" i="4"/>
  <c r="M237" i="4" s="1"/>
  <c r="L249" i="4"/>
  <c r="M249" i="4" s="1"/>
  <c r="L247" i="4"/>
  <c r="M247" i="4" s="1"/>
  <c r="L243" i="4"/>
  <c r="M243" i="4" s="1"/>
  <c r="L252" i="4"/>
  <c r="M252" i="4" s="1"/>
  <c r="L239" i="4"/>
  <c r="M239" i="4" s="1"/>
  <c r="L241" i="4"/>
  <c r="M241" i="4" s="1"/>
  <c r="L248" i="4"/>
  <c r="M248" i="4" s="1"/>
  <c r="L238" i="4"/>
  <c r="M238" i="4" s="1"/>
  <c r="L229" i="4" l="1"/>
  <c r="M229" i="4" s="1"/>
  <c r="L235" i="4"/>
  <c r="M235" i="4" s="1"/>
  <c r="L233" i="4"/>
  <c r="M233" i="4" s="1"/>
  <c r="L221" i="4"/>
  <c r="M221" i="4" s="1"/>
  <c r="L236" i="4"/>
  <c r="M236" i="4" s="1"/>
  <c r="L226" i="4"/>
  <c r="M226" i="4" s="1"/>
  <c r="L234" i="4"/>
  <c r="M234" i="4" s="1"/>
  <c r="L231" i="4"/>
  <c r="M231" i="4" s="1"/>
  <c r="L225" i="4"/>
  <c r="M225" i="4" s="1"/>
  <c r="L220" i="4"/>
  <c r="M220" i="4" s="1"/>
  <c r="L232" i="4"/>
  <c r="M232" i="4" s="1"/>
  <c r="L223" i="4"/>
  <c r="M223" i="4" s="1"/>
  <c r="L222" i="4"/>
  <c r="M222" i="4" s="1"/>
  <c r="L230" i="4"/>
  <c r="M230" i="4" s="1"/>
  <c r="L224" i="4"/>
  <c r="M224" i="4" s="1"/>
  <c r="L228" i="4"/>
  <c r="M228" i="4" s="1"/>
  <c r="L227" i="4"/>
  <c r="M227" i="4" s="1"/>
  <c r="L194" i="4"/>
  <c r="M194" i="4" s="1"/>
  <c r="L192" i="4"/>
  <c r="M192" i="4" s="1"/>
  <c r="L190" i="4"/>
  <c r="M190" i="4" s="1"/>
  <c r="L188" i="4"/>
  <c r="M188" i="4" s="1"/>
  <c r="L186" i="4"/>
  <c r="M186" i="4" s="1"/>
  <c r="L199" i="4"/>
  <c r="M199" i="4" s="1"/>
  <c r="L202" i="4"/>
  <c r="M202" i="4" s="1"/>
  <c r="L189" i="4"/>
  <c r="M189" i="4" s="1"/>
  <c r="L200" i="4"/>
  <c r="M200" i="4" s="1"/>
  <c r="L191" i="4"/>
  <c r="M191" i="4" s="1"/>
  <c r="L195" i="4"/>
  <c r="M195" i="4" s="1"/>
  <c r="L193" i="4"/>
  <c r="M193" i="4" s="1"/>
  <c r="L197" i="4"/>
  <c r="M197" i="4" s="1"/>
  <c r="L187" i="4"/>
  <c r="M187" i="4" s="1"/>
  <c r="L198" i="4"/>
  <c r="M198" i="4" s="1"/>
  <c r="L201" i="4"/>
  <c r="M201" i="4" s="1"/>
  <c r="L196" i="4"/>
  <c r="M196" i="4" s="1"/>
  <c r="L177" i="4"/>
  <c r="M177" i="4" s="1"/>
  <c r="L175" i="4"/>
  <c r="M175" i="4" s="1"/>
  <c r="L176" i="4"/>
  <c r="M176" i="4" s="1"/>
  <c r="L170" i="4"/>
  <c r="M170" i="4" s="1"/>
  <c r="L174" i="4"/>
  <c r="M174" i="4" s="1"/>
  <c r="L173" i="4"/>
  <c r="M173" i="4" s="1"/>
  <c r="L181" i="4"/>
  <c r="M181" i="4" s="1"/>
  <c r="L179" i="4"/>
  <c r="M179" i="4" s="1"/>
  <c r="L184" i="4"/>
  <c r="M184" i="4" s="1"/>
  <c r="L183" i="4"/>
  <c r="M183" i="4" s="1"/>
  <c r="L180" i="4"/>
  <c r="M180" i="4" s="1"/>
  <c r="L169" i="4"/>
  <c r="M169" i="4" s="1"/>
  <c r="L185" i="4"/>
  <c r="M185" i="4" s="1"/>
  <c r="L172" i="4"/>
  <c r="M172" i="4" s="1"/>
  <c r="L171" i="4"/>
  <c r="M171" i="4" s="1"/>
  <c r="L178" i="4"/>
  <c r="M178" i="4" s="1"/>
  <c r="L182" i="4"/>
  <c r="M182" i="4" s="1"/>
  <c r="L167" i="4"/>
  <c r="M167" i="4" s="1"/>
  <c r="L163" i="4"/>
  <c r="M163" i="4" s="1"/>
  <c r="L168" i="4"/>
  <c r="M168" i="4" s="1"/>
  <c r="L152" i="4"/>
  <c r="M152" i="4" s="1"/>
  <c r="L159" i="4"/>
  <c r="M159" i="4" s="1"/>
  <c r="L161" i="4"/>
  <c r="M161" i="4" s="1"/>
  <c r="L154" i="4"/>
  <c r="M154" i="4" s="1"/>
  <c r="L166" i="4"/>
  <c r="M166" i="4" s="1"/>
  <c r="L165" i="4"/>
  <c r="M165" i="4" s="1"/>
  <c r="L157" i="4"/>
  <c r="M157" i="4" s="1"/>
  <c r="L160" i="4"/>
  <c r="M160" i="4" s="1"/>
  <c r="L164" i="4"/>
  <c r="M164" i="4" s="1"/>
  <c r="L162" i="4"/>
  <c r="M162" i="4" s="1"/>
  <c r="L156" i="4"/>
  <c r="M156" i="4" s="1"/>
  <c r="L153" i="4"/>
  <c r="M153" i="4" s="1"/>
  <c r="L155" i="4"/>
  <c r="M155" i="4" s="1"/>
  <c r="L158" i="4"/>
  <c r="M158" i="4" s="1"/>
</calcChain>
</file>

<file path=xl/sharedStrings.xml><?xml version="1.0" encoding="utf-8"?>
<sst xmlns="http://schemas.openxmlformats.org/spreadsheetml/2006/main" count="11839" uniqueCount="666">
  <si>
    <t>P&amp;G | Test before changing the forecast</t>
  </si>
  <si>
    <t>17 quarters. Five business segments. Two information cutoffs.</t>
  </si>
  <si>
    <t>Decision: remove the unsupported sales cut; do not replace it with a weak coefficient.</t>
  </si>
  <si>
    <t>Global P&amp;G volume vs US nondurables</t>
  </si>
  <si>
    <t>Quarters</t>
  </si>
  <si>
    <t>Slope (pp/pp)</t>
  </si>
  <si>
    <t>R-squared</t>
  </si>
  <si>
    <t>Forecast use</t>
  </si>
  <si>
    <t>Baby, Feminine &amp; Family Care is a combined segment—not Baby Care alone.</t>
  </si>
  <si>
    <t>Slope measures historical association. It is not a causal sales elasticity.</t>
  </si>
  <si>
    <t>Market tests use one historical vintage per cutoff; they are not real-time backtests.</t>
  </si>
  <si>
    <t>New information by 15 May</t>
  </si>
  <si>
    <t>Period added</t>
  </si>
  <si>
    <t>Change vs prior month</t>
  </si>
  <si>
    <t>Action</t>
  </si>
  <si>
    <t>US personal care prices (NSA)</t>
  </si>
  <si>
    <t>2026-04-01</t>
  </si>
  <si>
    <t>Review; no automatic sales cut</t>
  </si>
  <si>
    <t>US real nondurable spending (SA)</t>
  </si>
  <si>
    <t>2026-03-01</t>
  </si>
  <si>
    <t>US health/personal store sales (SA)</t>
  </si>
  <si>
    <t>Company actuals stop at March 2026; April–June results are excluded.</t>
  </si>
  <si>
    <t>April CPI = prices. Retail sales = money spent. Neither equals P&amp;G unit volume.</t>
  </si>
  <si>
    <t>R-squared describes past co-movement, not forecast accuracy.</t>
  </si>
  <si>
    <t>Quarter</t>
  </si>
  <si>
    <t>US nondurable growth</t>
  </si>
  <si>
    <t>P&amp;G segment volume</t>
  </si>
  <si>
    <t>Product matching | Use the right level</t>
  </si>
  <si>
    <t>Research 11 categories. Financial history covers five global reportable segments.</t>
  </si>
  <si>
    <t>Product line</t>
  </si>
  <si>
    <t>P&amp;G reporting segment</t>
  </si>
  <si>
    <t>Market evidence collected / gap</t>
  </si>
  <si>
    <t>What it can tell us</t>
  </si>
  <si>
    <t>Hair Care</t>
  </si>
  <si>
    <t>Beauty</t>
  </si>
  <si>
    <t>Hair/dental/shaving CPI</t>
  </si>
  <si>
    <t>US prices; combined basket</t>
  </si>
  <si>
    <t>Personal Care</t>
  </si>
  <si>
    <t>Personal care products CPI</t>
  </si>
  <si>
    <t>US prices; broad basket</t>
  </si>
  <si>
    <t>Skin Care</t>
  </si>
  <si>
    <t>Cosmetics/bath CPI</t>
  </si>
  <si>
    <t>US prices; broader products</t>
  </si>
  <si>
    <t>Grooming</t>
  </si>
  <si>
    <t>Oral Care</t>
  </si>
  <si>
    <t>Health Care</t>
  </si>
  <si>
    <t>Personal Health Care</t>
  </si>
  <si>
    <t>Health/personal store sales</t>
  </si>
  <si>
    <t>Channel sales; includes other products</t>
  </si>
  <si>
    <t>Fabric Care</t>
  </si>
  <si>
    <t>Fabric &amp; Home Care</t>
  </si>
  <si>
    <t>Household cleaning CPI</t>
  </si>
  <si>
    <t>US prices; not units sold</t>
  </si>
  <si>
    <t>Home Care</t>
  </si>
  <si>
    <t>Baby Care</t>
  </si>
  <si>
    <t>Baby, Feminine &amp; Family Care</t>
  </si>
  <si>
    <t>No matched diaper quantity series</t>
  </si>
  <si>
    <t>Do not substitute baby food</t>
  </si>
  <si>
    <t>Feminine Care</t>
  </si>
  <si>
    <t>No matched quantity series</t>
  </si>
  <si>
    <t>Do not infer from baby care</t>
  </si>
  <si>
    <t>Family Care</t>
  </si>
  <si>
    <t>Household paper CPI</t>
  </si>
  <si>
    <t>Peers are optional: use them to test market vs company-specific explanations.</t>
  </si>
  <si>
    <t>No peer coefficient is used here. A future peer model must use the same history window.</t>
  </si>
  <si>
    <t>Match product, geography, units, accounting scope and publication dates first.</t>
  </si>
  <si>
    <t>Sensitivity tests | Association is not causation</t>
  </si>
  <si>
    <t>US proxies vs global segments. No coefficient is approved for a sales adjustment.</t>
  </si>
  <si>
    <t>Segment</t>
  </si>
  <si>
    <t>P&amp;G measure</t>
  </si>
  <si>
    <t>Market series</t>
  </si>
  <si>
    <t>Known by</t>
  </si>
  <si>
    <t>Intercept</t>
  </si>
  <si>
    <t>Fit RMSE (pp)</t>
  </si>
  <si>
    <t>Baseline RMSE</t>
  </si>
  <si>
    <t>organic_volume_growth</t>
  </si>
  <si>
    <t>PCENDC96</t>
  </si>
  <si>
    <t>2026-04-24</t>
  </si>
  <si>
    <t>Not approved</t>
  </si>
  <si>
    <t>price_contribution</t>
  </si>
  <si>
    <t>CUUR0000SEGB</t>
  </si>
  <si>
    <t>organic_sales_growth</t>
  </si>
  <si>
    <t>RSHPCS</t>
  </si>
  <si>
    <t>2026-05-15</t>
  </si>
  <si>
    <t>Quarterly pairs | Company and market</t>
  </si>
  <si>
    <t>Company measure</t>
  </si>
  <si>
    <t>Quarter ended</t>
  </si>
  <si>
    <t>Market YoY %</t>
  </si>
  <si>
    <t>P&amp;G %</t>
  </si>
  <si>
    <t>Market squared</t>
  </si>
  <si>
    <t>P&amp;G squared</t>
  </si>
  <si>
    <t>Cross product</t>
  </si>
  <si>
    <t>Fitted P&amp;G %</t>
  </si>
  <si>
    <t>Residual pp</t>
  </si>
  <si>
    <t>Rolling fit %</t>
  </si>
  <si>
    <t>Trailing-four %</t>
  </si>
  <si>
    <t>Fit error squared</t>
  </si>
  <si>
    <t>Baseline error squared</t>
  </si>
  <si>
    <t>2022-03-31</t>
  </si>
  <si>
    <t>2022-06-30</t>
  </si>
  <si>
    <t>2022-09-30</t>
  </si>
  <si>
    <t>2022-12-31</t>
  </si>
  <si>
    <t>2023-03-31</t>
  </si>
  <si>
    <t>2023-06-30</t>
  </si>
  <si>
    <t>2023-09-30</t>
  </si>
  <si>
    <t>2023-12-31</t>
  </si>
  <si>
    <t>2024-03-31</t>
  </si>
  <si>
    <t>2024-06-30</t>
  </si>
  <si>
    <t>2024-09-30</t>
  </si>
  <si>
    <t>2024-12-31</t>
  </si>
  <si>
    <t>2025-03-31</t>
  </si>
  <si>
    <t>2025-06-30</t>
  </si>
  <si>
    <t>2025-09-30</t>
  </si>
  <si>
    <t>2025-12-31</t>
  </si>
  <si>
    <t>2026-03-31</t>
  </si>
  <si>
    <t>Monthly to quarterly | Match periods first</t>
  </si>
  <si>
    <t>Series</t>
  </si>
  <si>
    <t>Quarter level</t>
  </si>
  <si>
    <t>Prior-year level</t>
  </si>
  <si>
    <t>Year-on-year %</t>
  </si>
  <si>
    <t>Months</t>
  </si>
  <si>
    <t>P&amp;G | Quarterly facts</t>
  </si>
  <si>
    <t>January 2022–March 2026. Sales in USD millions; growth and contributions in %.</t>
  </si>
  <si>
    <t>Business segment</t>
  </si>
  <si>
    <t>Net sales</t>
  </si>
  <si>
    <t>Sales growth</t>
  </si>
  <si>
    <t>Organic growth</t>
  </si>
  <si>
    <t>Organic volume</t>
  </si>
  <si>
    <t>Pricing</t>
  </si>
  <si>
    <t>Mix</t>
  </si>
  <si>
    <t>FX</t>
  </si>
  <si>
    <t>Published</t>
  </si>
  <si>
    <t>2022-04-20</t>
  </si>
  <si>
    <t>Corporate</t>
  </si>
  <si>
    <t>Total Company</t>
  </si>
  <si>
    <t>2022-07-29</t>
  </si>
  <si>
    <t>2022-10-19</t>
  </si>
  <si>
    <t>2023-01-19</t>
  </si>
  <si>
    <t>2023-04-21</t>
  </si>
  <si>
    <t>2023-07-28</t>
  </si>
  <si>
    <t>2023-10-18</t>
  </si>
  <si>
    <t>2024-01-23</t>
  </si>
  <si>
    <t>2024-04-19</t>
  </si>
  <si>
    <t>2024-07-30</t>
  </si>
  <si>
    <t>2024-10-18</t>
  </si>
  <si>
    <t>2025-01-22</t>
  </si>
  <si>
    <t>2025-04-24</t>
  </si>
  <si>
    <t>2025-07-29</t>
  </si>
  <si>
    <t>2025-10-24</t>
  </si>
  <si>
    <t>2026-01-23</t>
  </si>
  <si>
    <t>Monthly market | Date-frozen inputs</t>
  </si>
  <si>
    <t>Month</t>
  </si>
  <si>
    <t>Value</t>
  </si>
  <si>
    <t>Units</t>
  </si>
  <si>
    <t>Source</t>
  </si>
  <si>
    <t>2021-01-01</t>
  </si>
  <si>
    <t>USD million, monthly flow, seasonally adjusted</t>
  </si>
  <si>
    <t>https://alfred.stlouisfed.org/graph/alfredgraph.csv?id=RSHPCS&amp;cosd=2021-01-01&amp;coed=2026-04-01&amp;vintage_date=2026-04-24</t>
  </si>
  <si>
    <t>2021-02-01</t>
  </si>
  <si>
    <t>2021-03-01</t>
  </si>
  <si>
    <t>2021-04-01</t>
  </si>
  <si>
    <t>2021-05-01</t>
  </si>
  <si>
    <t>2021-06-01</t>
  </si>
  <si>
    <t>2021-07-01</t>
  </si>
  <si>
    <t>2021-08-01</t>
  </si>
  <si>
    <t>2021-09-01</t>
  </si>
  <si>
    <t>2021-10-01</t>
  </si>
  <si>
    <t>2021-11-01</t>
  </si>
  <si>
    <t>2021-12-01</t>
  </si>
  <si>
    <t>2022-01-01</t>
  </si>
  <si>
    <t>2022-02-01</t>
  </si>
  <si>
    <t>2022-03-01</t>
  </si>
  <si>
    <t>2022-04-01</t>
  </si>
  <si>
    <t>2022-05-01</t>
  </si>
  <si>
    <t>2022-06-01</t>
  </si>
  <si>
    <t>2022-07-01</t>
  </si>
  <si>
    <t>2022-08-01</t>
  </si>
  <si>
    <t>2022-09-01</t>
  </si>
  <si>
    <t>2022-10-01</t>
  </si>
  <si>
    <t>2022-11-01</t>
  </si>
  <si>
    <t>2022-12-01</t>
  </si>
  <si>
    <t>2023-01-01</t>
  </si>
  <si>
    <t>2023-02-01</t>
  </si>
  <si>
    <t>2023-03-01</t>
  </si>
  <si>
    <t>2023-04-01</t>
  </si>
  <si>
    <t>2023-05-01</t>
  </si>
  <si>
    <t>2023-06-01</t>
  </si>
  <si>
    <t>2023-07-01</t>
  </si>
  <si>
    <t>2023-08-01</t>
  </si>
  <si>
    <t>2023-09-01</t>
  </si>
  <si>
    <t>2023-10-01</t>
  </si>
  <si>
    <t>2023-11-01</t>
  </si>
  <si>
    <t>2023-12-01</t>
  </si>
  <si>
    <t>2024-01-01</t>
  </si>
  <si>
    <t>2024-02-01</t>
  </si>
  <si>
    <t>2024-03-01</t>
  </si>
  <si>
    <t>2024-04-01</t>
  </si>
  <si>
    <t>2024-05-01</t>
  </si>
  <si>
    <t>2024-06-01</t>
  </si>
  <si>
    <t>2024-07-01</t>
  </si>
  <si>
    <t>2024-08-01</t>
  </si>
  <si>
    <t>2024-09-01</t>
  </si>
  <si>
    <t>2024-10-01</t>
  </si>
  <si>
    <t>2024-11-01</t>
  </si>
  <si>
    <t>2024-12-01</t>
  </si>
  <si>
    <t>2025-01-01</t>
  </si>
  <si>
    <t>2025-02-01</t>
  </si>
  <si>
    <t>2025-03-01</t>
  </si>
  <si>
    <t>2025-04-01</t>
  </si>
  <si>
    <t>2025-05-01</t>
  </si>
  <si>
    <t>2025-06-01</t>
  </si>
  <si>
    <t>2025-07-01</t>
  </si>
  <si>
    <t>2025-08-01</t>
  </si>
  <si>
    <t>2025-09-01</t>
  </si>
  <si>
    <t>2025-10-01</t>
  </si>
  <si>
    <t>2025-11-01</t>
  </si>
  <si>
    <t>2025-12-01</t>
  </si>
  <si>
    <t>2026-01-01</t>
  </si>
  <si>
    <t>2026-02-01</t>
  </si>
  <si>
    <t>https://alfred.stlouisfed.org/graph/alfredgraph.csv?id=RSHPCS&amp;cosd=2021-01-01&amp;coed=2026-04-01&amp;vintage_date=2026-05-15</t>
  </si>
  <si>
    <t>USD billion, chained 2017, seasonally adjusted annual rate</t>
  </si>
  <si>
    <t>https://alfred.stlouisfed.org/graph/alfredgraph.csv?id=PCENDC96&amp;cosd=2021-01-01&amp;coed=2026-04-01&amp;vintage_date=2026-04-24</t>
  </si>
  <si>
    <t>https://alfred.stlouisfed.org/graph/alfredgraph.csv?id=PCENDC96&amp;cosd=2021-01-01&amp;coed=2026-04-01&amp;vintage_date=2026-05-15</t>
  </si>
  <si>
    <t>Index 1982-84=100, not seasonally adjusted</t>
  </si>
  <si>
    <t>https://alfred.stlouisfed.org/graph/alfredgraph.csv?id=CUUR0000SEGB&amp;cosd=2021-01-01&amp;coed=2026-04-01&amp;vintage_date=2026-04-24</t>
  </si>
  <si>
    <t>https://alfred.stlouisfed.org/graph/alfredgraph.csv?id=CUUR0000SEGB&amp;cosd=2021-01-01&amp;coed=2026-04-01&amp;vintage_date=2026-05-15</t>
  </si>
  <si>
    <t>Product prices | Research only</t>
  </si>
  <si>
    <t>Current-vintage BLS history. Not used in April/May forecast calculations.</t>
  </si>
  <si>
    <t>Product group</t>
  </si>
  <si>
    <t>Price index</t>
  </si>
  <si>
    <t>Vintage status</t>
  </si>
  <si>
    <t>CUUR0000SEGB01</t>
  </si>
  <si>
    <t>Hair, dental, shaving and miscellaneous personal care products</t>
  </si>
  <si>
    <t>Retrieved 2026-10-05; historical vintage not verified</t>
  </si>
  <si>
    <t>CUUR0000SEGB02</t>
  </si>
  <si>
    <t>Cosmetics, perfume, bath, nail preparations and implements</t>
  </si>
  <si>
    <t>CUUR0000SEHN01</t>
  </si>
  <si>
    <t>Household cleaning products</t>
  </si>
  <si>
    <t>CUUR0000SEHN02</t>
  </si>
  <si>
    <t>Household paper products</t>
  </si>
  <si>
    <t>Source evidence | Trace each P&amp;G input</t>
  </si>
  <si>
    <t>Measure</t>
  </si>
  <si>
    <t>Table / row</t>
  </si>
  <si>
    <t>Original report</t>
  </si>
  <si>
    <t>Original row</t>
  </si>
  <si>
    <t>reported_volume_growth</t>
  </si>
  <si>
    <t>table 32, row 3 (zero-based)</t>
  </si>
  <si>
    <t>https://www.sec.gov/Archives/edgar/data/80424/000008042422000035/pg-20220331.htm</t>
  </si>
  <si>
    <t>Beauty | —% | (1)% | (2)% | 4% | —% | —% | 2%</t>
  </si>
  <si>
    <t>fx_contribution</t>
  </si>
  <si>
    <t>mix_contribution</t>
  </si>
  <si>
    <t>other_contribution</t>
  </si>
  <si>
    <t>reported_sales_growth</t>
  </si>
  <si>
    <t>table 32, row 4 (zero-based)</t>
  </si>
  <si>
    <t>Grooming | 1% | 1% | (5)% | 6% | 1% | —% | 3%</t>
  </si>
  <si>
    <t>table 32, row 5 (zero-based)</t>
  </si>
  <si>
    <t>Health Care | 8% | 8% | (3)% | 3% | 5% | —% | 13%</t>
  </si>
  <si>
    <t>table 32, row 6 (zero-based)</t>
  </si>
  <si>
    <t>Fabric &amp; Home Care | 4% | 5% | (3)% | 5% | 1% | —% | 7%</t>
  </si>
  <si>
    <t>table 32, row 7 (zero-based)</t>
  </si>
  <si>
    <t>Baby, Feminine &amp; Family Care | 2% | 2% | (3)% | 5% | 2% | 1% | 7%</t>
  </si>
  <si>
    <t>table 32, row 8 (zero-based)</t>
  </si>
  <si>
    <t>Total Company | 3% | 3% | (3)% | 5% | 2% | —% | 7%</t>
  </si>
  <si>
    <t>net_sales</t>
  </si>
  <si>
    <t>table 35, row 3 (zero-based)</t>
  </si>
  <si>
    <t>Beauty | $ | 3,389 | 2 | % | $ | 792 | 10 | % | $ | 644 | 12 | %</t>
  </si>
  <si>
    <t>table 35, row 4 (zero-based)</t>
  </si>
  <si>
    <t>Grooming | 1,481 | 3 | % | 353 | 12 | % | 290 | 13 | %</t>
  </si>
  <si>
    <t>table 35, row 5 (zero-based)</t>
  </si>
  <si>
    <t>Health Care | 2,662 | 13 | % | 625 | 29 | % | 485 | 29 | %</t>
  </si>
  <si>
    <t>table 35, row 6 (zero-based)</t>
  </si>
  <si>
    <t>Fabric &amp; Home Care | 6,699 | 7 | % | 1,275 | (5) | % | 969 | (6) | %</t>
  </si>
  <si>
    <t>table 35, row 7 (zero-based)</t>
  </si>
  <si>
    <t>Baby, Feminine &amp; Family Care | 4,935 | 7 | % | 1,091 | (4) | % | 836 | (4) | %</t>
  </si>
  <si>
    <t>table 35, row 8 (zero-based)</t>
  </si>
  <si>
    <t>Corporate | 215 | N/A | (65) | N/A | 143 | N/A</t>
  </si>
  <si>
    <t>table 35, row 9 (zero-based)</t>
  </si>
  <si>
    <t>Total Company | $ | 19,381 | 7 | % | $ | 4,071 | 5 | % | $ | 3,367 | 4 | %</t>
  </si>
  <si>
    <t>table 37, row 2 (zero-based)</t>
  </si>
  <si>
    <t>Beauty | 2% | 2% | (1)% | 3%</t>
  </si>
  <si>
    <t>table 37, row 3 (zero-based)</t>
  </si>
  <si>
    <t>Grooming | 3% | 5% | —% | 8%</t>
  </si>
  <si>
    <t>table 37, row 4 (zero-based)</t>
  </si>
  <si>
    <t>Health Care | 13% | 3% | —% | 16%</t>
  </si>
  <si>
    <t>table 37, row 5 (zero-based)</t>
  </si>
  <si>
    <t>Fabric &amp; Home Care | 7% | 3% | —% | 10%</t>
  </si>
  <si>
    <t>table 37, row 6 (zero-based)</t>
  </si>
  <si>
    <t>Baby, Feminine &amp; Family Care | 7% | 3% | —% | 10%</t>
  </si>
  <si>
    <t>table 37, row 7 (zero-based)</t>
  </si>
  <si>
    <t>Total Company | 7% | 3% | —% | 10%</t>
  </si>
  <si>
    <t>table 3, row 3 (zero-based)</t>
  </si>
  <si>
    <t>https://www.sec.gov/Archives/edgar/data/80424/000008042422000051/fy2122q4amj8-kexhibit991.htm</t>
  </si>
  <si>
    <t>Beauty | (1)% | (3)% | 6% | (4)% | 1% | (1)% | (2)% | —%</t>
  </si>
  <si>
    <t>table 3, row 4 (zero-based)</t>
  </si>
  <si>
    <t>Grooming | (3)% | (6)% | 6% | (1)% | 1% | (3)% | (2)% | 3%</t>
  </si>
  <si>
    <t>table 3, row 5 (zero-based)</t>
  </si>
  <si>
    <t>Health Care | —% | (4)% | 5% | 4% | —% | 5% | —% | 9%</t>
  </si>
  <si>
    <t>table 3, row 6 (zero-based)</t>
  </si>
  <si>
    <t>Fabric &amp; Home Care | (1)% | (5)% | 10% | —% | —% | 4% | (1)% | 9%</t>
  </si>
  <si>
    <t>table 3, row 7 (zero-based)</t>
  </si>
  <si>
    <t>Baby, Feminine &amp; Family Care | —% | (3)% | 6% | 1% | (1)% | 3% | —% | 7%</t>
  </si>
  <si>
    <t>table 3, row 8 (zero-based)</t>
  </si>
  <si>
    <t>Total P&amp;G | (1)% | (4)% | 8% | —% | —% | 3% | (1)% | 7%</t>
  </si>
  <si>
    <t>table 5, row 4 (zero-based)</t>
  </si>
  <si>
    <t>Beauty | $3,461 | (1)% | $733 | (16)% | $578 | (18)%</t>
  </si>
  <si>
    <t>table 5, row 5 (zero-based)</t>
  </si>
  <si>
    <t>Grooming | 1,608 | (3)% | 388 | (14)% | 307 | (16)%</t>
  </si>
  <si>
    <t>table 5, row 6 (zero-based)</t>
  </si>
  <si>
    <t>Health Care | 2,510 | 5% | 393 | (3)% | 291 | (1)%</t>
  </si>
  <si>
    <t>table 5, row 7 (zero-based)</t>
  </si>
  <si>
    <t>Fabric &amp; Home Care | 6,876 | 4% | 1,445 | 11% | 1,089 | 9%</t>
  </si>
  <si>
    <t>table 5, row 8 (zero-based)</t>
  </si>
  <si>
    <t>Baby, Feminine &amp; Family Care | 4,821 | 3% | 914 | (1)% | 690 | (2)%</t>
  </si>
  <si>
    <t>table 5, row 9 (zero-based)</t>
  </si>
  <si>
    <t>Corporate | 239 | N/A | (223) | N/A | 103 | N/A</t>
  </si>
  <si>
    <t>table 5, row 10 (zero-based)</t>
  </si>
  <si>
    <t>Total Company | $19,515 | 3% | $3,650 | 2% | $3,058 | 5%</t>
  </si>
  <si>
    <t>table 30, row 3 (zero-based)</t>
  </si>
  <si>
    <t>https://www.sec.gov/Archives/edgar/data/80424/000008042422000102/pg-20220930.htm</t>
  </si>
  <si>
    <t>Beauty | (1)% | (1)% | (6)% | 7% | (2)% | 2% | —%</t>
  </si>
  <si>
    <t>table 30, row 4 (zero-based)</t>
  </si>
  <si>
    <t>Grooming | —% | 1% | (8)% | 8% | (4)% | —% | (4)%</t>
  </si>
  <si>
    <t>table 30, row 5 (zero-based)</t>
  </si>
  <si>
    <t>Health Care | (2)% | (2)% | (5)% | 6% | 4% | —% | 3%</t>
  </si>
  <si>
    <t>table 30, row 6 (zero-based)</t>
  </si>
  <si>
    <t>Fabric &amp; Home Care | (4)% | (4)% | (6)% | 11% | 1% | (1)% | 1%</t>
  </si>
  <si>
    <t>table 30, row 7 (zero-based)</t>
  </si>
  <si>
    <t>Baby, Feminine &amp; Family Care | (3)% | (3)% | (5)% | 8% | 1% | —% | 1%</t>
  </si>
  <si>
    <t>table 30, row 8 (zero-based)</t>
  </si>
  <si>
    <t>Total Company | (3)% | (3)% | (6)% | 9% | 1% | —% | 1%</t>
  </si>
  <si>
    <t>table 31, row 3 (zero-based)</t>
  </si>
  <si>
    <t>Beauty | $ | 3,961 | — | % | $ | 1,271 | 2 | % | $ | 1,011 | 2 | %</t>
  </si>
  <si>
    <t>table 31, row 4 (zero-based)</t>
  </si>
  <si>
    <t>Grooming | 1,625 | (4) | % | 503 | (3) | % | 404 | (3) | %</t>
  </si>
  <si>
    <t>table 31, row 5 (zero-based)</t>
  </si>
  <si>
    <t>Health Care | 2,757 | 3 | % | 800 | 15 | % | 617 | 17 | %</t>
  </si>
  <si>
    <t>table 31, row 6 (zero-based)</t>
  </si>
  <si>
    <t>Fabric &amp; Home Care | 7,082 | 1 | % | 1,543 | — | % | 1,172 | (2) | %</t>
  </si>
  <si>
    <t>table 31, row 7 (zero-based)</t>
  </si>
  <si>
    <t>Baby, Feminine &amp; Family Care | 4,934 | 1 | % | 1,055 | (2) | % | 805 | (3) | %</t>
  </si>
  <si>
    <t>table 31, row 8 (zero-based)</t>
  </si>
  <si>
    <t>Corporate | 253 | N/A | (175) | N/A | (46) | N/A</t>
  </si>
  <si>
    <t>table 31, row 9 (zero-based)</t>
  </si>
  <si>
    <t>Total Company | $ | 20,612 | 1 | % | $ | 4,997 | (1) | % | $ | 3,963 | (4) | %</t>
  </si>
  <si>
    <t>table 32, row 2 (zero-based)</t>
  </si>
  <si>
    <t>Beauty | —% | 6% | (2)% | 4%</t>
  </si>
  <si>
    <t>Grooming | (4)% | 8% | 1% | 5%</t>
  </si>
  <si>
    <t>Health Care | 3% | 5% | —% | 8%</t>
  </si>
  <si>
    <t>Fabric &amp; Home Care | 1% | 6% | 1% | 8%</t>
  </si>
  <si>
    <t>Baby, Feminine &amp; Family Care | 1% | 5% | —% | 6%</t>
  </si>
  <si>
    <t>Total Company | 1% | 6% | —% | 7%</t>
  </si>
  <si>
    <t>https://www.sec.gov/Archives/edgar/data/80424/000008042423000014/pg-20221231.htm</t>
  </si>
  <si>
    <t>Beauty | (4)% | (4)% | (8)% | 9% | (2)% | 2% | (3)%</t>
  </si>
  <si>
    <t>Grooming | (8)% | (8)% | (9)% | 11% | (3)% | —% | (9)%</t>
  </si>
  <si>
    <t>Health Care | (1)% | (1)% | (6)% | 5% | 4% | —% | 2%</t>
  </si>
  <si>
    <t>Fabric &amp; Home Care | (7)% | (7)% | (7)% | 13% | 2% | —% | 1%</t>
  </si>
  <si>
    <t>Baby, Feminine &amp; Family Care | (6)% | (6)% | (5)% | 8% | 2% | —% | (1)%</t>
  </si>
  <si>
    <t>Total Company | (6)% | (6)% | (6)% | 10% | 1% | —% | (1)%</t>
  </si>
  <si>
    <t>Beauty | $ | 3,807 | (3) | % | $ | 1,145 | (3) | % | $ | 911 | (4) | %</t>
  </si>
  <si>
    <t>Grooming | 1,643 | (9) | % | 496 | (14) | % | 404 | (15) | %</t>
  </si>
  <si>
    <t>Health Care | 3,051 | 2 | % | 887 | (2) | % | 686 | (2) | %</t>
  </si>
  <si>
    <t>Fabric &amp; Home Care | 7,032 | 1 | % | 1,538 | 5 | % | 1,171 | 3 | %</t>
  </si>
  <si>
    <t>Baby, Feminine &amp; Family Care | 5,065 | (1) | % | 1,112 | (6) | % | 848 | (7) | %</t>
  </si>
  <si>
    <t>Corporate | 175 | N/A | (343) | N/A | (61) | N/A</t>
  </si>
  <si>
    <t>Total Company | $ | 20,773 | (1) | % | $ | 4,835 | (8) | % | $ | 3,959 | (7) | %</t>
  </si>
  <si>
    <t>Beauty | (3)% | 8% | (2)% | 3%</t>
  </si>
  <si>
    <t>Grooming | (9)% | 9% | —% | —%</t>
  </si>
  <si>
    <t>Health Care | 2% | 6% | —% | 8%</t>
  </si>
  <si>
    <t>Fabric &amp; Home Care | 1% | 7% | —% | 8%</t>
  </si>
  <si>
    <t>Baby, Feminine &amp; Family Care | (1)% | 5% | —% | 4%</t>
  </si>
  <si>
    <t>Total Company | (1)% | 6% | —% | 5%</t>
  </si>
  <si>
    <t>https://www.sec.gov/Archives/edgar/data/80424/000008042423000046/pg-20230331.htm</t>
  </si>
  <si>
    <t>Beauty | 1% | —% | (5)% | 8% | (1)% | —% | 3%</t>
  </si>
  <si>
    <t>Grooming | (1)% | (1)% | (6)% | 10% | (2)% | —% | 1%</t>
  </si>
  <si>
    <t>Health Care | 1% | 1% | (3)% | 6% | 3% | (1)% | 6%</t>
  </si>
  <si>
    <t>Fabric &amp; Home Care | (5)% | (5)% | (4)% | 13% | 1% | —% | 5%</t>
  </si>
  <si>
    <t>Baby, Feminine &amp; Family Care | (4)% | (4)% | (3)% | 8% | 2% | —% | 3%</t>
  </si>
  <si>
    <t>Total Company | (3)% | (3)% | (4)% | 10% | 1% | —% | 4%</t>
  </si>
  <si>
    <t>Beauty | $ | 3,494 | 3 | % | $ | 763 | (4) | % | $ | 608 | (6) | %</t>
  </si>
  <si>
    <t>Grooming | 1,495 | 1 | % | 382 | 8 | % | 308 | 6 | %</t>
  </si>
  <si>
    <t>Health Care | 2,828 | 6 | % | 667 | 7 | % | 523 | 8 | %</t>
  </si>
  <si>
    <t>Fabric &amp; Home Care | 7,016 | 5 | % | 1,538 | 21 | % | 1,174 | 21 | %</t>
  </si>
  <si>
    <t>Baby, Feminine &amp; Family Care | 5,062 | 3 | % | 1,206 | 11 | % | 925 | 11 | %</t>
  </si>
  <si>
    <t>Corporate | 173 | N/A | (268) | N/A | (114) | N/A</t>
  </si>
  <si>
    <t>Total Company | $ | 20,068 | 4 | % | $ | 4,288 | 5 | % | $ | 3,424 | 2 | %</t>
  </si>
  <si>
    <t>Beauty | 3% | 5% | (1)% | 7%</t>
  </si>
  <si>
    <t>Grooming | 1% | 6% | —% | 7%</t>
  </si>
  <si>
    <t>Health Care | 6% | 3% | —% | 9%</t>
  </si>
  <si>
    <t>Fabric &amp; Home Care | 5% | 4% | —% | 9%</t>
  </si>
  <si>
    <t>Baby, Feminine &amp; Family Care | 3% | 3% | —% | 6%</t>
  </si>
  <si>
    <t>Total Company | 4% | 4% | (1)% | 7%</t>
  </si>
  <si>
    <t>https://www.sec.gov/Archives/edgar/data/80424/000008042423000059/fy2223q4amj8-kexhibit991.htm</t>
  </si>
  <si>
    <t>Beauty | —% | (4)% | 8% | 4% | —% | 8% | (1)% | 11%</t>
  </si>
  <si>
    <t>Grooming | (1)% | (5)% | 9% | —% | —% | 3% | (1)% | 8%</t>
  </si>
  <si>
    <t>Health Care | (3)% | (2)% | 6% | 2% | —% | 3% | (3)% | 5%</t>
  </si>
  <si>
    <t>Fabric &amp; Home Care | (2)% | (2)% | 6% | 3% | —% | 5% | (2)% | 8%</t>
  </si>
  <si>
    <t>Baby, Feminine &amp; Family Care | —% | (3)% | 8% | 2% | —% | 7% | —% | 9%</t>
  </si>
  <si>
    <t>Total P&amp;G | (1)% | (3)% | 7% | 2% | —% | 5% | (1)% | 8%</t>
  </si>
  <si>
    <t>Beauty | $3,746 | 8% | $830 | 13% | $648 | 12%</t>
  </si>
  <si>
    <t>Grooming | 1,656 | 3% | 425 | 10% | 345 | 12%</t>
  </si>
  <si>
    <t>Health Care | 2,590 | 3% | 405 | 3% | 299 | 3%</t>
  </si>
  <si>
    <t>Fabric &amp; Home Care | 7,241 | 5% | 1,684 | 17% | 1,311 | 20%</t>
  </si>
  <si>
    <t>Baby, Feminine &amp; Family Care | 5,156 | 7% | 1,250 | 37% | 967 | 40%</t>
  </si>
  <si>
    <t>Corporate | 164 | N/A | (361) | N/A | (178) | N/A</t>
  </si>
  <si>
    <t>Total Company | $20,553 | 5% | $4,233 | 16% | $3,392 | 11%</t>
  </si>
  <si>
    <t>https://www.sec.gov/Archives/edgar/data/80424/000008042423000103/pg-20230930.htm</t>
  </si>
  <si>
    <t>Beauty | — | % | — | % | (3) | % | 7 | % | (2) | % | 1 | % | 3 | %</t>
  </si>
  <si>
    <t>Grooming | (2) | % | (2) | % | (3) | % | 9 | % | 1 | % | 1 | % | 6 | %</t>
  </si>
  <si>
    <t>Health Care | 2 | % | 2 | % | 1 | % | 6 | % | 2 | % | — | % | 11 | %</t>
  </si>
  <si>
    <t>Fabric &amp; Home Care | (1) | % | — | % | (1) | % | 8 | % | 1 | % | 1 | % | 8 | %</t>
  </si>
  <si>
    <t>Baby, Feminine &amp; Family Care | (3) | % | (3) | % | (2) | % | 8 | % | 2 | % | — | % | 5 | %</t>
  </si>
  <si>
    <t>Total Company | (1) | % | (1) | % | (1) | % | 7 | % | 1 | % | — | % | 6 | %</t>
  </si>
  <si>
    <t>Beauty | $ | 4,097 | 3 | % | $ | 1,249 | (2) | % | $ | 971 | (4) | %</t>
  </si>
  <si>
    <t>Grooming | 1,724 | 6 | % | 533 | 6 | % | 421 | 4 | %</t>
  </si>
  <si>
    <t>Health Care | 3,074 | 11 | % | 889 | 11 | % | 689 | 12 | %</t>
  </si>
  <si>
    <t>Fabric &amp; Home Care | 7,646 | 8 | % | 2,031 | 32 | % | 1,569 | 34 | %</t>
  </si>
  <si>
    <t>Baby, Feminine &amp; Family Care | 5,186 | 5 | % | 1,408 | 33 | % | 1,075 | 34 | %</t>
  </si>
  <si>
    <t>Corporate | 144 | N/A | (308) | N/A | (168) | N/A</t>
  </si>
  <si>
    <t>table 32, row 9 (zero-based)</t>
  </si>
  <si>
    <t>Total Company | $ | 21,871 | 6 | % | $ | 5,802 | 16 | % | $ | 4,556 | 15 | %</t>
  </si>
  <si>
    <t>table 33, row 2 (zero-based)</t>
  </si>
  <si>
    <t>Beauty | 3 | % | 3 | % | (1) | % | 5 | %</t>
  </si>
  <si>
    <t>table 33, row 3 (zero-based)</t>
  </si>
  <si>
    <t>Grooming | 6 | % | 3 | % | — | % | 9 | %</t>
  </si>
  <si>
    <t>table 33, row 4 (zero-based)</t>
  </si>
  <si>
    <t>Health Care | 11 | % | (1) | % | — | % | 10 | %</t>
  </si>
  <si>
    <t>table 33, row 5 (zero-based)</t>
  </si>
  <si>
    <t>Fabric &amp; Home Care | 8 | % | 1 | % | — | % | 9 | %</t>
  </si>
  <si>
    <t>table 33, row 6 (zero-based)</t>
  </si>
  <si>
    <t>Baby, Feminine &amp; Family Care | 5 | % | 2 | % | — | % | 7 | %</t>
  </si>
  <si>
    <t>table 33, row 7 (zero-based)</t>
  </si>
  <si>
    <t>Total Company | 6 | % | 1 | % | — | % | 7 | %</t>
  </si>
  <si>
    <t>table 34, row 3 (zero-based)</t>
  </si>
  <si>
    <t>https://www.sec.gov/Archives/edgar/data/80424/000008042424000018/pg-20231231.htm</t>
  </si>
  <si>
    <t>Beauty | — | % | (1) | % | (1) | % | 4 | % | (3) | % | 1 | % | 1 | %</t>
  </si>
  <si>
    <t>table 34, row 4 (zero-based)</t>
  </si>
  <si>
    <t>Grooming | 1 | % | 1 | % | (3) | % | 7 | % | 1 | % | — | % | 6 | %</t>
  </si>
  <si>
    <t>table 34, row 5 (zero-based)</t>
  </si>
  <si>
    <t>Health Care | (3) | % | (4) | % | 2 | % | 5 | % | 1 | % | (1) | % | 4 | %</t>
  </si>
  <si>
    <t>table 34, row 6 (zero-based)</t>
  </si>
  <si>
    <t>Fabric &amp; Home Care | — | % | 1 | % | — | % | 4 | % | 1 | % | — | % | 5 | %</t>
  </si>
  <si>
    <t>table 34, row 7 (zero-based)</t>
  </si>
  <si>
    <t>Baby, Feminine &amp; Family Care | (2) | % | (2) | % | (1) | % | 4 | % | 1 | % | — | % | 2 | %</t>
  </si>
  <si>
    <t>table 34, row 8 (zero-based)</t>
  </si>
  <si>
    <t>Total Company | — | % | (1) | % | (1) | % | 4 | % | — | % | — | % | 3 | %</t>
  </si>
  <si>
    <t>table 38, row 3 (zero-based)</t>
  </si>
  <si>
    <t>Beauty | $ | 3,849 | 1 | % | $ | 1,112 | (3) | % | $ | 868 | (5) | %</t>
  </si>
  <si>
    <t>table 38, row 4 (zero-based)</t>
  </si>
  <si>
    <t>Grooming | 1,734 | 6 | % | 538 | 8 | % | 440 | 9 | %</t>
  </si>
  <si>
    <t>table 38, row 5 (zero-based)</t>
  </si>
  <si>
    <t>Health Care | 3,172 | 4 | % | 932 | 5 | % | 719 | 5 | %</t>
  </si>
  <si>
    <t>table 38, row 6 (zero-based)</t>
  </si>
  <si>
    <t>Fabric &amp; Home Care | 7,415 | 5 | % | 2,018 | 31 | % | 1,577 | 35 | %</t>
  </si>
  <si>
    <t>table 38, row 7 (zero-based)</t>
  </si>
  <si>
    <t>Baby, Feminine &amp; Family Care | 5,146 | 2 | % | 1,437 | 29 | % | 1,102 | 30 | %</t>
  </si>
  <si>
    <t>table 38, row 8 (zero-based)</t>
  </si>
  <si>
    <t>Corporate | 126 | N/A | (1,541) | N/A | (1,214) | N/A</t>
  </si>
  <si>
    <t>table 38, row 9 (zero-based)</t>
  </si>
  <si>
    <t>Total Company | $ | 21,441 | 3 | % | $ | 4,496 | (7) | % | $ | 3,493 | (12) | %</t>
  </si>
  <si>
    <t>table 39, row 2 (zero-based)</t>
  </si>
  <si>
    <t>Beauty | 1 | % | 1 | % | (1) | % | 1 | %</t>
  </si>
  <si>
    <t>table 39, row 3 (zero-based)</t>
  </si>
  <si>
    <t>table 39, row 4 (zero-based)</t>
  </si>
  <si>
    <t>Health Care | 4 | % | (2) | % | — | % | 2 | %</t>
  </si>
  <si>
    <t>table 39, row 5 (zero-based)</t>
  </si>
  <si>
    <t>Fabric &amp; Home Care | 5 | % | — | % | 1 | % | 6 | %</t>
  </si>
  <si>
    <t>table 39, row 6 (zero-based)</t>
  </si>
  <si>
    <t>Baby, Feminine &amp; Family Care | 2 | % | 1 | % | — | % | 3 | %</t>
  </si>
  <si>
    <t>table 39, row 7 (zero-based)</t>
  </si>
  <si>
    <t>Total Company | 3 | % | 1 | % | — | % | 4 | %</t>
  </si>
  <si>
    <t>https://www.sec.gov/Archives/edgar/data/80424/000008042424000051/pg-20240331.htm</t>
  </si>
  <si>
    <t>Beauty | 1 | % | 1 | % | (3) | % | 4 | % | (1) | % | 1 | % | 2 | %</t>
  </si>
  <si>
    <t>Grooming | 2 | % | 2 | % | (7) | % | 10 | % | (1) | % | (1) | % | 3 | %</t>
  </si>
  <si>
    <t>Health Care | (4) | % | (4) | % | (1) | % | 4 | % | 3 | % | — | % | 2 | %</t>
  </si>
  <si>
    <t>Fabric &amp; Home Care | 1 | % | 1 | % | (1) | % | 2 | % | — | % | — | % | 2 | %</t>
  </si>
  <si>
    <t>Baby, Feminine &amp; Family Care | (3) | % | (3) | % | (2) | % | 2 | % | 1 | % | — | % | (2) | %</t>
  </si>
  <si>
    <t>Total Company | — | % | — | % | (2) | % | 3 | % | — | % | — | % | 1 | %</t>
  </si>
  <si>
    <t>Beauty | $ | 3,550 | 2 | % | $ | 753 | (1) | % | $ | 587 | (3) | %</t>
  </si>
  <si>
    <t>Grooming | 1,539 | 3 | % | 379 | (1) | % | 303 | (2) | %</t>
  </si>
  <si>
    <t>Health Care | 2,873 | 2 | % | 687 | 3 | % | 525 | — | %</t>
  </si>
  <si>
    <t>Fabric &amp; Home Care | 7,169 | 2 | % | 1,692 | 10 | % | 1,301 | 11 | %</t>
  </si>
  <si>
    <t>Baby, Feminine &amp; Family Care | 4,936 | (2) | % | 1,299 | 8 | % | 997 | 8 | %</t>
  </si>
  <si>
    <t>table 37, row 8 (zero-based)</t>
  </si>
  <si>
    <t>Corporate | 128 | N/A | (218) | N/A | 68 | N/A</t>
  </si>
  <si>
    <t>table 37, row 9 (zero-based)</t>
  </si>
  <si>
    <t>Total Company | $ | 20,195 | 1 | % | $ | 4,592 | 7 | % | $ | 3,781 | 10 | %</t>
  </si>
  <si>
    <t>table 38, row 2 (zero-based)</t>
  </si>
  <si>
    <t>Beauty | 2 | % | 3 | % | (2) | % | 3 | %</t>
  </si>
  <si>
    <t>Grooming | 3 | % | 7 | % | — | % | 10 | %</t>
  </si>
  <si>
    <t>Health Care | 2 | % | 1 | % | (1) | % | 2 | %</t>
  </si>
  <si>
    <t>Fabric &amp; Home Care | 2 | % | 1 | % | — | % | 3 | %</t>
  </si>
  <si>
    <t>Baby, Feminine &amp; Family Care | (2) | % | 2 | % | — | % | — | %</t>
  </si>
  <si>
    <t>Total Company | 1 | % | 2 | % | — | % | 3 | %</t>
  </si>
  <si>
    <t>https://www.sec.gov/Archives/edgar/data/80424/000008042424000071/fy2324q4amj8-kexhibit991.htm</t>
  </si>
  <si>
    <t>Beauty | (1)% | (3)% | 3% | —% | —% | (1)% | 1% | 3%</t>
  </si>
  <si>
    <t>Grooming | 2% | (7)% | 5% | —% | —% | —% | 2% | 7%</t>
  </si>
  <si>
    <t>Health Care | 2% | (1)% | 2% | 1% | (1)% | 3% | 1% | 4%</t>
  </si>
  <si>
    <t>Fabric &amp; Home Care | 2% | (1)% | (1)% | 1% | (1)% | —% | 3% | 2%</t>
  </si>
  <si>
    <t>Baby, Feminine &amp; Family Care | (1)% | (2)% | —% | —% | —% | (3)% | (1)% | (1)%</t>
  </si>
  <si>
    <t>Total P&amp;G | 1% | (2)% | 1% | —% | —% | —% | 2% | 2%</t>
  </si>
  <si>
    <t>Beauty | $3,724 | (1)% | $690 | (17)% | $536 | (17)%</t>
  </si>
  <si>
    <t>Grooming | 1,657 | —% | 395 | (7)% | 311 | (10)%</t>
  </si>
  <si>
    <t>Health Care | 2,674 | 3% | 433 | 7% | 325 | 9%</t>
  </si>
  <si>
    <t>Fabric &amp; Home Care | 7,265 | —% | 1,598 | (5)% | 1,240 | (5)%</t>
  </si>
  <si>
    <t>Baby, Feminine &amp; Family Care | 5,009 | (3)% | 1,109 | (11)% | 847 | (12)%</t>
  </si>
  <si>
    <t>Corporate | 202 | N/A | (355) | N/A | (116) | N/A</t>
  </si>
  <si>
    <t>TOTAL | $20,532 | —% | $3,870 | (9)% | $3,144 | (7)%</t>
  </si>
  <si>
    <t>https://www.sec.gov/Archives/edgar/data/80424/000008042424000113/pg-20240930.htm</t>
  </si>
  <si>
    <t>Beauty | (2) | % | — | % | (1) | % | 1 | % | (3) | % | — | % | (5) | %</t>
  </si>
  <si>
    <t>Grooming | 4 | % | 5 | % | (2) | % | 1 | % | (3) | % | — | % | — | %</t>
  </si>
  <si>
    <t>Health Care | (1) | % | (1) | % | (1) | % | 1 | % | 4 | % | (1) | % | 2 | %</t>
  </si>
  <si>
    <t>Fabric &amp; Home Care | 1 | % | 1 | % | (1) | % | — | % | 1 | % | — | % | 1 | %</t>
  </si>
  <si>
    <t>Baby, Feminine &amp; Family Care | (1) | % | (1) | % | (1) | % | — | % | — | % | — | % | (2) | %</t>
  </si>
  <si>
    <t>Total Company | — | % | 1 | % | (1) | % | 1 | % | — | % | (1) | % | (1) | %</t>
  </si>
  <si>
    <t>Beauty | $ | 3,892 | (5) | % | $ | 1,067 | (15) | % | $ | 840 | (13) | %</t>
  </si>
  <si>
    <t>Grooming | 1,723 | — | % | 522 | (2) | % | 426 | 1 | %</t>
  </si>
  <si>
    <t>Health Care | 3,147 | 2 | % | 953 | 7 | % | 741 | 8 | %</t>
  </si>
  <si>
    <t>Fabric &amp; Home Care | 7,710 | 1 | % | 2,077 | 2 | % | 1,621 | 3 | %</t>
  </si>
  <si>
    <t>Baby, Feminine &amp; Family Care | 5,102 | (2) | % | 1,383 | (2) | % | 1,066 | (1) | %</t>
  </si>
  <si>
    <t>table 33, row 8 (zero-based)</t>
  </si>
  <si>
    <t>Corporate | 163 | N/A | (862) | N/A | (707) | N/A</t>
  </si>
  <si>
    <t>table 33, row 9 (zero-based)</t>
  </si>
  <si>
    <t>Total Company | $ | 21,737 | (1) | % | $ | 5,140 | (11) | % | $ | 3,987 | (12) | %</t>
  </si>
  <si>
    <t>table 34, row 2 (zero-based)</t>
  </si>
  <si>
    <t>Beauty | (5) | % | 1 | % | 2 | % | (2) | %</t>
  </si>
  <si>
    <t>Grooming | — | % | 2 | % | 1 | % | 3 | %</t>
  </si>
  <si>
    <t>Health Care | 2 | % | 1 | % | 1 | % | 4 | %</t>
  </si>
  <si>
    <t>Fabric &amp; Home Care | 1 | % | 1 | % | 1 | % | 3 | %</t>
  </si>
  <si>
    <t>Baby, Feminine &amp; Family Care | (2) | % | 1 | % | 1 | % | — | %</t>
  </si>
  <si>
    <t>Total Company | (1) | % | 1 | % | 2 | % | 2 | %</t>
  </si>
  <si>
    <t>https://www.sec.gov/Archives/edgar/data/80424/000008042425000013/pg-20241231.htm</t>
  </si>
  <si>
    <t>Beauty | (1) | % | — | % | (1) | % | 2 | % | — | % | — | % | — | %</t>
  </si>
  <si>
    <t>Grooming | 2 | % | 2 | % | (1) | % | 1 | % | (1) | % | — | % | 1 | %</t>
  </si>
  <si>
    <t>Health Care | — | % | — | % | — | % | 1 | % | 2 | % | (1) | % | 2 | %</t>
  </si>
  <si>
    <t>Fabric &amp; Home Care | 1 | % | 2 | % | — | % | — | % | 1 | % | — | % | 2 | %</t>
  </si>
  <si>
    <t>Baby, Feminine &amp; Family Care | 4 | % | 4 | % | — | % | (1) | % | — | % | — | % | 3 | %</t>
  </si>
  <si>
    <t>Total Company | 1 | % | 2 | % | — | % | — | % | 1 | % | — | % | 2 | %</t>
  </si>
  <si>
    <t>Beauty | $ | 3,848 | — | % | $ | 996 | (10) | % | $ | 780 | (10) | %</t>
  </si>
  <si>
    <t>Grooming | 1,752 | 1 | % | 568 | 6 | % | 459 | 4 | %</t>
  </si>
  <si>
    <t>Health Care | 3,249 | 2 | % | 974 | 5 | % | 758 | 5 | %</t>
  </si>
  <si>
    <t>Fabric &amp; Home Care | 7,575 | 2 | % | 1,989 | (1) | % | 1,567 | (1) | %</t>
  </si>
  <si>
    <t>Baby, Feminine &amp; Family Care | 5,298 | 3 | % | 1,464 | 2 | % | 1,119 | 2 | %</t>
  </si>
  <si>
    <t>Corporate | 159 | N/A | (146) | N/A | (24) | N/A</t>
  </si>
  <si>
    <t>Total Company | $ | 21,882 | 2 | % | $ | 5,845 | 30 | % | $ | 4,659 | 33 | %</t>
  </si>
  <si>
    <t>Beauty | — | % | 1 | % | 1 | % | 2 | %</t>
  </si>
  <si>
    <t>Grooming | 1 | % | 1 | % | — | % | 2 | %</t>
  </si>
  <si>
    <t>Health Care | 2 | % | — | % | 1 | % | 3 | %</t>
  </si>
  <si>
    <t>Fabric &amp; Home Care | 2 | % | — | % | 1 | % | 3 | %</t>
  </si>
  <si>
    <t>Baby, Feminine &amp; Family Care | 3 | % | — | % | 1 | % | 4 | %</t>
  </si>
  <si>
    <t>Total Company | 2 | % | — | % | 1 | % | 3 | %</t>
  </si>
  <si>
    <t>https://www.sec.gov/Archives/edgar/data/80424/000008042425000037/pg-20250331.htm</t>
  </si>
  <si>
    <t>Beauty | — | % | 1 | % | (3) | % | 3 | % | (2) | % | — | % | (2) | %</t>
  </si>
  <si>
    <t>Grooming | 1 | % | 1 | % | (4) | % | 2 | % | — | % | (1) | % | (2) | %</t>
  </si>
  <si>
    <t>Health Care | (1) | % | (1) | % | (3) | % | 1 | % | 3 | % | — | % | — | %</t>
  </si>
  <si>
    <t>Fabric &amp; Home Care | (1) | % | — | % | (2) | % | — | % | — | % | — | % | (3) | %</t>
  </si>
  <si>
    <t>Baby, Feminine &amp; Family Care | (2) | % | (2) | % | (2) | % | — | % | 1 | % | (1) | % | (4) | %</t>
  </si>
  <si>
    <t>Total Company | (1) | % | — | % | (2) | % | 1 | % | — | % | — | % | (2) | %</t>
  </si>
  <si>
    <t>Beauty | $ | 3,490 | (2) | % | $ | 684 | (9) | % | $ | 539 | (8) | %</t>
  </si>
  <si>
    <t>Grooming | 1,505 | (2) | % | 404 | 7 | % | 321 | 6 | %</t>
  </si>
  <si>
    <t>Health Care | 2,880 | — | % | 734 | 7 | % | 569 | 8 | %</t>
  </si>
  <si>
    <t>Fabric &amp; Home Care | 6,948 | (3) | % | 1,642 | (3) | % | 1,285 | (1) | %</t>
  </si>
  <si>
    <t>Baby, Feminine &amp; Family Care | 4,755 | (4) | % | 1,150 | (11) | % | 880 | (12) | %</t>
  </si>
  <si>
    <t>Corporate | 198 | N/A | 48 | N/A | 200 | N/A</t>
  </si>
  <si>
    <t>Total Company | $ | 19,776 | (2) | % | $ | 4,661 | 2 | % | $ | 3,793 | — | %</t>
  </si>
  <si>
    <t>Beauty | (2) | % | 3 | % | 1 | % | 2 | %</t>
  </si>
  <si>
    <t>Grooming | (2) | % | 4 | % | 1 | % | 3 | %</t>
  </si>
  <si>
    <t>Health Care | — | % | 3 | % | 1 | % | 4 | %</t>
  </si>
  <si>
    <t>Fabric &amp; Home Care | (3) | % | 2 | % | 1 | % | — | %</t>
  </si>
  <si>
    <t>Baby, Feminine &amp; Family Care | (4) | % | 2 | % | 1 | % | (1) | %</t>
  </si>
  <si>
    <t>Total Company | (2) | % | 2 | % | 1 | % | 1 | %</t>
  </si>
  <si>
    <t>table 1, row 2 (zero-based)</t>
  </si>
  <si>
    <t>https://www.pginvestor.com/news/news-details/2025/PG-Announces-Fourth-Quarter-and-Fiscal-Year-2025-Results/default.aspx</t>
  </si>
  <si>
    <t>Beauty | 1% | (1)% | 1% | (1)% | —% | —% | 1% | 1%</t>
  </si>
  <si>
    <t>table 1, row 3 (zero-based)</t>
  </si>
  <si>
    <t>Grooming | —% | —% | 4% | (1)% | (1)% | 2% | (1)% | 1%</t>
  </si>
  <si>
    <t>table 1, row 4 (zero-based)</t>
  </si>
  <si>
    <t>Health Care | (2)% | —% | 1% | 3% | —% | 2% | (2)% | 2%</t>
  </si>
  <si>
    <t>table 1, row 5 (zero-based)</t>
  </si>
  <si>
    <t>Fabric &amp; Home Care | —% | 1% | 1% | —% | —% | 2% | —% | 1%</t>
  </si>
  <si>
    <t>table 1, row 6 (zero-based)</t>
  </si>
  <si>
    <t>Baby, Feminine &amp; Family Care | —% | 1% | 1% | —% | —% | 2% | —% | 1%</t>
  </si>
  <si>
    <t>table 1, row 7 (zero-based)</t>
  </si>
  <si>
    <t>Total P&amp;G | —% | —% | 1% | 1% | —% | 2% | —% | 2%</t>
  </si>
  <si>
    <t>Beauty | $3,733 | —% | $708 | 3% | $557 | 4%</t>
  </si>
  <si>
    <t>Grooming | 1,683 | 2% | 458 | 16% | 371 | 19%</t>
  </si>
  <si>
    <t>Health Care | 2,722 | 2% | 487 | 12% | 372 | 14%</t>
  </si>
  <si>
    <t>Fabric &amp; Home Care | 7,385 | 2% | 1,751 | 10% | 1,375 | 11%</t>
  </si>
  <si>
    <t>Baby, Feminine &amp; Family Care | 5,093 | 2% | 1,217 | 10% | 948 | 12%</t>
  </si>
  <si>
    <t>Corporate | 274 | N/A | (100) | N/A | 4 | N/A</t>
  </si>
  <si>
    <t>table 3, row 9 (zero-based)</t>
  </si>
  <si>
    <t>TOTAL | $20,889 | 2% | $4,521 | 17% | $3,626 | 15%</t>
  </si>
  <si>
    <t>https://www.sec.gov/Archives/edgar/data/80424/000008042425000245/pg-20250930.htm</t>
  </si>
  <si>
    <t>Beauty | 4 | % | 4 | % | 1 | % | 2 | % | (1) | % | — | % | 6 | %</t>
  </si>
  <si>
    <t>Grooming | 1 | % | 1 | % | 2 | % | 4 | % | (2) | % | — | % | 5 | %</t>
  </si>
  <si>
    <t>Health Care | (2) | % | (2) | % | 1 | % | 1 | % | 2 | % | — | % | 2 | %</t>
  </si>
  <si>
    <t>Fabric &amp; Home Care | (2) | % | (2) | % | 2 | % | 1 | % | — | % | — | % | 1 | %</t>
  </si>
  <si>
    <t>Baby, Feminine &amp; Family Care | — | % | — | % | 1 | % | — | % | — | % | — | % | 1 | %</t>
  </si>
  <si>
    <t>Total Company | — | % | — | % | 1 | % | 1 | % | 1 | % | — | % | 3 | %</t>
  </si>
  <si>
    <t>Beauty | $ | 4,143 | 6 | % | $ | 1,132 | 6 | % | $ | 879 | 5 | %</t>
  </si>
  <si>
    <t>Grooming | 1,817 | 5 | % | 585 | 12 | % | 463 | 9 | %</t>
  </si>
  <si>
    <t>Health Care | 3,220 | 2 | % | 937 | (2) | % | 718 | (3) | %</t>
  </si>
  <si>
    <t>Fabric &amp; Home Care | 7,793 | 1 | % | 2,042 | (2) | % | 1,579 | (3) | %</t>
  </si>
  <si>
    <t>Baby, Feminine &amp; Family Care | 5,171 | 1 | % | 1,446 | 5 | % | 1,105 | 4 | %</t>
  </si>
  <si>
    <t>Corporate | 242 | N/A | (108) | N/A | 36 | N/A</t>
  </si>
  <si>
    <t>table 34, row 9 (zero-based)</t>
  </si>
  <si>
    <t>Total Company | $ | 22,386 | 3 | % | $ | 6,034 | 17 | % | $ | 4,781 | 20 | %</t>
  </si>
  <si>
    <t>table 35, row 2 (zero-based)</t>
  </si>
  <si>
    <t>Beauty | 6 | % | (1) | % | 1 | % | 6 | %</t>
  </si>
  <si>
    <t>Grooming | 5 | % | (2) | % | — | % | 3 | %</t>
  </si>
  <si>
    <t>Health Care | 2 | % | (1) | % | — | % | 1 | %</t>
  </si>
  <si>
    <t>Fabric &amp; Home Care | 1 | % | (2) | % | 1 | % | — | %</t>
  </si>
  <si>
    <t>Baby, Feminine &amp; Family Care | 1 | % | (1) | % | — | % | — | %</t>
  </si>
  <si>
    <t>Total Company | 3 | % | (1) | % | — | % | 2 | %</t>
  </si>
  <si>
    <t>https://www.sec.gov/Archives/edgar/data/80424/000008042426000011/pg-20251231.htm</t>
  </si>
  <si>
    <t>Beauty | 3 | % | 3 | % | 1 | % | 2 | % | (1) | % | — | % | 5 | %</t>
  </si>
  <si>
    <t>Grooming | (2) | % | (2) | % | 2 | % | 2 | % | — | % | — | % | 2 | %</t>
  </si>
  <si>
    <t>Health Care | (1) | % | (1) | % | 2 | % | 1 | % | 2 | % | 1 | % | 5 | %</t>
  </si>
  <si>
    <t>Fabric &amp; Home Care | — | % | — | % | 1 | % | 1 | % | (1) | % | — | % | 1 | %</t>
  </si>
  <si>
    <t>Baby, Feminine &amp; Family Care | (5) | % | (5) | % | 1 | % | — | % | — | % | 1 | % | (3) | %</t>
  </si>
  <si>
    <t>Total Company | (1) | % | (1) | % | 1 | % | 1 | % | — | % | — | % | 1 | %</t>
  </si>
  <si>
    <t>table 40, row 3 (zero-based)</t>
  </si>
  <si>
    <t>Beauty | $ | 4,039 | 5 | % | $ | 992 | — | % | $ | 763 | (2) | %</t>
  </si>
  <si>
    <t>table 40, row 4 (zero-based)</t>
  </si>
  <si>
    <t>Grooming | 1,794 | 2 | % | 531 | (7) | % | 417 | (9) | %</t>
  </si>
  <si>
    <t>table 40, row 5 (zero-based)</t>
  </si>
  <si>
    <t>Health Care | 3,406 | 5 | % | 1,009 | 4 | % | 770 | 2 | %</t>
  </si>
  <si>
    <t>table 40, row 6 (zero-based)</t>
  </si>
  <si>
    <t>Fabric &amp; Home Care | 7,686 | 1 | % | 1,961 | (1) | % | 1,521 | (3) | %</t>
  </si>
  <si>
    <t>table 40, row 7 (zero-based)</t>
  </si>
  <si>
    <t>Baby, Feminine &amp; Family Care | 5,123 | (3) | % | 1,338 | (9) | % | 1,020 | (9) | %</t>
  </si>
  <si>
    <t>table 40, row 8 (zero-based)</t>
  </si>
  <si>
    <t>Corporate | 160 | N/A | (412) | N/A | (161) | N/A</t>
  </si>
  <si>
    <t>table 40, row 9 (zero-based)</t>
  </si>
  <si>
    <t>Total Company | $ | 22,208 | 1 | % | $ | 5,421 | (7) | % | $ | 4,331 | (7) | %</t>
  </si>
  <si>
    <t>table 42, row 2 (zero-based)</t>
  </si>
  <si>
    <t>Beauty | 5 | % | (1) | % | — | % | 4 | %</t>
  </si>
  <si>
    <t>table 42, row 3 (zero-based)</t>
  </si>
  <si>
    <t>Grooming | 2 | % | (2) | % | — | % | — | %</t>
  </si>
  <si>
    <t>table 42, row 4 (zero-based)</t>
  </si>
  <si>
    <t>Health Care | 5 | % | (2) | % | — | % | 3 | %</t>
  </si>
  <si>
    <t>table 42, row 5 (zero-based)</t>
  </si>
  <si>
    <t>Fabric &amp; Home Care | 1 | % | (1) | % | — | % | — | %</t>
  </si>
  <si>
    <t>table 42, row 6 (zero-based)</t>
  </si>
  <si>
    <t>Baby, Feminine &amp; Family Care | (3) | % | (1) | % | — | % | (4) | %</t>
  </si>
  <si>
    <t>table 42, row 7 (zero-based)</t>
  </si>
  <si>
    <t>Total Company | 1 | % | (1) | % | — | % | — | %</t>
  </si>
  <si>
    <t>https://www.sec.gov/Archives/edgar/data/80424/000008042426000060/pg-20260331.htm</t>
  </si>
  <si>
    <t>Beauty | 5 | % | 5 | % | 4 | % | 1 | % | 1 | % | — | % | 11 | %</t>
  </si>
  <si>
    <t>Grooming | (2) | % | (2) | % | 6 | % | 3 | % | — | % | — | % | 7 | %</t>
  </si>
  <si>
    <t>Health Care | (2) | % | (2) | % | 5 | % | 2 | % | 1 | % | 1 | % | 7 | %</t>
  </si>
  <si>
    <t>Fabric &amp; Home Care | 2 | % | 2 | % | 4 | % | 1 | % | — | % | — | % | 7 | %</t>
  </si>
  <si>
    <t>Baby, Feminine &amp; Family Care | 3 | % | 3 | % | 3 | % | — | % | — | % | — | % | 6 | %</t>
  </si>
  <si>
    <t>Total Company | 2 | % | 2 | % | 4 | % | 1 | % | — | % | — | % | 7 | %</t>
  </si>
  <si>
    <t>Beauty | $ | 3,866 | 11 | % | $ | 761 | 11 | % | $ | 579 | 7 | %</t>
  </si>
  <si>
    <t>Grooming | 1,608 | 7 | % | 436 | 8 | % | 331 | 3 | %</t>
  </si>
  <si>
    <t>Health Care | 3,073 | 7 | % | 768 | 5 | % | 579 | 2 | %</t>
  </si>
  <si>
    <t>Fabric &amp; Home Care | 7,403 | 7 | % | 1,689 | 3 | % | 1,300 | 1 | %</t>
  </si>
  <si>
    <t>Baby, Feminine &amp; Family Care | 5,058 | 6 | % | 1,282 | 11 | % | 980 | 11 | %</t>
  </si>
  <si>
    <t>Corporate | 225 | N/A | 54 | N/A | 181 | N/A</t>
  </si>
  <si>
    <t>Total Company | $ | 21,235 | 7 | % | $ | 4,989 | 7 | % | $ | 3,951 | 4 | %</t>
  </si>
  <si>
    <t>Beauty | 11 | % | (4) | % | — | % | 7 | %</t>
  </si>
  <si>
    <t>Grooming | 7 | % | (6) | % | — | % | 1 | %</t>
  </si>
  <si>
    <t>Health Care | 7 | % | (5) | % | — | % | 2 | %</t>
  </si>
  <si>
    <t>Fabric &amp; Home Care | 7 | % | (4) | % | — | % | 3 | %</t>
  </si>
  <si>
    <t>Baby, Feminine &amp; Family Care | 6 | % | (3) | % | — | % | 3 | %</t>
  </si>
  <si>
    <t>Total Company | 7 | % | (4) | % | — | % | 3 |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</si>
</sst>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&quot;$&quot;#,##0;\(&quot;$&quot;#,##0\);&quot;$&quot;0"/>
    <numFmt numFmtId="177" formatCode="0.00&quot;%&quot;;\(0.00\)&quot;%&quot;;0.00&quot;%&quot;"/>
    <numFmt numFmtId="178" formatCode="#,##0.000"/>
    <numFmt numFmtId="179" formatCode="0.000"/>
    <numFmt numFmtId="180" formatCode="0.0%"/>
  </numFmts>
  <fonts count="9">
    <font>
      <sz val="11"/>
      <name val="Carlito"/>
    </font>
    <font>
      <sz val="12"/>
      <color rgb="FF17324F"/>
      <name val="Arial"/>
      <family val="2"/>
    </font>
    <font>
      <b/>
      <sz val="18"/>
      <color rgb="FF17324F"/>
      <name val="Arial"/>
      <family val="2"/>
    </font>
    <font>
      <b/>
      <sz val="12"/>
      <color rgb="FFFFFFFF"/>
      <name val="Arial"/>
      <family val="2"/>
    </font>
    <font>
      <sz val="12"/>
      <color rgb="FF008000"/>
      <name val="Arial"/>
      <family val="2"/>
    </font>
    <font>
      <b/>
      <sz val="12"/>
      <color rgb="FFC62828"/>
      <name val="Arial"/>
      <family val="2"/>
    </font>
    <font>
      <sz val="12"/>
      <color rgb="FFC62828"/>
      <name val="Arial"/>
      <family val="2"/>
    </font>
    <font>
      <sz val="11"/>
      <name val="Carlito"/>
    </font>
    <font>
      <sz val="9"/>
      <name val="FangSong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17324F"/>
      </patternFill>
    </fill>
  </fills>
  <borders count="5">
    <border>
      <left/>
      <right/>
      <top/>
      <bottom/>
      <diagonal/>
    </border>
    <border>
      <left style="medium">
        <color rgb="FFC62828"/>
      </left>
      <right/>
      <top style="medium">
        <color rgb="FFC62828"/>
      </top>
      <bottom style="medium">
        <color rgb="FFC62828"/>
      </bottom>
      <diagonal/>
    </border>
    <border>
      <left/>
      <right/>
      <top style="medium">
        <color rgb="FFC62828"/>
      </top>
      <bottom style="medium">
        <color rgb="FFC62828"/>
      </bottom>
      <diagonal/>
    </border>
    <border>
      <left/>
      <right style="medium">
        <color rgb="FFC62828"/>
      </right>
      <top style="medium">
        <color rgb="FFC62828"/>
      </top>
      <bottom style="medium">
        <color rgb="FFC62828"/>
      </bottom>
      <diagonal/>
    </border>
    <border>
      <left style="medium">
        <color rgb="FFC62828"/>
      </left>
      <right style="medium">
        <color rgb="FFC62828"/>
      </right>
      <top style="medium">
        <color rgb="FFC62828"/>
      </top>
      <bottom style="medium">
        <color rgb="FFC62828"/>
      </bottom>
      <diagonal/>
    </border>
  </borders>
  <cellStyleXfs count="2">
    <xf numFmtId="0" fontId="0" fillId="0" borderId="0"/>
    <xf numFmtId="0" fontId="7" fillId="0" borderId="0"/>
  </cellStyleXfs>
  <cellXfs count="19">
    <xf numFmtId="0" fontId="0" fillId="0" borderId="0" xfId="0"/>
    <xf numFmtId="0" fontId="1" fillId="0" borderId="0" xfId="1" applyFont="1" applyAlignment="1">
      <alignment vertical="center"/>
    </xf>
    <xf numFmtId="0" fontId="2" fillId="0" borderId="0" xfId="1" applyFont="1" applyAlignment="1">
      <alignment vertical="center"/>
    </xf>
    <xf numFmtId="0" fontId="3" fillId="2" borderId="0" xfId="1" applyFont="1" applyFill="1" applyAlignment="1">
      <alignment horizontal="center" vertical="center" wrapText="1"/>
    </xf>
    <xf numFmtId="177" fontId="1" fillId="0" borderId="0" xfId="1" applyNumberFormat="1" applyFont="1" applyAlignment="1">
      <alignment vertical="center"/>
    </xf>
    <xf numFmtId="176" fontId="4" fillId="0" borderId="0" xfId="1" applyNumberFormat="1" applyFont="1" applyAlignment="1">
      <alignment vertical="center"/>
    </xf>
    <xf numFmtId="177" fontId="4" fillId="0" borderId="0" xfId="1" applyNumberFormat="1" applyFont="1" applyAlignment="1">
      <alignment vertical="center"/>
    </xf>
    <xf numFmtId="178" fontId="1" fillId="0" borderId="0" xfId="1" applyNumberFormat="1" applyFont="1" applyAlignment="1">
      <alignment vertical="center"/>
    </xf>
    <xf numFmtId="4" fontId="1" fillId="0" borderId="0" xfId="1" applyNumberFormat="1" applyFont="1" applyAlignment="1">
      <alignment vertical="center"/>
    </xf>
    <xf numFmtId="179" fontId="1" fillId="0" borderId="0" xfId="1" applyNumberFormat="1" applyFont="1" applyAlignment="1">
      <alignment vertical="center"/>
    </xf>
    <xf numFmtId="180" fontId="1" fillId="0" borderId="0" xfId="1" applyNumberFormat="1" applyFont="1" applyAlignment="1">
      <alignment vertical="center"/>
    </xf>
    <xf numFmtId="0" fontId="1" fillId="0" borderId="0" xfId="1" applyFont="1" applyAlignment="1">
      <alignment vertical="center" wrapText="1"/>
    </xf>
    <xf numFmtId="0" fontId="1" fillId="0" borderId="1" xfId="1" applyFont="1" applyBorder="1" applyAlignment="1">
      <alignment vertical="center"/>
    </xf>
    <xf numFmtId="0" fontId="1" fillId="0" borderId="2" xfId="1" applyFont="1" applyBorder="1" applyAlignment="1">
      <alignment vertical="center"/>
    </xf>
    <xf numFmtId="0" fontId="1" fillId="0" borderId="3" xfId="1" applyFont="1" applyBorder="1" applyAlignment="1">
      <alignment vertical="center"/>
    </xf>
    <xf numFmtId="179" fontId="5" fillId="0" borderId="2" xfId="1" applyNumberFormat="1" applyFont="1" applyBorder="1" applyAlignment="1">
      <alignment vertical="center"/>
    </xf>
    <xf numFmtId="180" fontId="5" fillId="0" borderId="2" xfId="1" applyNumberFormat="1" applyFont="1" applyBorder="1" applyAlignment="1">
      <alignment vertical="center"/>
    </xf>
    <xf numFmtId="176" fontId="6" fillId="0" borderId="4" xfId="1" applyNumberFormat="1" applyFont="1" applyBorder="1" applyAlignment="1">
      <alignment vertical="center"/>
    </xf>
    <xf numFmtId="177" fontId="6" fillId="0" borderId="4" xfId="1" applyNumberFormat="1" applyFont="1" applyBorder="1" applyAlignment="1">
      <alignment vertical="center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/>
          <a:lstStyle/>
          <a:p>
            <a:r>
              <a:rPr lang="en-GB" sz="1050">
                <a:latin typeface="Arial"/>
                <a:ea typeface="Arial"/>
                <a:cs typeface="Arial"/>
              </a:rPr>
              <a:t>US demand vs combined-segment volume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P&amp;G segment volume</c:v>
          </c:tx>
          <c:xVal>
            <c:numRef>
              <c:f>Review!$C$27:$C$43</c:f>
              <c:numCache>
                <c:formatCode>0.00"%";\(0.00\)"%";0.00"%"</c:formatCode>
                <c:ptCount val="17"/>
                <c:pt idx="0">
                  <c:v>3.5989104881054557</c:v>
                </c:pt>
                <c:pt idx="1">
                  <c:v>-3.7966210073037132E-2</c:v>
                </c:pt>
                <c:pt idx="2">
                  <c:v>-0.97428175390660288</c:v>
                </c:pt>
                <c:pt idx="3">
                  <c:v>-1.7083333333333339</c:v>
                </c:pt>
                <c:pt idx="4">
                  <c:v>-0.51383557261676094</c:v>
                </c:pt>
                <c:pt idx="5">
                  <c:v>-0.38380425982746935</c:v>
                </c:pt>
                <c:pt idx="6">
                  <c:v>1.1893013232361582</c:v>
                </c:pt>
                <c:pt idx="7">
                  <c:v>2.2255192878338326</c:v>
                </c:pt>
                <c:pt idx="8">
                  <c:v>1.3726160091641626</c:v>
                </c:pt>
                <c:pt idx="9">
                  <c:v>2.2805943792830075</c:v>
                </c:pt>
                <c:pt idx="10">
                  <c:v>2.6501995362399722</c:v>
                </c:pt>
                <c:pt idx="11">
                  <c:v>2.7872397144634187</c:v>
                </c:pt>
                <c:pt idx="12">
                  <c:v>3.7498513143808809</c:v>
                </c:pt>
                <c:pt idx="13">
                  <c:v>3.2332744751814912</c:v>
                </c:pt>
                <c:pt idx="14">
                  <c:v>2.9967230915401322</c:v>
                </c:pt>
                <c:pt idx="15">
                  <c:v>2.1478108850594868</c:v>
                </c:pt>
                <c:pt idx="16">
                  <c:v>1.5477657714465964</c:v>
                </c:pt>
              </c:numCache>
            </c:numRef>
          </c:xVal>
          <c:yVal>
            <c:numRef>
              <c:f>Review!$D$27:$D$43</c:f>
              <c:numCache>
                <c:formatCode>0.00"%";\(0.00\)"%";0.00"%"</c:formatCode>
                <c:ptCount val="17"/>
                <c:pt idx="0">
                  <c:v>2</c:v>
                </c:pt>
                <c:pt idx="1">
                  <c:v>0</c:v>
                </c:pt>
                <c:pt idx="2">
                  <c:v>-3</c:v>
                </c:pt>
                <c:pt idx="3">
                  <c:v>-6</c:v>
                </c:pt>
                <c:pt idx="4">
                  <c:v>-4</c:v>
                </c:pt>
                <c:pt idx="5">
                  <c:v>0</c:v>
                </c:pt>
                <c:pt idx="6">
                  <c:v>-3</c:v>
                </c:pt>
                <c:pt idx="7">
                  <c:v>-2</c:v>
                </c:pt>
                <c:pt idx="8">
                  <c:v>-3</c:v>
                </c:pt>
                <c:pt idx="9">
                  <c:v>-1</c:v>
                </c:pt>
                <c:pt idx="10">
                  <c:v>-1</c:v>
                </c:pt>
                <c:pt idx="11">
                  <c:v>4</c:v>
                </c:pt>
                <c:pt idx="12">
                  <c:v>-2</c:v>
                </c:pt>
                <c:pt idx="13">
                  <c:v>0</c:v>
                </c:pt>
                <c:pt idx="14">
                  <c:v>0</c:v>
                </c:pt>
                <c:pt idx="15">
                  <c:v>-5</c:v>
                </c:pt>
                <c:pt idx="16">
                  <c:v>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8D6-BA42-BF35-C89A367590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GB"/>
                  <a:t>P&amp;G segment organic volume growth</a:t>
                </a:r>
              </a:p>
            </c:rich>
          </c:tx>
          <c:overlay val="0"/>
        </c:title>
        <c:numFmt formatCode="0.0&quot;%&quot;" sourceLinked="0"/>
        <c:majorTickMark val="none"/>
        <c:minorTickMark val="none"/>
        <c:tickLblPos val="nextTo"/>
        <c:crossAx val="48650112"/>
        <c:crosses val="autoZero"/>
        <c:crossBetween val="midCat"/>
      </c:valAx>
      <c:val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GB"/>
                  <a:t>US nondurable consumption growth</a:t>
                </a:r>
              </a:p>
            </c:rich>
          </c:tx>
          <c:overlay val="0"/>
        </c:title>
        <c:numFmt formatCode="0.0&quot;%&quot;" sourceLinked="0"/>
        <c:majorTickMark val="none"/>
        <c:minorTickMark val="none"/>
        <c:tickLblPos val="nextTo"/>
        <c:crossAx val="48672768"/>
        <c:crosses val="autoZero"/>
        <c:crossBetween val="midCat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25</xdr:row>
      <xdr:rowOff>0</xdr:rowOff>
    </xdr:from>
    <xdr:to>
      <xdr:col>10</xdr:col>
      <xdr:colOff>0</xdr:colOff>
      <xdr:row>44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5"/>
  <sheetViews>
    <sheetView showGridLines="0" tabSelected="1" zoomScale="200" zoomScaleNormal="200" workbookViewId="0"/>
  </sheetViews>
  <sheetFormatPr baseColWidth="10" defaultColWidth="8.83203125" defaultRowHeight="14"/>
  <cols>
    <col min="1" max="1" width="3" customWidth="1"/>
    <col min="2" max="2" width="39" customWidth="1"/>
    <col min="3" max="3" width="17" customWidth="1"/>
    <col min="4" max="4" width="18" customWidth="1"/>
    <col min="5" max="5" width="19" customWidth="1"/>
    <col min="6" max="7" width="22" customWidth="1"/>
    <col min="8" max="9" width="20" customWidth="1"/>
  </cols>
  <sheetData>
    <row r="1" spans="1:9" ht="25" customHeight="1">
      <c r="A1" s="1"/>
      <c r="B1" s="1"/>
      <c r="C1" s="1"/>
      <c r="D1" s="1"/>
      <c r="E1" s="1"/>
      <c r="F1" s="1"/>
      <c r="G1" s="1"/>
      <c r="H1" s="1"/>
      <c r="I1" s="1"/>
    </row>
    <row r="2" spans="1:9" ht="25" customHeight="1">
      <c r="A2" s="1"/>
      <c r="B2" s="2" t="s">
        <v>0</v>
      </c>
      <c r="C2" s="1"/>
      <c r="D2" s="1"/>
      <c r="E2" s="1"/>
      <c r="F2" s="1"/>
      <c r="G2" s="1"/>
      <c r="H2" s="1"/>
      <c r="I2" s="1"/>
    </row>
    <row r="3" spans="1:9" ht="25" customHeight="1">
      <c r="A3" s="1"/>
      <c r="B3" s="1" t="s">
        <v>1</v>
      </c>
      <c r="C3" s="1"/>
      <c r="D3" s="1"/>
      <c r="E3" s="1"/>
      <c r="F3" s="1"/>
      <c r="G3" s="1"/>
      <c r="H3" s="1"/>
      <c r="I3" s="1"/>
    </row>
    <row r="4" spans="1:9" ht="25" customHeight="1">
      <c r="A4" s="1"/>
      <c r="B4" s="1" t="s">
        <v>2</v>
      </c>
      <c r="C4" s="1"/>
      <c r="D4" s="1"/>
      <c r="E4" s="1"/>
      <c r="F4" s="1"/>
      <c r="G4" s="1"/>
      <c r="H4" s="1"/>
      <c r="I4" s="1"/>
    </row>
    <row r="5" spans="1:9" ht="25" customHeight="1">
      <c r="A5" s="1"/>
      <c r="B5" s="1"/>
      <c r="C5" s="1"/>
      <c r="D5" s="1"/>
      <c r="E5" s="1"/>
      <c r="F5" s="1"/>
      <c r="G5" s="1"/>
      <c r="H5" s="1"/>
      <c r="I5" s="1"/>
    </row>
    <row r="6" spans="1:9" ht="44" customHeight="1">
      <c r="A6" s="1"/>
      <c r="B6" s="3" t="s">
        <v>3</v>
      </c>
      <c r="C6" s="3" t="s">
        <v>4</v>
      </c>
      <c r="D6" s="3" t="s">
        <v>5</v>
      </c>
      <c r="E6" s="3" t="s">
        <v>6</v>
      </c>
      <c r="F6" s="3" t="s">
        <v>7</v>
      </c>
      <c r="G6" s="1"/>
      <c r="H6" s="1"/>
      <c r="I6" s="1"/>
    </row>
    <row r="7" spans="1:9" ht="25" customHeight="1">
      <c r="A7" s="1"/>
      <c r="B7" s="1" t="str">
        <f>'Model tests'!B15</f>
        <v>Beauty</v>
      </c>
      <c r="C7" s="1">
        <f>'Model tests'!F15</f>
        <v>17</v>
      </c>
      <c r="D7" s="9">
        <f>'Model tests'!G15</f>
        <v>0.65647478693707628</v>
      </c>
      <c r="E7" s="10">
        <f>'Model tests'!I15</f>
        <v>0.25966554551616378</v>
      </c>
      <c r="F7" s="1" t="str">
        <f>'Model tests'!L15</f>
        <v>Not approved</v>
      </c>
      <c r="G7" s="1"/>
      <c r="H7" s="1"/>
      <c r="I7" s="1"/>
    </row>
    <row r="8" spans="1:9" ht="25" customHeight="1">
      <c r="A8" s="1"/>
      <c r="B8" s="1" t="str">
        <f>'Model tests'!B16</f>
        <v>Grooming</v>
      </c>
      <c r="C8" s="1">
        <f>'Model tests'!F16</f>
        <v>17</v>
      </c>
      <c r="D8" s="9">
        <f>'Model tests'!G16</f>
        <v>0.96197033080964744</v>
      </c>
      <c r="E8" s="10">
        <f>'Model tests'!I16</f>
        <v>0.33991914704738213</v>
      </c>
      <c r="F8" s="1" t="str">
        <f>'Model tests'!L16</f>
        <v>Not approved</v>
      </c>
      <c r="G8" s="1"/>
      <c r="H8" s="1"/>
      <c r="I8" s="1"/>
    </row>
    <row r="9" spans="1:9" ht="25" customHeight="1">
      <c r="A9" s="1"/>
      <c r="B9" s="1" t="str">
        <f>'Model tests'!B17</f>
        <v>Health Care</v>
      </c>
      <c r="C9" s="1">
        <f>'Model tests'!F17</f>
        <v>17</v>
      </c>
      <c r="D9" s="9">
        <f>'Model tests'!G17</f>
        <v>0.35381962720507126</v>
      </c>
      <c r="E9" s="10">
        <f>'Model tests'!I17</f>
        <v>4.6203344163693774E-2</v>
      </c>
      <c r="F9" s="1" t="str">
        <f>'Model tests'!L17</f>
        <v>Not approved</v>
      </c>
      <c r="G9" s="1"/>
      <c r="H9" s="1"/>
      <c r="I9" s="1"/>
    </row>
    <row r="10" spans="1:9" ht="25" customHeight="1">
      <c r="A10" s="1"/>
      <c r="B10" s="1" t="str">
        <f>'Model tests'!B18</f>
        <v>Fabric &amp; Home Care</v>
      </c>
      <c r="C10" s="1">
        <f>'Model tests'!F18</f>
        <v>17</v>
      </c>
      <c r="D10" s="9">
        <f>'Model tests'!G18</f>
        <v>1.3609605385300807</v>
      </c>
      <c r="E10" s="10">
        <f>'Model tests'!I18</f>
        <v>0.59687267689593093</v>
      </c>
      <c r="F10" s="1" t="str">
        <f>'Model tests'!L18</f>
        <v>Not approved</v>
      </c>
      <c r="G10" s="1"/>
      <c r="H10" s="1"/>
      <c r="I10" s="1"/>
    </row>
    <row r="11" spans="1:9" ht="25" customHeight="1">
      <c r="A11" s="1"/>
      <c r="B11" s="12" t="str">
        <f>'Model tests'!B19</f>
        <v>Baby, Feminine &amp; Family Care</v>
      </c>
      <c r="C11" s="13">
        <f>'Model tests'!F19</f>
        <v>17</v>
      </c>
      <c r="D11" s="15">
        <f>'Model tests'!G19</f>
        <v>0.77051919623125453</v>
      </c>
      <c r="E11" s="16">
        <f>'Model tests'!I19</f>
        <v>0.23188987461828586</v>
      </c>
      <c r="F11" s="14" t="str">
        <f>'Model tests'!L19</f>
        <v>Not approved</v>
      </c>
      <c r="G11" s="1"/>
      <c r="H11" s="1"/>
      <c r="I11" s="1"/>
    </row>
    <row r="12" spans="1:9" ht="25" customHeight="1">
      <c r="A12" s="1"/>
      <c r="B12" s="1"/>
      <c r="C12" s="1"/>
      <c r="D12" s="1"/>
      <c r="E12" s="1"/>
      <c r="F12" s="1"/>
      <c r="G12" s="1"/>
      <c r="H12" s="1"/>
      <c r="I12" s="1"/>
    </row>
    <row r="13" spans="1:9" ht="25" customHeight="1">
      <c r="A13" s="1"/>
      <c r="B13" s="1" t="s">
        <v>8</v>
      </c>
      <c r="C13" s="1"/>
      <c r="D13" s="1"/>
      <c r="E13" s="1"/>
      <c r="F13" s="1"/>
      <c r="G13" s="1"/>
      <c r="H13" s="1"/>
      <c r="I13" s="1"/>
    </row>
    <row r="14" spans="1:9" ht="25" customHeight="1">
      <c r="A14" s="1"/>
      <c r="B14" s="1" t="s">
        <v>9</v>
      </c>
      <c r="C14" s="1"/>
      <c r="D14" s="1"/>
      <c r="E14" s="1"/>
      <c r="F14" s="1"/>
      <c r="G14" s="1"/>
      <c r="H14" s="1"/>
      <c r="I14" s="1"/>
    </row>
    <row r="15" spans="1:9" ht="25" customHeight="1">
      <c r="A15" s="1"/>
      <c r="B15" s="1" t="s">
        <v>10</v>
      </c>
      <c r="C15" s="1"/>
      <c r="D15" s="1"/>
      <c r="E15" s="1"/>
      <c r="F15" s="1"/>
      <c r="G15" s="1"/>
      <c r="H15" s="1"/>
      <c r="I15" s="1"/>
    </row>
    <row r="16" spans="1:9" ht="25" customHeight="1">
      <c r="A16" s="1"/>
      <c r="B16" s="1"/>
      <c r="C16" s="1"/>
      <c r="D16" s="1"/>
      <c r="E16" s="1"/>
      <c r="F16" s="1"/>
      <c r="G16" s="1"/>
      <c r="H16" s="1"/>
      <c r="I16" s="1"/>
    </row>
    <row r="17" spans="1:9" ht="44" customHeight="1">
      <c r="A17" s="1"/>
      <c r="B17" s="3" t="s">
        <v>11</v>
      </c>
      <c r="C17" s="3" t="s">
        <v>12</v>
      </c>
      <c r="D17" s="3" t="s">
        <v>13</v>
      </c>
      <c r="E17" s="3" t="s">
        <v>14</v>
      </c>
      <c r="F17" s="1"/>
      <c r="G17" s="1"/>
      <c r="H17" s="1"/>
      <c r="I17" s="1"/>
    </row>
    <row r="18" spans="1:9" ht="40" customHeight="1">
      <c r="A18" s="1"/>
      <c r="B18" s="1" t="s">
        <v>15</v>
      </c>
      <c r="C18" s="1" t="s">
        <v>16</v>
      </c>
      <c r="D18" s="4">
        <v>0.61655837441909611</v>
      </c>
      <c r="E18" s="11" t="s">
        <v>17</v>
      </c>
      <c r="F18" s="1"/>
      <c r="G18" s="1"/>
      <c r="H18" s="1"/>
      <c r="I18" s="1"/>
    </row>
    <row r="19" spans="1:9" ht="40" customHeight="1">
      <c r="A19" s="1"/>
      <c r="B19" s="1" t="s">
        <v>18</v>
      </c>
      <c r="C19" s="1" t="s">
        <v>19</v>
      </c>
      <c r="D19" s="4">
        <v>0.34757544930483775</v>
      </c>
      <c r="E19" s="11" t="s">
        <v>17</v>
      </c>
      <c r="F19" s="1"/>
      <c r="G19" s="1"/>
      <c r="H19" s="1"/>
      <c r="I19" s="1"/>
    </row>
    <row r="20" spans="1:9" ht="40" customHeight="1">
      <c r="A20" s="1"/>
      <c r="B20" s="1" t="s">
        <v>20</v>
      </c>
      <c r="C20" s="1" t="s">
        <v>16</v>
      </c>
      <c r="D20" s="4">
        <v>-1.7453747568940692E-2</v>
      </c>
      <c r="E20" s="11" t="s">
        <v>17</v>
      </c>
      <c r="F20" s="1"/>
      <c r="G20" s="1"/>
      <c r="H20" s="1"/>
      <c r="I20" s="1"/>
    </row>
    <row r="21" spans="1:9" ht="25" customHeight="1">
      <c r="A21" s="1"/>
      <c r="B21" s="1"/>
      <c r="C21" s="1"/>
      <c r="D21" s="1"/>
      <c r="E21" s="1"/>
      <c r="F21" s="1"/>
      <c r="G21" s="1"/>
      <c r="H21" s="1"/>
      <c r="I21" s="1"/>
    </row>
    <row r="22" spans="1:9" ht="25" customHeight="1">
      <c r="A22" s="1"/>
      <c r="B22" s="1" t="s">
        <v>21</v>
      </c>
      <c r="C22" s="1"/>
      <c r="D22" s="1"/>
      <c r="E22" s="1"/>
      <c r="F22" s="1"/>
      <c r="G22" s="1"/>
      <c r="H22" s="1"/>
      <c r="I22" s="1"/>
    </row>
    <row r="23" spans="1:9" ht="25" customHeight="1">
      <c r="A23" s="1"/>
      <c r="B23" s="1" t="s">
        <v>22</v>
      </c>
      <c r="C23" s="1"/>
      <c r="D23" s="1"/>
      <c r="E23" s="1"/>
      <c r="F23" s="1"/>
      <c r="G23" s="1"/>
      <c r="H23" s="1"/>
      <c r="I23" s="1"/>
    </row>
    <row r="24" spans="1:9" ht="25" customHeight="1">
      <c r="A24" s="1"/>
      <c r="B24" s="1" t="s">
        <v>23</v>
      </c>
      <c r="C24" s="1"/>
      <c r="D24" s="1"/>
      <c r="E24" s="1"/>
      <c r="F24" s="1"/>
      <c r="G24" s="1"/>
      <c r="H24" s="1"/>
      <c r="I24" s="1"/>
    </row>
    <row r="25" spans="1:9" ht="25" customHeight="1">
      <c r="A25" s="1"/>
      <c r="B25" s="1"/>
      <c r="C25" s="1"/>
      <c r="D25" s="1"/>
      <c r="E25" s="1"/>
      <c r="F25" s="1"/>
      <c r="G25" s="1"/>
      <c r="H25" s="1"/>
      <c r="I25" s="1"/>
    </row>
    <row r="26" spans="1:9" ht="44" customHeight="1">
      <c r="A26" s="1"/>
      <c r="B26" s="3" t="s">
        <v>24</v>
      </c>
      <c r="C26" s="3" t="s">
        <v>25</v>
      </c>
      <c r="D26" s="3" t="s">
        <v>26</v>
      </c>
      <c r="E26" s="1"/>
      <c r="F26" s="1"/>
      <c r="G26" s="1"/>
      <c r="H26" s="1"/>
      <c r="I26" s="1"/>
    </row>
    <row r="27" spans="1:9" ht="25" customHeight="1">
      <c r="A27" s="1"/>
      <c r="B27" s="1" t="str">
        <f>'Matched quarters'!F220</f>
        <v>2022-03-31</v>
      </c>
      <c r="C27" s="4">
        <f>'Matched quarters'!G220</f>
        <v>3.5989104881054557</v>
      </c>
      <c r="D27" s="4">
        <f>'Matched quarters'!H220</f>
        <v>2</v>
      </c>
      <c r="E27" s="1"/>
      <c r="F27" s="1"/>
      <c r="G27" s="1"/>
      <c r="H27" s="1"/>
      <c r="I27" s="1"/>
    </row>
    <row r="28" spans="1:9" ht="25" customHeight="1">
      <c r="A28" s="1"/>
      <c r="B28" s="1" t="str">
        <f>'Matched quarters'!F221</f>
        <v>2022-06-30</v>
      </c>
      <c r="C28" s="4">
        <f>'Matched quarters'!G221</f>
        <v>-3.7966210073037132E-2</v>
      </c>
      <c r="D28" s="4">
        <f>'Matched quarters'!H221</f>
        <v>0</v>
      </c>
      <c r="E28" s="1"/>
      <c r="F28" s="1"/>
      <c r="G28" s="1"/>
      <c r="H28" s="1"/>
      <c r="I28" s="1"/>
    </row>
    <row r="29" spans="1:9" ht="25" customHeight="1">
      <c r="A29" s="1"/>
      <c r="B29" s="1" t="str">
        <f>'Matched quarters'!F222</f>
        <v>2022-09-30</v>
      </c>
      <c r="C29" s="4">
        <f>'Matched quarters'!G222</f>
        <v>-0.97428175390660288</v>
      </c>
      <c r="D29" s="4">
        <f>'Matched quarters'!H222</f>
        <v>-3</v>
      </c>
      <c r="E29" s="1"/>
      <c r="F29" s="1"/>
      <c r="G29" s="1"/>
      <c r="H29" s="1"/>
      <c r="I29" s="1"/>
    </row>
    <row r="30" spans="1:9" ht="25" customHeight="1">
      <c r="A30" s="1"/>
      <c r="B30" s="1" t="str">
        <f>'Matched quarters'!F223</f>
        <v>2022-12-31</v>
      </c>
      <c r="C30" s="4">
        <f>'Matched quarters'!G223</f>
        <v>-1.7083333333333339</v>
      </c>
      <c r="D30" s="4">
        <f>'Matched quarters'!H223</f>
        <v>-6</v>
      </c>
      <c r="E30" s="1"/>
      <c r="F30" s="1"/>
      <c r="G30" s="1"/>
      <c r="H30" s="1"/>
      <c r="I30" s="1"/>
    </row>
    <row r="31" spans="1:9" ht="25" customHeight="1">
      <c r="A31" s="1"/>
      <c r="B31" s="1" t="str">
        <f>'Matched quarters'!F224</f>
        <v>2023-03-31</v>
      </c>
      <c r="C31" s="4">
        <f>'Matched quarters'!G224</f>
        <v>-0.51383557261676094</v>
      </c>
      <c r="D31" s="4">
        <f>'Matched quarters'!H224</f>
        <v>-4</v>
      </c>
      <c r="E31" s="1"/>
      <c r="F31" s="1"/>
      <c r="G31" s="1"/>
      <c r="H31" s="1"/>
      <c r="I31" s="1"/>
    </row>
    <row r="32" spans="1:9" ht="25" customHeight="1">
      <c r="A32" s="1"/>
      <c r="B32" s="1" t="str">
        <f>'Matched quarters'!F225</f>
        <v>2023-06-30</v>
      </c>
      <c r="C32" s="4">
        <f>'Matched quarters'!G225</f>
        <v>-0.38380425982746935</v>
      </c>
      <c r="D32" s="4">
        <f>'Matched quarters'!H225</f>
        <v>0</v>
      </c>
      <c r="E32" s="1"/>
      <c r="F32" s="1"/>
      <c r="G32" s="1"/>
      <c r="H32" s="1"/>
      <c r="I32" s="1"/>
    </row>
    <row r="33" spans="1:9" ht="25" customHeight="1">
      <c r="A33" s="1"/>
      <c r="B33" s="1" t="str">
        <f>'Matched quarters'!F226</f>
        <v>2023-09-30</v>
      </c>
      <c r="C33" s="4">
        <f>'Matched quarters'!G226</f>
        <v>1.1893013232361582</v>
      </c>
      <c r="D33" s="4">
        <f>'Matched quarters'!H226</f>
        <v>-3</v>
      </c>
      <c r="E33" s="1"/>
      <c r="F33" s="1"/>
      <c r="G33" s="1"/>
      <c r="H33" s="1"/>
      <c r="I33" s="1"/>
    </row>
    <row r="34" spans="1:9" ht="25" customHeight="1">
      <c r="A34" s="1"/>
      <c r="B34" s="1" t="str">
        <f>'Matched quarters'!F227</f>
        <v>2023-12-31</v>
      </c>
      <c r="C34" s="4">
        <f>'Matched quarters'!G227</f>
        <v>2.2255192878338326</v>
      </c>
      <c r="D34" s="4">
        <f>'Matched quarters'!H227</f>
        <v>-2</v>
      </c>
      <c r="E34" s="1"/>
      <c r="F34" s="1"/>
      <c r="G34" s="1"/>
      <c r="H34" s="1"/>
      <c r="I34" s="1"/>
    </row>
    <row r="35" spans="1:9" ht="25" customHeight="1">
      <c r="A35" s="1"/>
      <c r="B35" s="1" t="str">
        <f>'Matched quarters'!F228</f>
        <v>2024-03-31</v>
      </c>
      <c r="C35" s="4">
        <f>'Matched quarters'!G228</f>
        <v>1.3726160091641626</v>
      </c>
      <c r="D35" s="4">
        <f>'Matched quarters'!H228</f>
        <v>-3</v>
      </c>
      <c r="E35" s="1"/>
      <c r="F35" s="1"/>
      <c r="G35" s="1"/>
      <c r="H35" s="1"/>
      <c r="I35" s="1"/>
    </row>
    <row r="36" spans="1:9" ht="25" customHeight="1">
      <c r="A36" s="1"/>
      <c r="B36" s="1" t="str">
        <f>'Matched quarters'!F229</f>
        <v>2024-06-30</v>
      </c>
      <c r="C36" s="4">
        <f>'Matched quarters'!G229</f>
        <v>2.2805943792830075</v>
      </c>
      <c r="D36" s="4">
        <f>'Matched quarters'!H229</f>
        <v>-1</v>
      </c>
      <c r="E36" s="1"/>
      <c r="F36" s="1"/>
      <c r="G36" s="1"/>
      <c r="H36" s="1"/>
      <c r="I36" s="1"/>
    </row>
    <row r="37" spans="1:9" ht="25" customHeight="1">
      <c r="A37" s="1"/>
      <c r="B37" s="1" t="str">
        <f>'Matched quarters'!F230</f>
        <v>2024-09-30</v>
      </c>
      <c r="C37" s="4">
        <f>'Matched quarters'!G230</f>
        <v>2.6501995362399722</v>
      </c>
      <c r="D37" s="4">
        <f>'Matched quarters'!H230</f>
        <v>-1</v>
      </c>
      <c r="E37" s="1"/>
      <c r="F37" s="1"/>
      <c r="G37" s="1"/>
      <c r="H37" s="1"/>
      <c r="I37" s="1"/>
    </row>
    <row r="38" spans="1:9" ht="25" customHeight="1">
      <c r="A38" s="1"/>
      <c r="B38" s="1" t="str">
        <f>'Matched quarters'!F231</f>
        <v>2024-12-31</v>
      </c>
      <c r="C38" s="4">
        <f>'Matched quarters'!G231</f>
        <v>2.7872397144634187</v>
      </c>
      <c r="D38" s="4">
        <f>'Matched quarters'!H231</f>
        <v>4</v>
      </c>
      <c r="E38" s="1"/>
      <c r="F38" s="1"/>
      <c r="G38" s="1"/>
      <c r="H38" s="1"/>
      <c r="I38" s="1"/>
    </row>
    <row r="39" spans="1:9" ht="25" customHeight="1">
      <c r="A39" s="1"/>
      <c r="B39" s="1" t="str">
        <f>'Matched quarters'!F232</f>
        <v>2025-03-31</v>
      </c>
      <c r="C39" s="4">
        <f>'Matched quarters'!G232</f>
        <v>3.7498513143808809</v>
      </c>
      <c r="D39" s="4">
        <f>'Matched quarters'!H232</f>
        <v>-2</v>
      </c>
      <c r="E39" s="1"/>
      <c r="F39" s="1"/>
      <c r="G39" s="1"/>
      <c r="H39" s="1"/>
      <c r="I39" s="1"/>
    </row>
    <row r="40" spans="1:9" ht="25" customHeight="1">
      <c r="A40" s="1"/>
      <c r="B40" s="1" t="str">
        <f>'Matched quarters'!F233</f>
        <v>2025-06-30</v>
      </c>
      <c r="C40" s="4">
        <f>'Matched quarters'!G233</f>
        <v>3.2332744751814912</v>
      </c>
      <c r="D40" s="4">
        <f>'Matched quarters'!H233</f>
        <v>0</v>
      </c>
      <c r="E40" s="1"/>
      <c r="F40" s="1"/>
      <c r="G40" s="1"/>
      <c r="H40" s="1"/>
      <c r="I40" s="1"/>
    </row>
    <row r="41" spans="1:9" ht="25" customHeight="1">
      <c r="A41" s="1"/>
      <c r="B41" s="1" t="str">
        <f>'Matched quarters'!F234</f>
        <v>2025-09-30</v>
      </c>
      <c r="C41" s="4">
        <f>'Matched quarters'!G234</f>
        <v>2.9967230915401322</v>
      </c>
      <c r="D41" s="4">
        <f>'Matched quarters'!H234</f>
        <v>0</v>
      </c>
      <c r="E41" s="1"/>
      <c r="F41" s="1"/>
      <c r="G41" s="1"/>
      <c r="H41" s="1"/>
      <c r="I41" s="1"/>
    </row>
    <row r="42" spans="1:9" ht="25" customHeight="1">
      <c r="A42" s="1"/>
      <c r="B42" s="1" t="str">
        <f>'Matched quarters'!F235</f>
        <v>2025-12-31</v>
      </c>
      <c r="C42" s="4">
        <f>'Matched quarters'!G235</f>
        <v>2.1478108850594868</v>
      </c>
      <c r="D42" s="4">
        <f>'Matched quarters'!H235</f>
        <v>-5</v>
      </c>
      <c r="E42" s="1"/>
      <c r="F42" s="1"/>
      <c r="G42" s="1"/>
      <c r="H42" s="1"/>
      <c r="I42" s="1"/>
    </row>
    <row r="43" spans="1:9" ht="25" customHeight="1">
      <c r="A43" s="1"/>
      <c r="B43" s="1" t="str">
        <f>'Matched quarters'!F236</f>
        <v>2026-03-31</v>
      </c>
      <c r="C43" s="4">
        <f>'Matched quarters'!G236</f>
        <v>1.5477657714465964</v>
      </c>
      <c r="D43" s="4">
        <f>'Matched quarters'!H236</f>
        <v>3</v>
      </c>
      <c r="E43" s="1"/>
      <c r="F43" s="1"/>
      <c r="G43" s="1"/>
      <c r="H43" s="1"/>
      <c r="I43" s="1"/>
    </row>
    <row r="44" spans="1:9" ht="25" customHeight="1">
      <c r="A44" s="1"/>
      <c r="B44" s="1"/>
      <c r="C44" s="1"/>
      <c r="D44" s="1"/>
      <c r="E44" s="1"/>
      <c r="F44" s="1"/>
      <c r="G44" s="1"/>
      <c r="H44" s="1"/>
      <c r="I44" s="1"/>
    </row>
    <row r="45" spans="1:9" ht="25" customHeight="1">
      <c r="A45" s="1"/>
      <c r="B45" s="1"/>
      <c r="C45" s="1"/>
      <c r="D45" s="1"/>
      <c r="E45" s="1"/>
      <c r="F45" s="1"/>
      <c r="G45" s="1"/>
      <c r="H45" s="1"/>
      <c r="I45" s="1"/>
    </row>
  </sheetData>
  <phoneticPr fontId="8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3"/>
  <sheetViews>
    <sheetView showGridLines="0" workbookViewId="0"/>
  </sheetViews>
  <sheetFormatPr baseColWidth="10" defaultColWidth="8.83203125" defaultRowHeight="14"/>
  <cols>
    <col min="1" max="1" width="3" customWidth="1"/>
    <col min="2" max="2" width="25" customWidth="1"/>
    <col min="3" max="3" width="39" customWidth="1"/>
    <col min="4" max="4" width="43" customWidth="1"/>
    <col min="5" max="5" width="46" customWidth="1"/>
  </cols>
  <sheetData>
    <row r="1" spans="1:5" ht="25" customHeight="1">
      <c r="A1" s="1"/>
      <c r="B1" s="1"/>
      <c r="C1" s="1"/>
      <c r="D1" s="1"/>
      <c r="E1" s="1"/>
    </row>
    <row r="2" spans="1:5" ht="25" customHeight="1">
      <c r="A2" s="1"/>
      <c r="B2" s="2" t="s">
        <v>27</v>
      </c>
      <c r="C2" s="1"/>
      <c r="D2" s="1"/>
      <c r="E2" s="1"/>
    </row>
    <row r="3" spans="1:5" ht="25" customHeight="1">
      <c r="A3" s="1"/>
      <c r="B3" s="1" t="s">
        <v>28</v>
      </c>
      <c r="C3" s="1"/>
      <c r="D3" s="1"/>
      <c r="E3" s="1"/>
    </row>
    <row r="4" spans="1:5" ht="25" customHeight="1">
      <c r="A4" s="1"/>
      <c r="B4" s="1"/>
      <c r="C4" s="1"/>
      <c r="D4" s="1"/>
      <c r="E4" s="1"/>
    </row>
    <row r="5" spans="1:5" ht="44" customHeight="1">
      <c r="A5" s="1"/>
      <c r="B5" s="3" t="s">
        <v>29</v>
      </c>
      <c r="C5" s="3" t="s">
        <v>30</v>
      </c>
      <c r="D5" s="3" t="s">
        <v>31</v>
      </c>
      <c r="E5" s="3" t="s">
        <v>32</v>
      </c>
    </row>
    <row r="6" spans="1:5" ht="44" customHeight="1">
      <c r="A6" s="1"/>
      <c r="B6" s="11" t="s">
        <v>33</v>
      </c>
      <c r="C6" s="11" t="s">
        <v>34</v>
      </c>
      <c r="D6" s="11" t="s">
        <v>35</v>
      </c>
      <c r="E6" s="11" t="s">
        <v>36</v>
      </c>
    </row>
    <row r="7" spans="1:5" ht="44" customHeight="1">
      <c r="A7" s="1"/>
      <c r="B7" s="11" t="s">
        <v>37</v>
      </c>
      <c r="C7" s="11" t="s">
        <v>34</v>
      </c>
      <c r="D7" s="11" t="s">
        <v>38</v>
      </c>
      <c r="E7" s="11" t="s">
        <v>39</v>
      </c>
    </row>
    <row r="8" spans="1:5" ht="44" customHeight="1">
      <c r="A8" s="1"/>
      <c r="B8" s="11" t="s">
        <v>40</v>
      </c>
      <c r="C8" s="11" t="s">
        <v>34</v>
      </c>
      <c r="D8" s="11" t="s">
        <v>41</v>
      </c>
      <c r="E8" s="11" t="s">
        <v>42</v>
      </c>
    </row>
    <row r="9" spans="1:5" ht="44" customHeight="1">
      <c r="A9" s="1"/>
      <c r="B9" s="11" t="s">
        <v>43</v>
      </c>
      <c r="C9" s="11" t="s">
        <v>43</v>
      </c>
      <c r="D9" s="11" t="s">
        <v>35</v>
      </c>
      <c r="E9" s="11" t="s">
        <v>36</v>
      </c>
    </row>
    <row r="10" spans="1:5" ht="44" customHeight="1">
      <c r="A10" s="1"/>
      <c r="B10" s="11" t="s">
        <v>44</v>
      </c>
      <c r="C10" s="11" t="s">
        <v>45</v>
      </c>
      <c r="D10" s="11" t="s">
        <v>35</v>
      </c>
      <c r="E10" s="11" t="s">
        <v>36</v>
      </c>
    </row>
    <row r="11" spans="1:5" ht="44" customHeight="1">
      <c r="A11" s="1"/>
      <c r="B11" s="11" t="s">
        <v>46</v>
      </c>
      <c r="C11" s="11" t="s">
        <v>45</v>
      </c>
      <c r="D11" s="11" t="s">
        <v>47</v>
      </c>
      <c r="E11" s="11" t="s">
        <v>48</v>
      </c>
    </row>
    <row r="12" spans="1:5" ht="44" customHeight="1">
      <c r="A12" s="1"/>
      <c r="B12" s="11" t="s">
        <v>49</v>
      </c>
      <c r="C12" s="11" t="s">
        <v>50</v>
      </c>
      <c r="D12" s="11" t="s">
        <v>51</v>
      </c>
      <c r="E12" s="11" t="s">
        <v>52</v>
      </c>
    </row>
    <row r="13" spans="1:5" ht="44" customHeight="1">
      <c r="A13" s="1"/>
      <c r="B13" s="11" t="s">
        <v>53</v>
      </c>
      <c r="C13" s="11" t="s">
        <v>50</v>
      </c>
      <c r="D13" s="11" t="s">
        <v>51</v>
      </c>
      <c r="E13" s="11" t="s">
        <v>52</v>
      </c>
    </row>
    <row r="14" spans="1:5" ht="44" customHeight="1">
      <c r="A14" s="1"/>
      <c r="B14" s="11" t="s">
        <v>54</v>
      </c>
      <c r="C14" s="11" t="s">
        <v>55</v>
      </c>
      <c r="D14" s="11" t="s">
        <v>56</v>
      </c>
      <c r="E14" s="11" t="s">
        <v>57</v>
      </c>
    </row>
    <row r="15" spans="1:5" ht="44" customHeight="1">
      <c r="A15" s="1"/>
      <c r="B15" s="11" t="s">
        <v>58</v>
      </c>
      <c r="C15" s="11" t="s">
        <v>55</v>
      </c>
      <c r="D15" s="11" t="s">
        <v>59</v>
      </c>
      <c r="E15" s="11" t="s">
        <v>60</v>
      </c>
    </row>
    <row r="16" spans="1:5" ht="44" customHeight="1">
      <c r="A16" s="1"/>
      <c r="B16" s="11" t="s">
        <v>61</v>
      </c>
      <c r="C16" s="11" t="s">
        <v>55</v>
      </c>
      <c r="D16" s="11" t="s">
        <v>62</v>
      </c>
      <c r="E16" s="11" t="s">
        <v>52</v>
      </c>
    </row>
    <row r="17" spans="1:5" ht="25" customHeight="1">
      <c r="A17" s="1"/>
      <c r="B17" s="1"/>
      <c r="C17" s="1"/>
      <c r="D17" s="1"/>
      <c r="E17" s="1"/>
    </row>
    <row r="18" spans="1:5" ht="25" customHeight="1">
      <c r="A18" s="1"/>
      <c r="B18" s="1"/>
      <c r="C18" s="1"/>
      <c r="D18" s="1"/>
      <c r="E18" s="1"/>
    </row>
    <row r="19" spans="1:5" ht="25" customHeight="1">
      <c r="A19" s="1"/>
      <c r="B19" s="1" t="s">
        <v>63</v>
      </c>
      <c r="C19" s="1"/>
      <c r="D19" s="1"/>
      <c r="E19" s="1"/>
    </row>
    <row r="20" spans="1:5" ht="25" customHeight="1">
      <c r="A20" s="1"/>
      <c r="B20" s="1" t="s">
        <v>64</v>
      </c>
      <c r="C20" s="1"/>
      <c r="D20" s="1"/>
      <c r="E20" s="1"/>
    </row>
    <row r="21" spans="1:5" ht="25" customHeight="1">
      <c r="A21" s="1"/>
      <c r="B21" s="1" t="s">
        <v>65</v>
      </c>
      <c r="C21" s="1"/>
      <c r="D21" s="1"/>
      <c r="E21" s="1"/>
    </row>
    <row r="22" spans="1:5" ht="25" customHeight="1">
      <c r="A22" s="1"/>
      <c r="B22" s="1"/>
      <c r="C22" s="1"/>
      <c r="D22" s="1"/>
      <c r="E22" s="1"/>
    </row>
    <row r="23" spans="1:5" ht="25" customHeight="1">
      <c r="A23" s="1"/>
      <c r="B23" s="1"/>
      <c r="C23" s="1"/>
      <c r="D23" s="1"/>
      <c r="E23" s="1"/>
    </row>
  </sheetData>
  <phoneticPr fontId="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7"/>
  <sheetViews>
    <sheetView showGridLines="0" workbookViewId="0"/>
  </sheetViews>
  <sheetFormatPr baseColWidth="10" defaultColWidth="8.83203125" defaultRowHeight="14"/>
  <cols>
    <col min="1" max="1" width="3" customWidth="1"/>
    <col min="2" max="2" width="39" customWidth="1"/>
    <col min="3" max="3" width="25" customWidth="1"/>
    <col min="4" max="4" width="23" customWidth="1"/>
    <col min="5" max="5" width="19" customWidth="1"/>
    <col min="6" max="6" width="12" customWidth="1"/>
    <col min="7" max="8" width="16" customWidth="1"/>
    <col min="9" max="9" width="17" customWidth="1"/>
    <col min="10" max="11" width="18" customWidth="1"/>
    <col min="12" max="12" width="24" customWidth="1"/>
  </cols>
  <sheetData>
    <row r="1" spans="1:12" ht="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5" customHeight="1">
      <c r="A2" s="1"/>
      <c r="B2" s="2" t="s">
        <v>66</v>
      </c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25" customHeight="1">
      <c r="A3" s="1"/>
      <c r="B3" s="1" t="s">
        <v>67</v>
      </c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2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44" customHeight="1">
      <c r="A5" s="1"/>
      <c r="B5" s="3" t="s">
        <v>68</v>
      </c>
      <c r="C5" s="3" t="s">
        <v>69</v>
      </c>
      <c r="D5" s="3" t="s">
        <v>70</v>
      </c>
      <c r="E5" s="3" t="s">
        <v>71</v>
      </c>
      <c r="F5" s="3" t="s">
        <v>4</v>
      </c>
      <c r="G5" s="3" t="s">
        <v>5</v>
      </c>
      <c r="H5" s="3" t="s">
        <v>72</v>
      </c>
      <c r="I5" s="3" t="s">
        <v>6</v>
      </c>
      <c r="J5" s="3" t="s">
        <v>73</v>
      </c>
      <c r="K5" s="3" t="s">
        <v>74</v>
      </c>
      <c r="L5" s="3" t="s">
        <v>7</v>
      </c>
    </row>
    <row r="6" spans="1:12" ht="25" customHeight="1">
      <c r="A6" s="1"/>
      <c r="B6" s="1" t="s">
        <v>34</v>
      </c>
      <c r="C6" s="1" t="s">
        <v>75</v>
      </c>
      <c r="D6" s="1" t="s">
        <v>76</v>
      </c>
      <c r="E6" s="1" t="s">
        <v>77</v>
      </c>
      <c r="F6" s="1">
        <f>COUNT('Matched quarters'!G6:G21)</f>
        <v>16</v>
      </c>
      <c r="G6" s="9">
        <f>(SUM('Matched quarters'!K6:K21)-SUM('Matched quarters'!G6:G21)*SUM('Matched quarters'!H6:H21)/F6)/(SUM('Matched quarters'!I6:I21)-SUM('Matched quarters'!G6:G21)^2/F6)</f>
        <v>0.65552036645629586</v>
      </c>
      <c r="H6" s="9">
        <f>SUM('Matched quarters'!H6:H21)/F6-G6*SUM('Matched quarters'!G6:G21)/F6</f>
        <v>-0.94592874352578793</v>
      </c>
      <c r="I6" s="10">
        <f>(SUM('Matched quarters'!K6:K21)-SUM('Matched quarters'!G6:G21)*SUM('Matched quarters'!H6:H21)/F6)^2/((SUM('Matched quarters'!I6:I21)-SUM('Matched quarters'!G6:G21)^2/F6)*(SUM('Matched quarters'!J6:J21)-SUM('Matched quarters'!H6:H21)^2/F6))</f>
        <v>0.37113095209400448</v>
      </c>
      <c r="J6" s="9">
        <f>SQRT(AVERAGE('Matched quarters'!P14:P21))</f>
        <v>1.8329544293522806</v>
      </c>
      <c r="K6" s="9">
        <f>SQRT(AVERAGE('Matched quarters'!Q14:Q21))</f>
        <v>1.5385667031363963</v>
      </c>
      <c r="L6" s="1" t="s">
        <v>78</v>
      </c>
    </row>
    <row r="7" spans="1:12" ht="25" customHeight="1">
      <c r="A7" s="1"/>
      <c r="B7" s="1" t="s">
        <v>43</v>
      </c>
      <c r="C7" s="1" t="s">
        <v>75</v>
      </c>
      <c r="D7" s="1" t="s">
        <v>76</v>
      </c>
      <c r="E7" s="1" t="s">
        <v>77</v>
      </c>
      <c r="F7" s="1">
        <f>COUNT('Matched quarters'!G22:G37)</f>
        <v>16</v>
      </c>
      <c r="G7" s="9">
        <f>(SUM('Matched quarters'!K22:K37)-SUM('Matched quarters'!G22:G37)*SUM('Matched quarters'!H22:H37)/F7)/(SUM('Matched quarters'!I22:I37)-SUM('Matched quarters'!G22:G37)^2/F7)</f>
        <v>0.96234706949381765</v>
      </c>
      <c r="H7" s="9">
        <f>SUM('Matched quarters'!H22:H37)/F7-G7*SUM('Matched quarters'!G22:G37)/F7</f>
        <v>-1.5429398090201458</v>
      </c>
      <c r="I7" s="10">
        <f>(SUM('Matched quarters'!K22:K37)-SUM('Matched quarters'!G22:G37)*SUM('Matched quarters'!H22:H37)/F7)^2/((SUM('Matched quarters'!I22:I37)-SUM('Matched quarters'!G22:G37)^2/F7)*(SUM('Matched quarters'!J22:J37)-SUM('Matched quarters'!H22:H37)^2/F7))</f>
        <v>0.35012304290486002</v>
      </c>
      <c r="J7" s="9">
        <f>SQRT(AVERAGE('Matched quarters'!P30:P37))</f>
        <v>2.3862365717468368</v>
      </c>
      <c r="K7" s="9">
        <f>SQRT(AVERAGE('Matched quarters'!Q30:Q37))</f>
        <v>2.5814845535079227</v>
      </c>
      <c r="L7" s="1" t="s">
        <v>78</v>
      </c>
    </row>
    <row r="8" spans="1:12" ht="25" customHeight="1">
      <c r="A8" s="1"/>
      <c r="B8" s="1" t="s">
        <v>45</v>
      </c>
      <c r="C8" s="1" t="s">
        <v>75</v>
      </c>
      <c r="D8" s="1" t="s">
        <v>76</v>
      </c>
      <c r="E8" s="1" t="s">
        <v>77</v>
      </c>
      <c r="F8" s="1">
        <f>COUNT('Matched quarters'!G38:G53)</f>
        <v>16</v>
      </c>
      <c r="G8" s="9">
        <f>(SUM('Matched quarters'!K38:K53)-SUM('Matched quarters'!G38:G53)*SUM('Matched quarters'!H38:H53)/F8)/(SUM('Matched quarters'!I38:I53)-SUM('Matched quarters'!G38:G53)^2/F8)</f>
        <v>0.35409848809375261</v>
      </c>
      <c r="H8" s="9">
        <f>SUM('Matched quarters'!H38:H53)/F8-G8*SUM('Matched quarters'!G38:G53)/F8</f>
        <v>-1.1072322641753056</v>
      </c>
      <c r="I8" s="10">
        <f>(SUM('Matched quarters'!K38:K53)-SUM('Matched quarters'!G38:G53)*SUM('Matched quarters'!H38:H53)/F8)^2/((SUM('Matched quarters'!I38:I53)-SUM('Matched quarters'!G38:G53)^2/F8)*(SUM('Matched quarters'!J38:J53)-SUM('Matched quarters'!H38:H53)^2/F8))</f>
        <v>4.701420349547171E-2</v>
      </c>
      <c r="J8" s="9">
        <f>SQRT(AVERAGE('Matched quarters'!P46:P53))</f>
        <v>2.6781532667207677</v>
      </c>
      <c r="K8" s="9">
        <f>SQRT(AVERAGE('Matched quarters'!Q46:Q53))</f>
        <v>1.8624580532189174</v>
      </c>
      <c r="L8" s="1" t="s">
        <v>78</v>
      </c>
    </row>
    <row r="9" spans="1:12" ht="25" customHeight="1">
      <c r="A9" s="1"/>
      <c r="B9" s="1" t="s">
        <v>50</v>
      </c>
      <c r="C9" s="1" t="s">
        <v>75</v>
      </c>
      <c r="D9" s="1" t="s">
        <v>76</v>
      </c>
      <c r="E9" s="1" t="s">
        <v>77</v>
      </c>
      <c r="F9" s="1">
        <f>COUNT('Matched quarters'!G54:G69)</f>
        <v>16</v>
      </c>
      <c r="G9" s="9">
        <f>(SUM('Matched quarters'!K54:K69)-SUM('Matched quarters'!G54:G69)*SUM('Matched quarters'!H54:H69)/F9)/(SUM('Matched quarters'!I54:I69)-SUM('Matched quarters'!G54:G69)^2/F9)</f>
        <v>1.360479159335602</v>
      </c>
      <c r="H9" s="9">
        <f>SUM('Matched quarters'!H54:H69)/F9-G9*SUM('Matched quarters'!G54:G69)/F9</f>
        <v>-2.5929117681857567</v>
      </c>
      <c r="I9" s="10">
        <f>(SUM('Matched quarters'!K54:K69)-SUM('Matched quarters'!G54:G69)*SUM('Matched quarters'!H54:H69)/F9)^2/((SUM('Matched quarters'!I54:I69)-SUM('Matched quarters'!G54:G69)^2/F9)*(SUM('Matched quarters'!J54:J69)-SUM('Matched quarters'!H54:H69)^2/F9))</f>
        <v>0.62224741775506609</v>
      </c>
      <c r="J9" s="9">
        <f>SQRT(AVERAGE('Matched quarters'!P62:P69))</f>
        <v>2.554872161042725</v>
      </c>
      <c r="K9" s="9">
        <f>SQRT(AVERAGE('Matched quarters'!Q62:Q69))</f>
        <v>1.8853878911247945</v>
      </c>
      <c r="L9" s="1" t="s">
        <v>78</v>
      </c>
    </row>
    <row r="10" spans="1:12" ht="25" customHeight="1">
      <c r="A10" s="1"/>
      <c r="B10" s="1" t="s">
        <v>55</v>
      </c>
      <c r="C10" s="1" t="s">
        <v>75</v>
      </c>
      <c r="D10" s="1" t="s">
        <v>76</v>
      </c>
      <c r="E10" s="1" t="s">
        <v>77</v>
      </c>
      <c r="F10" s="1">
        <f>COUNT('Matched quarters'!G70:G85)</f>
        <v>16</v>
      </c>
      <c r="G10" s="9">
        <f>(SUM('Matched quarters'!K70:K85)-SUM('Matched quarters'!G70:G85)*SUM('Matched quarters'!H70:H85)/F10)/(SUM('Matched quarters'!I70:I85)-SUM('Matched quarters'!G70:G85)^2/F10)</f>
        <v>0.76964965802931207</v>
      </c>
      <c r="H10" s="9">
        <f>SUM('Matched quarters'!H70:H85)/F10-G10*SUM('Matched quarters'!G70:G85)/F10</f>
        <v>-2.6840011040348006</v>
      </c>
      <c r="I10" s="10">
        <f>(SUM('Matched quarters'!K70:K85)-SUM('Matched quarters'!G70:G85)*SUM('Matched quarters'!H70:H85)/F10)^2/((SUM('Matched quarters'!I70:I85)-SUM('Matched quarters'!G70:G85)^2/F10)*(SUM('Matched quarters'!J70:J85)-SUM('Matched quarters'!H70:H85)^2/F10))</f>
        <v>0.27636198948566937</v>
      </c>
      <c r="J10" s="9">
        <f>SQRT(AVERAGE('Matched quarters'!P78:P85))</f>
        <v>2.5805522276941661</v>
      </c>
      <c r="K10" s="9">
        <f>SQRT(AVERAGE('Matched quarters'!Q78:Q85))</f>
        <v>2.9487815280213621</v>
      </c>
      <c r="L10" s="1" t="s">
        <v>78</v>
      </c>
    </row>
    <row r="11" spans="1:12" ht="25" customHeight="1">
      <c r="A11" s="1"/>
      <c r="B11" s="1" t="s">
        <v>34</v>
      </c>
      <c r="C11" s="1" t="s">
        <v>79</v>
      </c>
      <c r="D11" s="1" t="s">
        <v>80</v>
      </c>
      <c r="E11" s="1" t="s">
        <v>77</v>
      </c>
      <c r="F11" s="1">
        <f>COUNT('Matched quarters'!G86:G101)</f>
        <v>16</v>
      </c>
      <c r="G11" s="9">
        <f>(SUM('Matched quarters'!K86:K101)-SUM('Matched quarters'!G86:G101)*SUM('Matched quarters'!H86:H101)/F11)/(SUM('Matched quarters'!I86:I101)-SUM('Matched quarters'!G86:G101)^2/F11)</f>
        <v>0.96336108612599347</v>
      </c>
      <c r="H11" s="9">
        <f>SUM('Matched quarters'!H86:H101)/F11-G11*SUM('Matched quarters'!G86:G101)/F11</f>
        <v>1.3471539210634065</v>
      </c>
      <c r="I11" s="10">
        <f>(SUM('Matched quarters'!K86:K101)-SUM('Matched quarters'!G86:G101)*SUM('Matched quarters'!H86:H101)/F11)^2/((SUM('Matched quarters'!I86:I101)-SUM('Matched quarters'!G86:G101)^2/F11)*(SUM('Matched quarters'!J86:J101)-SUM('Matched quarters'!H86:H101)^2/F11))</f>
        <v>0.84290373153358678</v>
      </c>
      <c r="J11" s="9">
        <f>SQRT(AVERAGE('Matched quarters'!P94:P101))</f>
        <v>1.3463738945962922</v>
      </c>
      <c r="K11" s="9">
        <f>SQRT(AVERAGE('Matched quarters'!Q94:Q101))</f>
        <v>1.976423537605237</v>
      </c>
      <c r="L11" s="1" t="s">
        <v>78</v>
      </c>
    </row>
    <row r="12" spans="1:12" ht="25" customHeight="1">
      <c r="A12" s="1"/>
      <c r="B12" s="1" t="s">
        <v>43</v>
      </c>
      <c r="C12" s="1" t="s">
        <v>79</v>
      </c>
      <c r="D12" s="1" t="s">
        <v>80</v>
      </c>
      <c r="E12" s="1" t="s">
        <v>77</v>
      </c>
      <c r="F12" s="1">
        <f>COUNT('Matched quarters'!G102:G117)</f>
        <v>16</v>
      </c>
      <c r="G12" s="9">
        <f>(SUM('Matched quarters'!K102:K117)-SUM('Matched quarters'!G102:G117)*SUM('Matched quarters'!H102:H117)/F12)/(SUM('Matched quarters'!I102:I117)-SUM('Matched quarters'!G102:G117)^2/F12)</f>
        <v>1.1270646095203316</v>
      </c>
      <c r="H12" s="9">
        <f>SUM('Matched quarters'!H102:H117)/F12-G12*SUM('Matched quarters'!G102:G117)/F12</f>
        <v>2.4576333756976938</v>
      </c>
      <c r="I12" s="10">
        <f>(SUM('Matched quarters'!K102:K117)-SUM('Matched quarters'!G102:G117)*SUM('Matched quarters'!H102:H117)/F12)^2/((SUM('Matched quarters'!I102:I117)-SUM('Matched quarters'!G102:G117)^2/F12)*(SUM('Matched quarters'!J102:J117)-SUM('Matched quarters'!H102:H117)^2/F12))</f>
        <v>0.80021181713758693</v>
      </c>
      <c r="J12" s="9">
        <f>SQRT(AVERAGE('Matched quarters'!P110:P117))</f>
        <v>2.1749551168427379</v>
      </c>
      <c r="K12" s="9">
        <f>SQRT(AVERAGE('Matched quarters'!Q110:Q117))</f>
        <v>3.4629737942987671</v>
      </c>
      <c r="L12" s="1" t="s">
        <v>78</v>
      </c>
    </row>
    <row r="13" spans="1:12" ht="25" customHeight="1">
      <c r="A13" s="1"/>
      <c r="B13" s="1" t="s">
        <v>34</v>
      </c>
      <c r="C13" s="1" t="s">
        <v>81</v>
      </c>
      <c r="D13" s="1" t="s">
        <v>82</v>
      </c>
      <c r="E13" s="1" t="s">
        <v>77</v>
      </c>
      <c r="F13" s="1">
        <f>COUNT('Matched quarters'!G118:G134)</f>
        <v>17</v>
      </c>
      <c r="G13" s="9">
        <f>(SUM('Matched quarters'!K118:K134)-SUM('Matched quarters'!G118:G134)*SUM('Matched quarters'!H118:H134)/F13)/(SUM('Matched quarters'!I118:I134)-SUM('Matched quarters'!G118:G134)^2/F13)</f>
        <v>0.10895443994793461</v>
      </c>
      <c r="H13" s="9">
        <f>SUM('Matched quarters'!H118:H134)/F13-G13*SUM('Matched quarters'!G118:G134)/F13</f>
        <v>2.9295212446381216</v>
      </c>
      <c r="I13" s="10">
        <f>(SUM('Matched quarters'!K118:K134)-SUM('Matched quarters'!G118:G134)*SUM('Matched quarters'!H118:H134)/F13)^2/((SUM('Matched quarters'!I118:I134)-SUM('Matched quarters'!G118:G134)^2/F13)*(SUM('Matched quarters'!J118:J134)-SUM('Matched quarters'!H118:H134)^2/F13))</f>
        <v>9.2390824135088322E-3</v>
      </c>
      <c r="J13" s="9">
        <f>SQRT(AVERAGE('Matched quarters'!P126:P134))</f>
        <v>3.0905803650427308</v>
      </c>
      <c r="K13" s="9">
        <f>SQRT(AVERAGE('Matched quarters'!Q126:Q134))</f>
        <v>3.0196118219989065</v>
      </c>
      <c r="L13" s="1" t="s">
        <v>78</v>
      </c>
    </row>
    <row r="14" spans="1:12" ht="25" customHeight="1">
      <c r="A14" s="1"/>
      <c r="B14" s="1" t="s">
        <v>45</v>
      </c>
      <c r="C14" s="1" t="s">
        <v>81</v>
      </c>
      <c r="D14" s="1" t="s">
        <v>82</v>
      </c>
      <c r="E14" s="1" t="s">
        <v>77</v>
      </c>
      <c r="F14" s="1">
        <f>COUNT('Matched quarters'!G135:G151)</f>
        <v>17</v>
      </c>
      <c r="G14" s="9">
        <f>(SUM('Matched quarters'!K135:K151)-SUM('Matched quarters'!G135:G151)*SUM('Matched quarters'!H135:H151)/F14)/(SUM('Matched quarters'!I135:I151)-SUM('Matched quarters'!G135:G151)^2/F14)</f>
        <v>6.2652357203762346E-2</v>
      </c>
      <c r="H14" s="9">
        <f>SUM('Matched quarters'!H135:H151)/F14-G14*SUM('Matched quarters'!G135:G151)/F14</f>
        <v>5.0668080876445245</v>
      </c>
      <c r="I14" s="10">
        <f>(SUM('Matched quarters'!K135:K151)-SUM('Matched quarters'!G135:G151)*SUM('Matched quarters'!H135:H151)/F14)^2/((SUM('Matched quarters'!I135:I151)-SUM('Matched quarters'!G135:G151)^2/F14)*(SUM('Matched quarters'!J135:J151)-SUM('Matched quarters'!H135:H151)^2/F14))</f>
        <v>1.7920341214690328E-3</v>
      </c>
      <c r="J14" s="9">
        <f>SQRT(AVERAGE('Matched quarters'!P143:P151))</f>
        <v>4.7260406975967975</v>
      </c>
      <c r="K14" s="9">
        <f>SQRT(AVERAGE('Matched quarters'!Q143:Q151))</f>
        <v>1.8333333333333333</v>
      </c>
      <c r="L14" s="1" t="s">
        <v>78</v>
      </c>
    </row>
    <row r="15" spans="1:12" ht="25" customHeight="1">
      <c r="A15" s="1"/>
      <c r="B15" s="1" t="s">
        <v>34</v>
      </c>
      <c r="C15" s="1" t="s">
        <v>75</v>
      </c>
      <c r="D15" s="1" t="s">
        <v>76</v>
      </c>
      <c r="E15" s="1" t="s">
        <v>83</v>
      </c>
      <c r="F15" s="1">
        <f>COUNT('Matched quarters'!G152:G168)</f>
        <v>17</v>
      </c>
      <c r="G15" s="9">
        <f>(SUM('Matched quarters'!K152:K168)-SUM('Matched quarters'!G152:G168)*SUM('Matched quarters'!H152:H168)/F15)/(SUM('Matched quarters'!I152:I168)-SUM('Matched quarters'!G152:G168)^2/F15)</f>
        <v>0.65647478693707628</v>
      </c>
      <c r="H15" s="9">
        <f>SUM('Matched quarters'!H152:H168)/F15-G15*SUM('Matched quarters'!G152:G168)/F15</f>
        <v>-0.6573188843984108</v>
      </c>
      <c r="I15" s="10">
        <f>(SUM('Matched quarters'!K152:K168)-SUM('Matched quarters'!G152:G168)*SUM('Matched quarters'!H152:H168)/F15)^2/((SUM('Matched quarters'!I152:I168)-SUM('Matched quarters'!G152:G168)^2/F15)*(SUM('Matched quarters'!J152:J168)-SUM('Matched quarters'!H152:H168)^2/F15))</f>
        <v>0.25966554551616378</v>
      </c>
      <c r="J15" s="9">
        <f>SQRT(AVERAGE('Matched quarters'!P160:P168))</f>
        <v>2.3850426909728544</v>
      </c>
      <c r="K15" s="9">
        <f>SQRT(AVERAGE('Matched quarters'!Q160:Q168))</f>
        <v>1.7159383568311668</v>
      </c>
      <c r="L15" s="1" t="s">
        <v>78</v>
      </c>
    </row>
    <row r="16" spans="1:12" ht="25" customHeight="1">
      <c r="A16" s="1"/>
      <c r="B16" s="1" t="s">
        <v>43</v>
      </c>
      <c r="C16" s="1" t="s">
        <v>75</v>
      </c>
      <c r="D16" s="1" t="s">
        <v>76</v>
      </c>
      <c r="E16" s="1" t="s">
        <v>83</v>
      </c>
      <c r="F16" s="1">
        <f>COUNT('Matched quarters'!G169:G185)</f>
        <v>17</v>
      </c>
      <c r="G16" s="9">
        <f>(SUM('Matched quarters'!K169:K185)-SUM('Matched quarters'!G169:G185)*SUM('Matched quarters'!H169:H185)/F16)/(SUM('Matched quarters'!I169:I185)-SUM('Matched quarters'!G169:G185)^2/F16)</f>
        <v>0.96197033080964744</v>
      </c>
      <c r="H16" s="9">
        <f>SUM('Matched quarters'!H169:H185)/F16-G16*SUM('Matched quarters'!G169:G185)/F16</f>
        <v>-1.6568628657395896</v>
      </c>
      <c r="I16" s="10">
        <f>(SUM('Matched quarters'!K169:K185)-SUM('Matched quarters'!G169:G185)*SUM('Matched quarters'!H169:H185)/F16)^2/((SUM('Matched quarters'!I169:I185)-SUM('Matched quarters'!G169:G185)^2/F16)*(SUM('Matched quarters'!J169:J185)-SUM('Matched quarters'!H169:H185)^2/F16))</f>
        <v>0.33991914704738213</v>
      </c>
      <c r="J16" s="9">
        <f>SQRT(AVERAGE('Matched quarters'!P177:P185))</f>
        <v>2.3414631964689003</v>
      </c>
      <c r="K16" s="9">
        <f>SQRT(AVERAGE('Matched quarters'!Q177:Q185))</f>
        <v>2.5027762362802011</v>
      </c>
      <c r="L16" s="1" t="s">
        <v>78</v>
      </c>
    </row>
    <row r="17" spans="1:12" ht="25" customHeight="1">
      <c r="A17" s="1"/>
      <c r="B17" s="1" t="s">
        <v>45</v>
      </c>
      <c r="C17" s="1" t="s">
        <v>75</v>
      </c>
      <c r="D17" s="1" t="s">
        <v>76</v>
      </c>
      <c r="E17" s="1" t="s">
        <v>83</v>
      </c>
      <c r="F17" s="1">
        <f>COUNT('Matched quarters'!G186:G202)</f>
        <v>17</v>
      </c>
      <c r="G17" s="9">
        <f>(SUM('Matched quarters'!K186:K202)-SUM('Matched quarters'!G186:G202)*SUM('Matched quarters'!H186:H202)/F17)/(SUM('Matched quarters'!I186:I202)-SUM('Matched quarters'!G186:G202)^2/F17)</f>
        <v>0.35381962720507126</v>
      </c>
      <c r="H17" s="9">
        <f>SUM('Matched quarters'!H186:H202)/F17-G17*SUM('Matched quarters'!G186:G202)/F17</f>
        <v>-1.1915577825596597</v>
      </c>
      <c r="I17" s="10">
        <f>(SUM('Matched quarters'!K186:K202)-SUM('Matched quarters'!G186:G202)*SUM('Matched quarters'!H186:H202)/F17)^2/((SUM('Matched quarters'!I186:I202)-SUM('Matched quarters'!G186:G202)^2/F17)*(SUM('Matched quarters'!J186:J202)-SUM('Matched quarters'!H186:H202)^2/F17))</f>
        <v>4.6203344163693774E-2</v>
      </c>
      <c r="J17" s="9">
        <f>SQRT(AVERAGE('Matched quarters'!P194:P202))</f>
        <v>2.5702578405816503</v>
      </c>
      <c r="K17" s="9">
        <f>SQRT(AVERAGE('Matched quarters'!Q194:Q202))</f>
        <v>1.7638342073763937</v>
      </c>
      <c r="L17" s="1" t="s">
        <v>78</v>
      </c>
    </row>
    <row r="18" spans="1:12" ht="25" customHeight="1">
      <c r="A18" s="1"/>
      <c r="B18" s="1" t="s">
        <v>50</v>
      </c>
      <c r="C18" s="1" t="s">
        <v>75</v>
      </c>
      <c r="D18" s="1" t="s">
        <v>76</v>
      </c>
      <c r="E18" s="1" t="s">
        <v>83</v>
      </c>
      <c r="F18" s="1">
        <f>COUNT('Matched quarters'!G203:G219)</f>
        <v>17</v>
      </c>
      <c r="G18" s="9">
        <f>(SUM('Matched quarters'!K203:K219)-SUM('Matched quarters'!G203:G219)*SUM('Matched quarters'!H203:H219)/F18)/(SUM('Matched quarters'!I203:I219)-SUM('Matched quarters'!G203:G219)^2/F18)</f>
        <v>1.3609605385300807</v>
      </c>
      <c r="H18" s="9">
        <f>SUM('Matched quarters'!H203:H219)/F18-G18*SUM('Matched quarters'!G203:G219)/F18</f>
        <v>-2.4473461770201261</v>
      </c>
      <c r="I18" s="10">
        <f>(SUM('Matched quarters'!K203:K219)-SUM('Matched quarters'!G203:G219)*SUM('Matched quarters'!H203:H219)/F18)^2/((SUM('Matched quarters'!I203:I219)-SUM('Matched quarters'!G203:G219)^2/F18)*(SUM('Matched quarters'!J203:J219)-SUM('Matched quarters'!H203:H219)^2/F18))</f>
        <v>0.59687267689593093</v>
      </c>
      <c r="J18" s="9">
        <f>SQRT(AVERAGE('Matched quarters'!P211:P219))</f>
        <v>2.5474427516130405</v>
      </c>
      <c r="K18" s="9">
        <f>SQRT(AVERAGE('Matched quarters'!Q211:Q219))</f>
        <v>1.9632031648982911</v>
      </c>
      <c r="L18" s="1" t="s">
        <v>78</v>
      </c>
    </row>
    <row r="19" spans="1:12" ht="25" customHeight="1">
      <c r="A19" s="1"/>
      <c r="B19" s="1" t="s">
        <v>55</v>
      </c>
      <c r="C19" s="1" t="s">
        <v>75</v>
      </c>
      <c r="D19" s="1" t="s">
        <v>76</v>
      </c>
      <c r="E19" s="1" t="s">
        <v>83</v>
      </c>
      <c r="F19" s="1">
        <f>COUNT('Matched quarters'!G220:G236)</f>
        <v>17</v>
      </c>
      <c r="G19" s="9">
        <f>(SUM('Matched quarters'!K220:K236)-SUM('Matched quarters'!G220:G236)*SUM('Matched quarters'!H220:H236)/F19)/(SUM('Matched quarters'!I220:I236)-SUM('Matched quarters'!G220:G236)^2/F19)</f>
        <v>0.77051919623125453</v>
      </c>
      <c r="H19" s="9">
        <f>SUM('Matched quarters'!H220:H236)/F19-G19*SUM('Matched quarters'!G220:G236)/F19</f>
        <v>-2.4210590328804784</v>
      </c>
      <c r="I19" s="10">
        <f>(SUM('Matched quarters'!K220:K236)-SUM('Matched quarters'!G220:G236)*SUM('Matched quarters'!H220:H236)/F19)^2/((SUM('Matched quarters'!I220:I236)-SUM('Matched quarters'!G220:G236)^2/F19)*(SUM('Matched quarters'!J220:J236)-SUM('Matched quarters'!H220:H236)^2/F19))</f>
        <v>0.23188987461828586</v>
      </c>
      <c r="J19" s="9">
        <f>SQRT(AVERAGE('Matched quarters'!P228:P236))</f>
        <v>2.8569393904972515</v>
      </c>
      <c r="K19" s="9">
        <f>SQRT(AVERAGE('Matched quarters'!Q228:Q236))</f>
        <v>3.1993923034087444</v>
      </c>
      <c r="L19" s="1" t="s">
        <v>78</v>
      </c>
    </row>
    <row r="20" spans="1:12" ht="25" customHeight="1">
      <c r="A20" s="1"/>
      <c r="B20" s="1" t="s">
        <v>34</v>
      </c>
      <c r="C20" s="1" t="s">
        <v>79</v>
      </c>
      <c r="D20" s="1" t="s">
        <v>80</v>
      </c>
      <c r="E20" s="1" t="s">
        <v>83</v>
      </c>
      <c r="F20" s="1">
        <f>COUNT('Matched quarters'!G237:G252)</f>
        <v>16</v>
      </c>
      <c r="G20" s="9">
        <f>(SUM('Matched quarters'!K237:K252)-SUM('Matched quarters'!G237:G252)*SUM('Matched quarters'!H237:H252)/F20)/(SUM('Matched quarters'!I237:I252)-SUM('Matched quarters'!G237:G252)^2/F20)</f>
        <v>0.96336108612599347</v>
      </c>
      <c r="H20" s="9">
        <f>SUM('Matched quarters'!H237:H252)/F20-G20*SUM('Matched quarters'!G237:G252)/F20</f>
        <v>1.3471539210634065</v>
      </c>
      <c r="I20" s="10">
        <f>(SUM('Matched quarters'!K237:K252)-SUM('Matched quarters'!G237:G252)*SUM('Matched quarters'!H237:H252)/F20)^2/((SUM('Matched quarters'!I237:I252)-SUM('Matched quarters'!G237:G252)^2/F20)*(SUM('Matched quarters'!J237:J252)-SUM('Matched quarters'!H237:H252)^2/F20))</f>
        <v>0.84290373153358678</v>
      </c>
      <c r="J20" s="9">
        <f>SQRT(AVERAGE('Matched quarters'!P245:P252))</f>
        <v>1.3463738945962922</v>
      </c>
      <c r="K20" s="9">
        <f>SQRT(AVERAGE('Matched quarters'!Q245:Q252))</f>
        <v>1.976423537605237</v>
      </c>
      <c r="L20" s="1" t="s">
        <v>78</v>
      </c>
    </row>
    <row r="21" spans="1:12" ht="25" customHeight="1">
      <c r="A21" s="1"/>
      <c r="B21" s="1" t="s">
        <v>43</v>
      </c>
      <c r="C21" s="1" t="s">
        <v>79</v>
      </c>
      <c r="D21" s="1" t="s">
        <v>80</v>
      </c>
      <c r="E21" s="1" t="s">
        <v>83</v>
      </c>
      <c r="F21" s="1">
        <f>COUNT('Matched quarters'!G253:G268)</f>
        <v>16</v>
      </c>
      <c r="G21" s="9">
        <f>(SUM('Matched quarters'!K253:K268)-SUM('Matched quarters'!G253:G268)*SUM('Matched quarters'!H253:H268)/F21)/(SUM('Matched quarters'!I253:I268)-SUM('Matched quarters'!G253:G268)^2/F21)</f>
        <v>1.1270646095203316</v>
      </c>
      <c r="H21" s="9">
        <f>SUM('Matched quarters'!H253:H268)/F21-G21*SUM('Matched quarters'!G253:G268)/F21</f>
        <v>2.4576333756976938</v>
      </c>
      <c r="I21" s="10">
        <f>(SUM('Matched quarters'!K253:K268)-SUM('Matched quarters'!G253:G268)*SUM('Matched quarters'!H253:H268)/F21)^2/((SUM('Matched quarters'!I253:I268)-SUM('Matched quarters'!G253:G268)^2/F21)*(SUM('Matched quarters'!J253:J268)-SUM('Matched quarters'!H253:H268)^2/F21))</f>
        <v>0.80021181713758693</v>
      </c>
      <c r="J21" s="9">
        <f>SQRT(AVERAGE('Matched quarters'!P261:P268))</f>
        <v>2.1749551168427379</v>
      </c>
      <c r="K21" s="9">
        <f>SQRT(AVERAGE('Matched quarters'!Q261:Q268))</f>
        <v>3.4629737942987671</v>
      </c>
      <c r="L21" s="1" t="s">
        <v>78</v>
      </c>
    </row>
    <row r="22" spans="1:12" ht="25" customHeight="1">
      <c r="A22" s="1"/>
      <c r="B22" s="1" t="s">
        <v>34</v>
      </c>
      <c r="C22" s="1" t="s">
        <v>81</v>
      </c>
      <c r="D22" s="1" t="s">
        <v>82</v>
      </c>
      <c r="E22" s="1" t="s">
        <v>83</v>
      </c>
      <c r="F22" s="1">
        <f>COUNT('Matched quarters'!G269:G285)</f>
        <v>17</v>
      </c>
      <c r="G22" s="9">
        <f>(SUM('Matched quarters'!K269:K285)-SUM('Matched quarters'!G269:G285)*SUM('Matched quarters'!H269:H285)/F22)/(SUM('Matched quarters'!I269:I285)-SUM('Matched quarters'!G269:G285)^2/F22)</f>
        <v>0.11163568225031754</v>
      </c>
      <c r="H22" s="9">
        <f>SUM('Matched quarters'!H269:H285)/F22-G22*SUM('Matched quarters'!G269:G285)/F22</f>
        <v>2.9115216027973991</v>
      </c>
      <c r="I22" s="10">
        <f>(SUM('Matched quarters'!K269:K285)-SUM('Matched quarters'!G269:G285)*SUM('Matched quarters'!H269:H285)/F22)^2/((SUM('Matched quarters'!I269:I285)-SUM('Matched quarters'!G269:G285)^2/F22)*(SUM('Matched quarters'!J269:J285)-SUM('Matched quarters'!H269:H285)^2/F22))</f>
        <v>9.7007108176085238E-3</v>
      </c>
      <c r="J22" s="9">
        <f>SQRT(AVERAGE('Matched quarters'!P277:P285))</f>
        <v>3.0876523497126152</v>
      </c>
      <c r="K22" s="9">
        <f>SQRT(AVERAGE('Matched quarters'!Q277:Q285))</f>
        <v>3.0196118219989065</v>
      </c>
      <c r="L22" s="1" t="s">
        <v>78</v>
      </c>
    </row>
    <row r="23" spans="1:12" ht="25" customHeight="1">
      <c r="A23" s="1"/>
      <c r="B23" s="1" t="s">
        <v>45</v>
      </c>
      <c r="C23" s="1" t="s">
        <v>81</v>
      </c>
      <c r="D23" s="1" t="s">
        <v>82</v>
      </c>
      <c r="E23" s="1" t="s">
        <v>83</v>
      </c>
      <c r="F23" s="1">
        <f>COUNT('Matched quarters'!G286:G302)</f>
        <v>17</v>
      </c>
      <c r="G23" s="9">
        <f>(SUM('Matched quarters'!K286:K302)-SUM('Matched quarters'!G286:G302)*SUM('Matched quarters'!H286:H302)/F23)/(SUM('Matched quarters'!I286:I302)-SUM('Matched quarters'!G286:G302)^2/F23)</f>
        <v>4.7002302945352903E-2</v>
      </c>
      <c r="H23" s="9">
        <f>SUM('Matched quarters'!H286:H302)/F23-G23*SUM('Matched quarters'!G286:G302)/F23</f>
        <v>5.1516125753847311</v>
      </c>
      <c r="I23" s="10">
        <f>(SUM('Matched quarters'!K286:K302)-SUM('Matched quarters'!G286:G302)*SUM('Matched quarters'!H286:H302)/F23)^2/((SUM('Matched quarters'!I286:I302)-SUM('Matched quarters'!G286:G302)^2/F23)*(SUM('Matched quarters'!J286:J302)-SUM('Matched quarters'!H286:H302)^2/F23))</f>
        <v>1.0087144435427674E-3</v>
      </c>
      <c r="J23" s="9">
        <f>SQRT(AVERAGE('Matched quarters'!P294:P302))</f>
        <v>4.7316834040602416</v>
      </c>
      <c r="K23" s="9">
        <f>SQRT(AVERAGE('Matched quarters'!Q294:Q302))</f>
        <v>1.8333333333333333</v>
      </c>
      <c r="L23" s="1" t="s">
        <v>78</v>
      </c>
    </row>
    <row r="24" spans="1:12" ht="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ht="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ht="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ht="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</sheetData>
  <phoneticPr fontId="8" type="noConversion"/>
  <conditionalFormatting sqref="J6:K23">
    <cfRule type="dataBar" priority="1">
      <dataBar>
        <cfvo type="min"/>
        <cfvo type="max"/>
        <color rgb="FF8FAED0"/>
      </dataBar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304"/>
  <sheetViews>
    <sheetView showGridLines="0" workbookViewId="0">
      <pane ySplit="5" topLeftCell="A6" activePane="bottomLeft" state="frozen"/>
      <selection pane="bottomLeft"/>
    </sheetView>
  </sheetViews>
  <sheetFormatPr baseColWidth="10" defaultColWidth="8.83203125" defaultRowHeight="14"/>
  <cols>
    <col min="1" max="1" width="3" customWidth="1"/>
    <col min="2" max="2" width="39" customWidth="1"/>
    <col min="3" max="3" width="24" customWidth="1"/>
    <col min="4" max="4" width="21" customWidth="1"/>
    <col min="5" max="6" width="19" customWidth="1"/>
    <col min="7" max="8" width="20" customWidth="1"/>
    <col min="9" max="17" width="18" customWidth="1"/>
  </cols>
  <sheetData>
    <row r="1" spans="1:17" ht="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5" customHeight="1">
      <c r="A2" s="1"/>
      <c r="B2" s="2" t="s">
        <v>84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2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ht="44" customHeight="1">
      <c r="A5" s="1"/>
      <c r="B5" s="3" t="s">
        <v>68</v>
      </c>
      <c r="C5" s="3" t="s">
        <v>85</v>
      </c>
      <c r="D5" s="3" t="s">
        <v>70</v>
      </c>
      <c r="E5" s="3" t="s">
        <v>71</v>
      </c>
      <c r="F5" s="3" t="s">
        <v>86</v>
      </c>
      <c r="G5" s="3" t="s">
        <v>87</v>
      </c>
      <c r="H5" s="3" t="s">
        <v>88</v>
      </c>
      <c r="I5" s="3" t="s">
        <v>89</v>
      </c>
      <c r="J5" s="3" t="s">
        <v>90</v>
      </c>
      <c r="K5" s="3" t="s">
        <v>91</v>
      </c>
      <c r="L5" s="3" t="s">
        <v>92</v>
      </c>
      <c r="M5" s="3" t="s">
        <v>93</v>
      </c>
      <c r="N5" s="3" t="s">
        <v>94</v>
      </c>
      <c r="O5" s="3" t="s">
        <v>95</v>
      </c>
      <c r="P5" s="3" t="s">
        <v>96</v>
      </c>
      <c r="Q5" s="3" t="s">
        <v>97</v>
      </c>
    </row>
    <row r="6" spans="1:17" ht="25" customHeight="1">
      <c r="A6" s="1"/>
      <c r="B6" s="1" t="s">
        <v>34</v>
      </c>
      <c r="C6" s="1" t="s">
        <v>75</v>
      </c>
      <c r="D6" s="1" t="s">
        <v>76</v>
      </c>
      <c r="E6" s="1" t="s">
        <v>77</v>
      </c>
      <c r="F6" s="1" t="s">
        <v>98</v>
      </c>
      <c r="G6" s="9">
        <f>'Quarterly market'!G40</f>
        <v>3.5989104881054557</v>
      </c>
      <c r="H6" s="9">
        <f>'PG history'!G6</f>
        <v>-1</v>
      </c>
      <c r="I6" s="9">
        <f t="shared" ref="I6:I69" si="0">G6*G6</f>
        <v>12.952156701395449</v>
      </c>
      <c r="J6" s="9">
        <f t="shared" ref="J6:J69" si="1">H6*H6</f>
        <v>1</v>
      </c>
      <c r="K6" s="9">
        <f t="shared" ref="K6:K69" si="2">G6*H6</f>
        <v>-3.5989104881054557</v>
      </c>
      <c r="L6" s="9">
        <f>'Model tests'!H6+'Model tests'!G6*G6</f>
        <v>1.4132303784805069</v>
      </c>
      <c r="M6" s="9">
        <f t="shared" ref="M6:M69" si="3">H6-L6</f>
        <v>-2.4132303784805069</v>
      </c>
      <c r="N6" s="9"/>
      <c r="O6" s="9"/>
      <c r="P6" s="9"/>
      <c r="Q6" s="9"/>
    </row>
    <row r="7" spans="1:17" ht="25" customHeight="1">
      <c r="A7" s="1"/>
      <c r="B7" s="1" t="s">
        <v>34</v>
      </c>
      <c r="C7" s="1" t="s">
        <v>75</v>
      </c>
      <c r="D7" s="1" t="s">
        <v>76</v>
      </c>
      <c r="E7" s="1" t="s">
        <v>77</v>
      </c>
      <c r="F7" s="1" t="s">
        <v>99</v>
      </c>
      <c r="G7" s="9">
        <f>'Quarterly market'!G41</f>
        <v>-3.7966210073037132E-2</v>
      </c>
      <c r="H7" s="9">
        <f>'PG history'!G13</f>
        <v>-2</v>
      </c>
      <c r="I7" s="9">
        <f t="shared" si="0"/>
        <v>1.4414331073099862E-3</v>
      </c>
      <c r="J7" s="9">
        <f t="shared" si="1"/>
        <v>4</v>
      </c>
      <c r="K7" s="9">
        <f t="shared" si="2"/>
        <v>7.5932420146074264E-2</v>
      </c>
      <c r="L7" s="9">
        <f>'Model tests'!H6+'Model tests'!G6*G7</f>
        <v>-0.97081636746582189</v>
      </c>
      <c r="M7" s="9">
        <f t="shared" si="3"/>
        <v>-1.0291836325341781</v>
      </c>
      <c r="N7" s="9"/>
      <c r="O7" s="9"/>
      <c r="P7" s="9"/>
      <c r="Q7" s="9"/>
    </row>
    <row r="8" spans="1:17" ht="25" customHeight="1">
      <c r="A8" s="1"/>
      <c r="B8" s="1" t="s">
        <v>34</v>
      </c>
      <c r="C8" s="1" t="s">
        <v>75</v>
      </c>
      <c r="D8" s="1" t="s">
        <v>76</v>
      </c>
      <c r="E8" s="1" t="s">
        <v>77</v>
      </c>
      <c r="F8" s="1" t="s">
        <v>100</v>
      </c>
      <c r="G8" s="9">
        <f>'Quarterly market'!G42</f>
        <v>-0.97428175390660288</v>
      </c>
      <c r="H8" s="9">
        <f>'PG history'!G20</f>
        <v>-1</v>
      </c>
      <c r="I8" s="9">
        <f t="shared" si="0"/>
        <v>0.94922493599532631</v>
      </c>
      <c r="J8" s="9">
        <f t="shared" si="1"/>
        <v>1</v>
      </c>
      <c r="K8" s="9">
        <f t="shared" si="2"/>
        <v>0.97428175390660288</v>
      </c>
      <c r="L8" s="9">
        <f>'Model tests'!H6+'Model tests'!G6*G8</f>
        <v>-1.5845902758783268</v>
      </c>
      <c r="M8" s="9">
        <f t="shared" si="3"/>
        <v>0.58459027587832679</v>
      </c>
      <c r="N8" s="9"/>
      <c r="O8" s="9"/>
      <c r="P8" s="9"/>
      <c r="Q8" s="9"/>
    </row>
    <row r="9" spans="1:17" ht="25" customHeight="1">
      <c r="A9" s="1"/>
      <c r="B9" s="1" t="s">
        <v>34</v>
      </c>
      <c r="C9" s="1" t="s">
        <v>75</v>
      </c>
      <c r="D9" s="1" t="s">
        <v>76</v>
      </c>
      <c r="E9" s="1" t="s">
        <v>77</v>
      </c>
      <c r="F9" s="1" t="s">
        <v>101</v>
      </c>
      <c r="G9" s="9">
        <f>'Quarterly market'!G43</f>
        <v>-1.7083333333333339</v>
      </c>
      <c r="H9" s="9">
        <f>'PG history'!G27</f>
        <v>-4</v>
      </c>
      <c r="I9" s="9">
        <f t="shared" si="0"/>
        <v>2.9184027777777799</v>
      </c>
      <c r="J9" s="9">
        <f t="shared" si="1"/>
        <v>16</v>
      </c>
      <c r="K9" s="9">
        <f t="shared" si="2"/>
        <v>6.8333333333333357</v>
      </c>
      <c r="L9" s="9">
        <f>'Model tests'!H6+'Model tests'!G6*G9</f>
        <v>-2.0657760362219602</v>
      </c>
      <c r="M9" s="9">
        <f t="shared" si="3"/>
        <v>-1.9342239637780398</v>
      </c>
      <c r="N9" s="9"/>
      <c r="O9" s="9"/>
      <c r="P9" s="9"/>
      <c r="Q9" s="9"/>
    </row>
    <row r="10" spans="1:17" ht="25" customHeight="1">
      <c r="A10" s="1"/>
      <c r="B10" s="1" t="s">
        <v>34</v>
      </c>
      <c r="C10" s="1" t="s">
        <v>75</v>
      </c>
      <c r="D10" s="1" t="s">
        <v>76</v>
      </c>
      <c r="E10" s="1" t="s">
        <v>77</v>
      </c>
      <c r="F10" s="1" t="s">
        <v>102</v>
      </c>
      <c r="G10" s="9">
        <f>'Quarterly market'!G44</f>
        <v>-0.51383557261676094</v>
      </c>
      <c r="H10" s="9">
        <f>'PG history'!G34</f>
        <v>0</v>
      </c>
      <c r="I10" s="9">
        <f t="shared" si="0"/>
        <v>0.26402699568639459</v>
      </c>
      <c r="J10" s="9">
        <f t="shared" si="1"/>
        <v>0</v>
      </c>
      <c r="K10" s="9">
        <f t="shared" si="2"/>
        <v>0</v>
      </c>
      <c r="L10" s="9">
        <f>'Model tests'!H6+'Model tests'!G6*G10</f>
        <v>-1.2827584263858076</v>
      </c>
      <c r="M10" s="9">
        <f t="shared" si="3"/>
        <v>1.2827584263858076</v>
      </c>
      <c r="N10" s="9"/>
      <c r="O10" s="9"/>
      <c r="P10" s="9"/>
      <c r="Q10" s="9"/>
    </row>
    <row r="11" spans="1:17" ht="25" customHeight="1">
      <c r="A11" s="1"/>
      <c r="B11" s="1" t="s">
        <v>34</v>
      </c>
      <c r="C11" s="1" t="s">
        <v>75</v>
      </c>
      <c r="D11" s="1" t="s">
        <v>76</v>
      </c>
      <c r="E11" s="1" t="s">
        <v>77</v>
      </c>
      <c r="F11" s="1" t="s">
        <v>103</v>
      </c>
      <c r="G11" s="9">
        <f>'Quarterly market'!G45</f>
        <v>-0.38380425982746935</v>
      </c>
      <c r="H11" s="9">
        <f>'PG history'!G41</f>
        <v>-1</v>
      </c>
      <c r="I11" s="9">
        <f t="shared" si="0"/>
        <v>0.1473057098617116</v>
      </c>
      <c r="J11" s="9">
        <f t="shared" si="1"/>
        <v>1</v>
      </c>
      <c r="K11" s="9">
        <f t="shared" si="2"/>
        <v>0.38380425982746935</v>
      </c>
      <c r="L11" s="9">
        <f>'Model tests'!H6+'Model tests'!G6*G11</f>
        <v>-1.1975202525753781</v>
      </c>
      <c r="M11" s="9">
        <f t="shared" si="3"/>
        <v>0.19752025257537809</v>
      </c>
      <c r="N11" s="9"/>
      <c r="O11" s="9"/>
      <c r="P11" s="9"/>
      <c r="Q11" s="9"/>
    </row>
    <row r="12" spans="1:17" ht="25" customHeight="1">
      <c r="A12" s="1"/>
      <c r="B12" s="1" t="s">
        <v>34</v>
      </c>
      <c r="C12" s="1" t="s">
        <v>75</v>
      </c>
      <c r="D12" s="1" t="s">
        <v>76</v>
      </c>
      <c r="E12" s="1" t="s">
        <v>77</v>
      </c>
      <c r="F12" s="1" t="s">
        <v>104</v>
      </c>
      <c r="G12" s="9">
        <f>'Quarterly market'!G46</f>
        <v>1.1893013232361582</v>
      </c>
      <c r="H12" s="9">
        <f>'PG history'!G48</f>
        <v>0</v>
      </c>
      <c r="I12" s="9">
        <f t="shared" si="0"/>
        <v>1.4144376374512768</v>
      </c>
      <c r="J12" s="9">
        <f t="shared" si="1"/>
        <v>0</v>
      </c>
      <c r="K12" s="9">
        <f t="shared" si="2"/>
        <v>0</v>
      </c>
      <c r="L12" s="9">
        <f>'Model tests'!H6+'Model tests'!G6*G12</f>
        <v>-0.16631750429106396</v>
      </c>
      <c r="M12" s="9">
        <f t="shared" si="3"/>
        <v>0.16631750429106396</v>
      </c>
      <c r="N12" s="9"/>
      <c r="O12" s="9"/>
      <c r="P12" s="9"/>
      <c r="Q12" s="9"/>
    </row>
    <row r="13" spans="1:17" ht="25" customHeight="1">
      <c r="A13" s="1"/>
      <c r="B13" s="1" t="s">
        <v>34</v>
      </c>
      <c r="C13" s="1" t="s">
        <v>75</v>
      </c>
      <c r="D13" s="1" t="s">
        <v>76</v>
      </c>
      <c r="E13" s="1" t="s">
        <v>77</v>
      </c>
      <c r="F13" s="1" t="s">
        <v>105</v>
      </c>
      <c r="G13" s="9">
        <f>'Quarterly market'!G47</f>
        <v>2.2255192878338326</v>
      </c>
      <c r="H13" s="9">
        <f>'PG history'!G55</f>
        <v>-1</v>
      </c>
      <c r="I13" s="9">
        <f t="shared" si="0"/>
        <v>4.9529361005204091</v>
      </c>
      <c r="J13" s="9">
        <f t="shared" si="1"/>
        <v>1</v>
      </c>
      <c r="K13" s="9">
        <f t="shared" si="2"/>
        <v>-2.2255192878338326</v>
      </c>
      <c r="L13" s="9">
        <f>'Model tests'!H6+'Model tests'!G6*G13</f>
        <v>0.51294447559060052</v>
      </c>
      <c r="M13" s="9">
        <f t="shared" si="3"/>
        <v>-1.5129444755906005</v>
      </c>
      <c r="N13" s="9"/>
      <c r="O13" s="9"/>
      <c r="P13" s="9"/>
      <c r="Q13" s="9"/>
    </row>
    <row r="14" spans="1:17" ht="25" customHeight="1">
      <c r="A14" s="1"/>
      <c r="B14" s="1" t="s">
        <v>34</v>
      </c>
      <c r="C14" s="1" t="s">
        <v>75</v>
      </c>
      <c r="D14" s="1" t="s">
        <v>76</v>
      </c>
      <c r="E14" s="1" t="s">
        <v>77</v>
      </c>
      <c r="F14" s="1" t="s">
        <v>106</v>
      </c>
      <c r="G14" s="9">
        <f>'Quarterly market'!G48</f>
        <v>1.3726160091641626</v>
      </c>
      <c r="H14" s="9">
        <f>'PG history'!G62</f>
        <v>1</v>
      </c>
      <c r="I14" s="9">
        <f t="shared" si="0"/>
        <v>1.8840747086137526</v>
      </c>
      <c r="J14" s="9">
        <f t="shared" si="1"/>
        <v>1</v>
      </c>
      <c r="K14" s="9">
        <f t="shared" si="2"/>
        <v>1.3726160091641626</v>
      </c>
      <c r="L14" s="9">
        <f>'Model tests'!H6+'Model tests'!G6*G14</f>
        <v>-4.6150994194717687E-2</v>
      </c>
      <c r="M14" s="9">
        <f t="shared" si="3"/>
        <v>1.0461509941947176</v>
      </c>
      <c r="N14" s="9">
        <f>AVERAGE(H6:H13)+((SUM(K6:K13)-SUM(G6:G13)*SUM(H6:H13)/COUNT(G6:G13))/(SUM(I6:I13)-SUM(G6:G13)^2/COUNT(G6:G13)))*(G14-AVERAGE(G6:G13))</f>
        <v>-0.96384866775688671</v>
      </c>
      <c r="O14" s="9">
        <f t="shared" ref="O14:O21" si="4">AVERAGE(H10:H13)</f>
        <v>-0.5</v>
      </c>
      <c r="P14" s="9">
        <f t="shared" ref="P14:P21" si="5">(H14-N14)^2</f>
        <v>3.8567015898504988</v>
      </c>
      <c r="Q14" s="9">
        <f t="shared" ref="Q14:Q21" si="6">(H14-O14)^2</f>
        <v>2.25</v>
      </c>
    </row>
    <row r="15" spans="1:17" ht="25" customHeight="1">
      <c r="A15" s="1"/>
      <c r="B15" s="1" t="s">
        <v>34</v>
      </c>
      <c r="C15" s="1" t="s">
        <v>75</v>
      </c>
      <c r="D15" s="1" t="s">
        <v>76</v>
      </c>
      <c r="E15" s="1" t="s">
        <v>77</v>
      </c>
      <c r="F15" s="1" t="s">
        <v>107</v>
      </c>
      <c r="G15" s="9">
        <f>'Quarterly market'!G49</f>
        <v>2.2805943792830075</v>
      </c>
      <c r="H15" s="9">
        <f>'PG history'!G69</f>
        <v>1</v>
      </c>
      <c r="I15" s="9">
        <f t="shared" si="0"/>
        <v>5.201110722817246</v>
      </c>
      <c r="J15" s="9">
        <f t="shared" si="1"/>
        <v>1</v>
      </c>
      <c r="K15" s="9">
        <f t="shared" si="2"/>
        <v>2.2805943792830075</v>
      </c>
      <c r="L15" s="9">
        <f>'Model tests'!H6+'Model tests'!G6*G15</f>
        <v>0.54904731971997767</v>
      </c>
      <c r="M15" s="9">
        <f t="shared" si="3"/>
        <v>0.45095268028002233</v>
      </c>
      <c r="N15" s="9">
        <f>AVERAGE(H6:H14)+((SUM(K6:K14)-SUM(G6:G14)*SUM(H6:H14)/COUNT(G6:G14))/(SUM(I6:I14)-SUM(G6:G14)^2/COUNT(G6:G14)))*(G15-AVERAGE(G6:G14))</f>
        <v>-0.34539719312978601</v>
      </c>
      <c r="O15" s="9">
        <f t="shared" si="4"/>
        <v>-0.25</v>
      </c>
      <c r="P15" s="9">
        <f t="shared" si="5"/>
        <v>1.810093607281507</v>
      </c>
      <c r="Q15" s="9">
        <f t="shared" si="6"/>
        <v>1.5625</v>
      </c>
    </row>
    <row r="16" spans="1:17" ht="25" customHeight="1">
      <c r="A16" s="1"/>
      <c r="B16" s="1" t="s">
        <v>34</v>
      </c>
      <c r="C16" s="1" t="s">
        <v>75</v>
      </c>
      <c r="D16" s="1" t="s">
        <v>76</v>
      </c>
      <c r="E16" s="1" t="s">
        <v>77</v>
      </c>
      <c r="F16" s="1" t="s">
        <v>108</v>
      </c>
      <c r="G16" s="9">
        <f>'Quarterly market'!G50</f>
        <v>2.6501995362399722</v>
      </c>
      <c r="H16" s="9">
        <f>'PG history'!G76</f>
        <v>0</v>
      </c>
      <c r="I16" s="9">
        <f t="shared" si="0"/>
        <v>7.0235575818865632</v>
      </c>
      <c r="J16" s="9">
        <f t="shared" si="1"/>
        <v>0</v>
      </c>
      <c r="K16" s="9">
        <f t="shared" si="2"/>
        <v>0</v>
      </c>
      <c r="L16" s="9">
        <f>'Model tests'!H6+'Model tests'!G6*G16</f>
        <v>0.79133102765254404</v>
      </c>
      <c r="M16" s="9">
        <f t="shared" si="3"/>
        <v>-0.79133102765254404</v>
      </c>
      <c r="N16" s="9">
        <f>AVERAGE(H6:H15)+((SUM(K6:K15)-SUM(G6:G15)*SUM(H6:H15)/COUNT(G6:G15))/(SUM(I6:I15)-SUM(G6:G15)^2/COUNT(G6:G15)))*(G16-AVERAGE(G6:G15))</f>
        <v>8.7697667008444058E-2</v>
      </c>
      <c r="O16" s="9">
        <f t="shared" si="4"/>
        <v>0.25</v>
      </c>
      <c r="P16" s="9">
        <f t="shared" si="5"/>
        <v>7.6908807987239374E-3</v>
      </c>
      <c r="Q16" s="9">
        <f t="shared" si="6"/>
        <v>6.25E-2</v>
      </c>
    </row>
    <row r="17" spans="1:17" ht="25" customHeight="1">
      <c r="A17" s="1"/>
      <c r="B17" s="1" t="s">
        <v>34</v>
      </c>
      <c r="C17" s="1" t="s">
        <v>75</v>
      </c>
      <c r="D17" s="1" t="s">
        <v>76</v>
      </c>
      <c r="E17" s="1" t="s">
        <v>77</v>
      </c>
      <c r="F17" s="1" t="s">
        <v>109</v>
      </c>
      <c r="G17" s="9">
        <f>'Quarterly market'!G51</f>
        <v>2.7872397144634187</v>
      </c>
      <c r="H17" s="9">
        <f>'PG history'!G83</f>
        <v>0</v>
      </c>
      <c r="I17" s="9">
        <f t="shared" si="0"/>
        <v>7.7687052258821199</v>
      </c>
      <c r="J17" s="9">
        <f t="shared" si="1"/>
        <v>0</v>
      </c>
      <c r="K17" s="9">
        <f t="shared" si="2"/>
        <v>0</v>
      </c>
      <c r="L17" s="9">
        <f>'Model tests'!H6+'Model tests'!G6*G17</f>
        <v>0.88116365550081377</v>
      </c>
      <c r="M17" s="9">
        <f t="shared" si="3"/>
        <v>-0.88116365550081377</v>
      </c>
      <c r="N17" s="9">
        <f>AVERAGE(H6:H16)+((SUM(K6:K16)-SUM(G6:G16)*SUM(H6:H16)/COUNT(G6:G16))/(SUM(I6:I16)-SUM(G6:G16)^2/COUNT(G6:G16)))*(G17-AVERAGE(G6:G16))</f>
        <v>0.13212390111845085</v>
      </c>
      <c r="O17" s="9">
        <f t="shared" si="4"/>
        <v>0.25</v>
      </c>
      <c r="P17" s="9">
        <f t="shared" si="5"/>
        <v>1.7456725246758176E-2</v>
      </c>
      <c r="Q17" s="9">
        <f t="shared" si="6"/>
        <v>6.25E-2</v>
      </c>
    </row>
    <row r="18" spans="1:17" ht="25" customHeight="1">
      <c r="A18" s="1"/>
      <c r="B18" s="1" t="s">
        <v>34</v>
      </c>
      <c r="C18" s="1" t="s">
        <v>75</v>
      </c>
      <c r="D18" s="1" t="s">
        <v>76</v>
      </c>
      <c r="E18" s="1" t="s">
        <v>77</v>
      </c>
      <c r="F18" s="1" t="s">
        <v>110</v>
      </c>
      <c r="G18" s="9">
        <f>'Quarterly market'!G52</f>
        <v>3.7498513143808809</v>
      </c>
      <c r="H18" s="9">
        <f>'PG history'!G90</f>
        <v>1</v>
      </c>
      <c r="I18" s="9">
        <f t="shared" si="0"/>
        <v>14.06138487996402</v>
      </c>
      <c r="J18" s="9">
        <f t="shared" si="1"/>
        <v>1</v>
      </c>
      <c r="K18" s="9">
        <f t="shared" si="2"/>
        <v>3.7498513143808809</v>
      </c>
      <c r="L18" s="9">
        <f>'Model tests'!H6+'Model tests'!G6*G18</f>
        <v>1.5121751642337897</v>
      </c>
      <c r="M18" s="9">
        <f t="shared" si="3"/>
        <v>-0.51217516423378973</v>
      </c>
      <c r="N18" s="9">
        <f>AVERAGE(H6:H17)+((SUM(K6:K17)-SUM(G6:G17)*SUM(H6:H17)/COUNT(G6:G17))/(SUM(I6:I17)-SUM(G6:G17)^2/COUNT(G6:G17)))*(G18-AVERAGE(G6:G17))</f>
        <v>0.53600723422299368</v>
      </c>
      <c r="O18" s="9">
        <f t="shared" si="4"/>
        <v>0.5</v>
      </c>
      <c r="P18" s="9">
        <f t="shared" si="5"/>
        <v>0.21528928669339584</v>
      </c>
      <c r="Q18" s="9">
        <f t="shared" si="6"/>
        <v>0.25</v>
      </c>
    </row>
    <row r="19" spans="1:17" ht="25" customHeight="1">
      <c r="A19" s="1"/>
      <c r="B19" s="1" t="s">
        <v>34</v>
      </c>
      <c r="C19" s="1" t="s">
        <v>75</v>
      </c>
      <c r="D19" s="1" t="s">
        <v>76</v>
      </c>
      <c r="E19" s="1" t="s">
        <v>77</v>
      </c>
      <c r="F19" s="1" t="s">
        <v>111</v>
      </c>
      <c r="G19" s="9">
        <f>'Quarterly market'!G53</f>
        <v>3.2332744751814912</v>
      </c>
      <c r="H19" s="9">
        <f>'PG history'!G97</f>
        <v>1</v>
      </c>
      <c r="I19" s="9">
        <f t="shared" si="0"/>
        <v>10.454063831860148</v>
      </c>
      <c r="J19" s="9">
        <f t="shared" si="1"/>
        <v>1</v>
      </c>
      <c r="K19" s="9">
        <f t="shared" si="2"/>
        <v>3.2332744751814912</v>
      </c>
      <c r="L19" s="9">
        <f>'Model tests'!H6+'Model tests'!G6*G19</f>
        <v>1.1735485252989708</v>
      </c>
      <c r="M19" s="9">
        <f t="shared" si="3"/>
        <v>-0.1735485252989708</v>
      </c>
      <c r="N19" s="9">
        <f>AVERAGE(H6:H18)+((SUM(K6:K18)-SUM(G6:G18)*SUM(H6:H18)/COUNT(G6:G18))/(SUM(I6:I18)-SUM(G6:G18)^2/COUNT(G6:G18)))*(G19-AVERAGE(G6:G18))</f>
        <v>0.40104060833011135</v>
      </c>
      <c r="O19" s="9">
        <f t="shared" si="4"/>
        <v>0.5</v>
      </c>
      <c r="P19" s="9">
        <f t="shared" si="5"/>
        <v>0.35875235286956308</v>
      </c>
      <c r="Q19" s="9">
        <f t="shared" si="6"/>
        <v>0.25</v>
      </c>
    </row>
    <row r="20" spans="1:17" ht="25" customHeight="1">
      <c r="A20" s="1"/>
      <c r="B20" s="1" t="s">
        <v>34</v>
      </c>
      <c r="C20" s="1" t="s">
        <v>75</v>
      </c>
      <c r="D20" s="1" t="s">
        <v>76</v>
      </c>
      <c r="E20" s="1" t="s">
        <v>77</v>
      </c>
      <c r="F20" s="1" t="s">
        <v>112</v>
      </c>
      <c r="G20" s="9">
        <f>'Quarterly market'!G54</f>
        <v>2.9967230915401322</v>
      </c>
      <c r="H20" s="9">
        <f>'PG history'!G104</f>
        <v>4</v>
      </c>
      <c r="I20" s="9">
        <f t="shared" si="0"/>
        <v>8.9803492873698474</v>
      </c>
      <c r="J20" s="9">
        <f t="shared" si="1"/>
        <v>16</v>
      </c>
      <c r="K20" s="9">
        <f t="shared" si="2"/>
        <v>11.986892366160529</v>
      </c>
      <c r="L20" s="9">
        <f>'Model tests'!H6+'Model tests'!G6*G20</f>
        <v>1.0184842756086434</v>
      </c>
      <c r="M20" s="9">
        <f t="shared" si="3"/>
        <v>2.9815157243913566</v>
      </c>
      <c r="N20" s="9">
        <f>AVERAGE(H6:H19)+((SUM(K6:K19)-SUM(G6:G19)*SUM(H6:H19)/COUNT(G6:G19))/(SUM(I6:I19)-SUM(G6:G19)^2/COUNT(G6:G19)))*(G20-AVERAGE(G6:G19))</f>
        <v>0.37312750202340123</v>
      </c>
      <c r="O20" s="9">
        <f t="shared" si="4"/>
        <v>0.5</v>
      </c>
      <c r="P20" s="9">
        <f t="shared" si="5"/>
        <v>13.154204116579013</v>
      </c>
      <c r="Q20" s="9">
        <f t="shared" si="6"/>
        <v>12.25</v>
      </c>
    </row>
    <row r="21" spans="1:17" ht="25" customHeight="1">
      <c r="A21" s="1"/>
      <c r="B21" s="1" t="s">
        <v>34</v>
      </c>
      <c r="C21" s="1" t="s">
        <v>75</v>
      </c>
      <c r="D21" s="1" t="s">
        <v>76</v>
      </c>
      <c r="E21" s="1" t="s">
        <v>77</v>
      </c>
      <c r="F21" s="1" t="s">
        <v>113</v>
      </c>
      <c r="G21" s="9">
        <f>'Quarterly market'!G55</f>
        <v>2.1478108850594868</v>
      </c>
      <c r="H21" s="9">
        <f>'PG history'!G111</f>
        <v>3</v>
      </c>
      <c r="I21" s="9">
        <f t="shared" si="0"/>
        <v>4.6130915979800164</v>
      </c>
      <c r="J21" s="9">
        <f t="shared" si="1"/>
        <v>9</v>
      </c>
      <c r="K21" s="9">
        <f t="shared" si="2"/>
        <v>6.4434326551784604</v>
      </c>
      <c r="L21" s="9">
        <f>'Model tests'!H6+'Model tests'!G6*G21</f>
        <v>0.462005034927228</v>
      </c>
      <c r="M21" s="9">
        <f t="shared" si="3"/>
        <v>2.5379949650727722</v>
      </c>
      <c r="N21" s="9">
        <f>AVERAGE(H6:H20)+((SUM(K6:K20)-SUM(G6:G20)*SUM(H6:H20)/COUNT(G6:G20))/(SUM(I6:I20)-SUM(G6:G20)^2/COUNT(G6:G20)))*(G21-AVERAGE(G6:G20))</f>
        <v>0.26914171709008294</v>
      </c>
      <c r="O21" s="9">
        <f t="shared" si="4"/>
        <v>1.5</v>
      </c>
      <c r="P21" s="9">
        <f t="shared" si="5"/>
        <v>7.4575869613377019</v>
      </c>
      <c r="Q21" s="9">
        <f t="shared" si="6"/>
        <v>2.25</v>
      </c>
    </row>
    <row r="22" spans="1:17" ht="25" customHeight="1">
      <c r="A22" s="1"/>
      <c r="B22" s="1" t="s">
        <v>43</v>
      </c>
      <c r="C22" s="1" t="s">
        <v>75</v>
      </c>
      <c r="D22" s="1" t="s">
        <v>76</v>
      </c>
      <c r="E22" s="1" t="s">
        <v>77</v>
      </c>
      <c r="F22" s="1" t="s">
        <v>98</v>
      </c>
      <c r="G22" s="9">
        <f>'Quarterly market'!G40</f>
        <v>3.5989104881054557</v>
      </c>
      <c r="H22" s="9">
        <f>'PG history'!G7</f>
        <v>1</v>
      </c>
      <c r="I22" s="9">
        <f t="shared" si="0"/>
        <v>12.952156701395449</v>
      </c>
      <c r="J22" s="9">
        <f t="shared" si="1"/>
        <v>1</v>
      </c>
      <c r="K22" s="9">
        <f t="shared" si="2"/>
        <v>3.5989104881054557</v>
      </c>
      <c r="L22" s="9">
        <f>'Model tests'!H7+'Model tests'!G7*G22</f>
        <v>1.9204611525787045</v>
      </c>
      <c r="M22" s="9">
        <f t="shared" si="3"/>
        <v>-0.92046115257870453</v>
      </c>
      <c r="N22" s="9"/>
      <c r="O22" s="9"/>
      <c r="P22" s="9"/>
      <c r="Q22" s="9"/>
    </row>
    <row r="23" spans="1:17" ht="25" customHeight="1">
      <c r="A23" s="1"/>
      <c r="B23" s="1" t="s">
        <v>43</v>
      </c>
      <c r="C23" s="1" t="s">
        <v>75</v>
      </c>
      <c r="D23" s="1" t="s">
        <v>76</v>
      </c>
      <c r="E23" s="1" t="s">
        <v>77</v>
      </c>
      <c r="F23" s="1" t="s">
        <v>99</v>
      </c>
      <c r="G23" s="9">
        <f>'Quarterly market'!G41</f>
        <v>-3.7966210073037132E-2</v>
      </c>
      <c r="H23" s="9">
        <f>'PG history'!G14</f>
        <v>-2</v>
      </c>
      <c r="I23" s="9">
        <f t="shared" si="0"/>
        <v>1.4414331073099862E-3</v>
      </c>
      <c r="J23" s="9">
        <f t="shared" si="1"/>
        <v>4</v>
      </c>
      <c r="K23" s="9">
        <f t="shared" si="2"/>
        <v>7.5932420146074264E-2</v>
      </c>
      <c r="L23" s="9">
        <f>'Model tests'!H7+'Model tests'!G7*G23</f>
        <v>-1.5794764800237198</v>
      </c>
      <c r="M23" s="9">
        <f t="shared" si="3"/>
        <v>-0.42052351997628024</v>
      </c>
      <c r="N23" s="9"/>
      <c r="O23" s="9"/>
      <c r="P23" s="9"/>
      <c r="Q23" s="9"/>
    </row>
    <row r="24" spans="1:17" ht="25" customHeight="1">
      <c r="A24" s="1"/>
      <c r="B24" s="1" t="s">
        <v>43</v>
      </c>
      <c r="C24" s="1" t="s">
        <v>75</v>
      </c>
      <c r="D24" s="1" t="s">
        <v>76</v>
      </c>
      <c r="E24" s="1" t="s">
        <v>77</v>
      </c>
      <c r="F24" s="1" t="s">
        <v>100</v>
      </c>
      <c r="G24" s="9">
        <f>'Quarterly market'!G42</f>
        <v>-0.97428175390660288</v>
      </c>
      <c r="H24" s="9">
        <f>'PG history'!G21</f>
        <v>1</v>
      </c>
      <c r="I24" s="9">
        <f t="shared" si="0"/>
        <v>0.94922493599532631</v>
      </c>
      <c r="J24" s="9">
        <f t="shared" si="1"/>
        <v>1</v>
      </c>
      <c r="K24" s="9">
        <f t="shared" si="2"/>
        <v>-0.97428175390660288</v>
      </c>
      <c r="L24" s="9">
        <f>'Model tests'!H7+'Model tests'!G7*G24</f>
        <v>-2.4805369997534621</v>
      </c>
      <c r="M24" s="9">
        <f t="shared" si="3"/>
        <v>3.4805369997534621</v>
      </c>
      <c r="N24" s="9"/>
      <c r="O24" s="9"/>
      <c r="P24" s="9"/>
      <c r="Q24" s="9"/>
    </row>
    <row r="25" spans="1:17" ht="25" customHeight="1">
      <c r="A25" s="1"/>
      <c r="B25" s="1" t="s">
        <v>43</v>
      </c>
      <c r="C25" s="1" t="s">
        <v>75</v>
      </c>
      <c r="D25" s="1" t="s">
        <v>76</v>
      </c>
      <c r="E25" s="1" t="s">
        <v>77</v>
      </c>
      <c r="F25" s="1" t="s">
        <v>101</v>
      </c>
      <c r="G25" s="9">
        <f>'Quarterly market'!G43</f>
        <v>-1.7083333333333339</v>
      </c>
      <c r="H25" s="9">
        <f>'PG history'!G28</f>
        <v>-8</v>
      </c>
      <c r="I25" s="9">
        <f t="shared" si="0"/>
        <v>2.9184027777777799</v>
      </c>
      <c r="J25" s="9">
        <f t="shared" si="1"/>
        <v>64</v>
      </c>
      <c r="K25" s="9">
        <f t="shared" si="2"/>
        <v>13.666666666666671</v>
      </c>
      <c r="L25" s="9">
        <f>'Model tests'!H7+'Model tests'!G7*G25</f>
        <v>-3.1869493860720848</v>
      </c>
      <c r="M25" s="9">
        <f t="shared" si="3"/>
        <v>-4.8130506139279152</v>
      </c>
      <c r="N25" s="9"/>
      <c r="O25" s="9"/>
      <c r="P25" s="9"/>
      <c r="Q25" s="9"/>
    </row>
    <row r="26" spans="1:17" ht="25" customHeight="1">
      <c r="A26" s="1"/>
      <c r="B26" s="1" t="s">
        <v>43</v>
      </c>
      <c r="C26" s="1" t="s">
        <v>75</v>
      </c>
      <c r="D26" s="1" t="s">
        <v>76</v>
      </c>
      <c r="E26" s="1" t="s">
        <v>77</v>
      </c>
      <c r="F26" s="1" t="s">
        <v>102</v>
      </c>
      <c r="G26" s="9">
        <f>'Quarterly market'!G44</f>
        <v>-0.51383557261676094</v>
      </c>
      <c r="H26" s="9">
        <f>'PG history'!G35</f>
        <v>-1</v>
      </c>
      <c r="I26" s="9">
        <f t="shared" si="0"/>
        <v>0.26402699568639459</v>
      </c>
      <c r="J26" s="9">
        <f t="shared" si="1"/>
        <v>1</v>
      </c>
      <c r="K26" s="9">
        <f t="shared" si="2"/>
        <v>0.51383557261676094</v>
      </c>
      <c r="L26" s="9">
        <f>'Model tests'!H7+'Model tests'!G7*G26</f>
        <v>-2.0374279665295636</v>
      </c>
      <c r="M26" s="9">
        <f t="shared" si="3"/>
        <v>1.0374279665295636</v>
      </c>
      <c r="N26" s="9"/>
      <c r="O26" s="9"/>
      <c r="P26" s="9"/>
      <c r="Q26" s="9"/>
    </row>
    <row r="27" spans="1:17" ht="25" customHeight="1">
      <c r="A27" s="1"/>
      <c r="B27" s="1" t="s">
        <v>43</v>
      </c>
      <c r="C27" s="1" t="s">
        <v>75</v>
      </c>
      <c r="D27" s="1" t="s">
        <v>76</v>
      </c>
      <c r="E27" s="1" t="s">
        <v>77</v>
      </c>
      <c r="F27" s="1" t="s">
        <v>103</v>
      </c>
      <c r="G27" s="9">
        <f>'Quarterly market'!G45</f>
        <v>-0.38380425982746935</v>
      </c>
      <c r="H27" s="9">
        <f>'PG history'!G42</f>
        <v>-1</v>
      </c>
      <c r="I27" s="9">
        <f t="shared" si="0"/>
        <v>0.1473057098617116</v>
      </c>
      <c r="J27" s="9">
        <f t="shared" si="1"/>
        <v>1</v>
      </c>
      <c r="K27" s="9">
        <f t="shared" si="2"/>
        <v>0.38380425982746935</v>
      </c>
      <c r="L27" s="9">
        <f>'Model tests'!H7+'Model tests'!G7*G27</f>
        <v>-1.9122927137243546</v>
      </c>
      <c r="M27" s="9">
        <f t="shared" si="3"/>
        <v>0.91229271372435461</v>
      </c>
      <c r="N27" s="9"/>
      <c r="O27" s="9"/>
      <c r="P27" s="9"/>
      <c r="Q27" s="9"/>
    </row>
    <row r="28" spans="1:17" ht="25" customHeight="1">
      <c r="A28" s="1"/>
      <c r="B28" s="1" t="s">
        <v>43</v>
      </c>
      <c r="C28" s="1" t="s">
        <v>75</v>
      </c>
      <c r="D28" s="1" t="s">
        <v>76</v>
      </c>
      <c r="E28" s="1" t="s">
        <v>77</v>
      </c>
      <c r="F28" s="1" t="s">
        <v>104</v>
      </c>
      <c r="G28" s="9">
        <f>'Quarterly market'!G46</f>
        <v>1.1893013232361582</v>
      </c>
      <c r="H28" s="9">
        <f>'PG history'!G49</f>
        <v>-2</v>
      </c>
      <c r="I28" s="9">
        <f t="shared" si="0"/>
        <v>1.4144376374512768</v>
      </c>
      <c r="J28" s="9">
        <f t="shared" si="1"/>
        <v>4</v>
      </c>
      <c r="K28" s="9">
        <f t="shared" si="2"/>
        <v>-2.3786026464723165</v>
      </c>
      <c r="L28" s="9">
        <f>'Model tests'!H7+'Model tests'!G7*G28</f>
        <v>-0.39841916585870929</v>
      </c>
      <c r="M28" s="9">
        <f t="shared" si="3"/>
        <v>-1.6015808341412907</v>
      </c>
      <c r="N28" s="9"/>
      <c r="O28" s="9"/>
      <c r="P28" s="9"/>
      <c r="Q28" s="9"/>
    </row>
    <row r="29" spans="1:17" ht="25" customHeight="1">
      <c r="A29" s="1"/>
      <c r="B29" s="1" t="s">
        <v>43</v>
      </c>
      <c r="C29" s="1" t="s">
        <v>75</v>
      </c>
      <c r="D29" s="1" t="s">
        <v>76</v>
      </c>
      <c r="E29" s="1" t="s">
        <v>77</v>
      </c>
      <c r="F29" s="1" t="s">
        <v>105</v>
      </c>
      <c r="G29" s="9">
        <f>'Quarterly market'!G47</f>
        <v>2.2255192878338326</v>
      </c>
      <c r="H29" s="9">
        <f>'PG history'!G56</f>
        <v>1</v>
      </c>
      <c r="I29" s="9">
        <f t="shared" si="0"/>
        <v>4.9529361005204091</v>
      </c>
      <c r="J29" s="9">
        <f t="shared" si="1"/>
        <v>1</v>
      </c>
      <c r="K29" s="9">
        <f t="shared" si="2"/>
        <v>2.2255192878338326</v>
      </c>
      <c r="L29" s="9">
        <f>'Model tests'!H7+'Model tests'!G7*G29</f>
        <v>0.59878215572871096</v>
      </c>
      <c r="M29" s="9">
        <f t="shared" si="3"/>
        <v>0.40121784427128904</v>
      </c>
      <c r="N29" s="9"/>
      <c r="O29" s="9"/>
      <c r="P29" s="9"/>
      <c r="Q29" s="9"/>
    </row>
    <row r="30" spans="1:17" ht="25" customHeight="1">
      <c r="A30" s="1"/>
      <c r="B30" s="1" t="s">
        <v>43</v>
      </c>
      <c r="C30" s="1" t="s">
        <v>75</v>
      </c>
      <c r="D30" s="1" t="s">
        <v>76</v>
      </c>
      <c r="E30" s="1" t="s">
        <v>77</v>
      </c>
      <c r="F30" s="1" t="s">
        <v>106</v>
      </c>
      <c r="G30" s="9">
        <f>'Quarterly market'!G48</f>
        <v>1.3726160091641626</v>
      </c>
      <c r="H30" s="9">
        <f>'PG history'!G63</f>
        <v>2</v>
      </c>
      <c r="I30" s="9">
        <f t="shared" si="0"/>
        <v>1.8840747086137526</v>
      </c>
      <c r="J30" s="9">
        <f t="shared" si="1"/>
        <v>4</v>
      </c>
      <c r="K30" s="9">
        <f t="shared" si="2"/>
        <v>2.7452320183283252</v>
      </c>
      <c r="L30" s="9">
        <f>'Model tests'!H7+'Model tests'!G7*G30</f>
        <v>-0.22200681506071485</v>
      </c>
      <c r="M30" s="9">
        <f t="shared" si="3"/>
        <v>2.2220068150607148</v>
      </c>
      <c r="N30" s="9">
        <f>AVERAGE(H22:H29)+((SUM(K22:K29)-SUM(G22:G29)*SUM(H22:H29)/COUNT(G22:G29))/(SUM(I22:I29)-SUM(G22:G29)^2/COUNT(G22:G29)))*(G30-AVERAGE(G22:G29))</f>
        <v>-0.44300324462397112</v>
      </c>
      <c r="O30" s="9">
        <f t="shared" ref="O30:O37" si="7">AVERAGE(H26:H29)</f>
        <v>-0.75</v>
      </c>
      <c r="P30" s="9">
        <f t="shared" ref="P30:P37" si="8">(H30-N30)^2</f>
        <v>5.968264853243249</v>
      </c>
      <c r="Q30" s="9">
        <f t="shared" ref="Q30:Q37" si="9">(H30-O30)^2</f>
        <v>7.5625</v>
      </c>
    </row>
    <row r="31" spans="1:17" ht="25" customHeight="1">
      <c r="A31" s="1"/>
      <c r="B31" s="1" t="s">
        <v>43</v>
      </c>
      <c r="C31" s="1" t="s">
        <v>75</v>
      </c>
      <c r="D31" s="1" t="s">
        <v>76</v>
      </c>
      <c r="E31" s="1" t="s">
        <v>77</v>
      </c>
      <c r="F31" s="1" t="s">
        <v>107</v>
      </c>
      <c r="G31" s="9">
        <f>'Quarterly market'!G49</f>
        <v>2.2805943792830075</v>
      </c>
      <c r="H31" s="9">
        <f>'PG history'!G70</f>
        <v>2</v>
      </c>
      <c r="I31" s="9">
        <f t="shared" si="0"/>
        <v>5.201110722817246</v>
      </c>
      <c r="J31" s="9">
        <f t="shared" si="1"/>
        <v>4</v>
      </c>
      <c r="K31" s="9">
        <f t="shared" si="2"/>
        <v>4.5611887585660149</v>
      </c>
      <c r="L31" s="9">
        <f>'Model tests'!H7+'Model tests'!G7*G31</f>
        <v>0.65178350858692835</v>
      </c>
      <c r="M31" s="9">
        <f t="shared" si="3"/>
        <v>1.3482164914130716</v>
      </c>
      <c r="N31" s="9">
        <f>AVERAGE(H22:H30)+((SUM(K22:K30)-SUM(G22:G30)*SUM(H22:H30)/COUNT(G22:G30))/(SUM(I22:I30)-SUM(G22:G30)^2/COUNT(G22:G30)))*(G31-AVERAGE(G22:G30))</f>
        <v>0.87794947508914167</v>
      </c>
      <c r="O31" s="9">
        <f t="shared" si="7"/>
        <v>0</v>
      </c>
      <c r="P31" s="9">
        <f t="shared" si="8"/>
        <v>1.2589973804527328</v>
      </c>
      <c r="Q31" s="9">
        <f t="shared" si="9"/>
        <v>4</v>
      </c>
    </row>
    <row r="32" spans="1:17" ht="25" customHeight="1">
      <c r="A32" s="1"/>
      <c r="B32" s="1" t="s">
        <v>43</v>
      </c>
      <c r="C32" s="1" t="s">
        <v>75</v>
      </c>
      <c r="D32" s="1" t="s">
        <v>76</v>
      </c>
      <c r="E32" s="1" t="s">
        <v>77</v>
      </c>
      <c r="F32" s="1" t="s">
        <v>108</v>
      </c>
      <c r="G32" s="9">
        <f>'Quarterly market'!G50</f>
        <v>2.6501995362399722</v>
      </c>
      <c r="H32" s="9">
        <f>'PG history'!G77</f>
        <v>5</v>
      </c>
      <c r="I32" s="9">
        <f t="shared" si="0"/>
        <v>7.0235575818865632</v>
      </c>
      <c r="J32" s="9">
        <f t="shared" si="1"/>
        <v>25</v>
      </c>
      <c r="K32" s="9">
        <f t="shared" si="2"/>
        <v>13.250997681199861</v>
      </c>
      <c r="L32" s="9">
        <f>'Model tests'!H7+'Model tests'!G7*G32</f>
        <v>1.0074719482542658</v>
      </c>
      <c r="M32" s="9">
        <f t="shared" si="3"/>
        <v>3.992528051745734</v>
      </c>
      <c r="N32" s="9">
        <f>AVERAGE(H22:H31)+((SUM(K22:K31)-SUM(G22:G31)*SUM(H22:H31)/COUNT(G22:G31))/(SUM(I22:I31)-SUM(G22:G31)^2/COUNT(G22:G31)))*(G32-AVERAGE(G22:G31))</f>
        <v>1.5203438628654495</v>
      </c>
      <c r="O32" s="9">
        <f t="shared" si="7"/>
        <v>0.75</v>
      </c>
      <c r="P32" s="9">
        <f t="shared" si="8"/>
        <v>12.108006832698139</v>
      </c>
      <c r="Q32" s="9">
        <f t="shared" si="9"/>
        <v>18.0625</v>
      </c>
    </row>
    <row r="33" spans="1:17" ht="25" customHeight="1">
      <c r="A33" s="1"/>
      <c r="B33" s="1" t="s">
        <v>43</v>
      </c>
      <c r="C33" s="1" t="s">
        <v>75</v>
      </c>
      <c r="D33" s="1" t="s">
        <v>76</v>
      </c>
      <c r="E33" s="1" t="s">
        <v>77</v>
      </c>
      <c r="F33" s="1" t="s">
        <v>109</v>
      </c>
      <c r="G33" s="9">
        <f>'Quarterly market'!G51</f>
        <v>2.7872397144634187</v>
      </c>
      <c r="H33" s="9">
        <f>'PG history'!G84</f>
        <v>2</v>
      </c>
      <c r="I33" s="9">
        <f t="shared" si="0"/>
        <v>7.7687052258821199</v>
      </c>
      <c r="J33" s="9">
        <f t="shared" si="1"/>
        <v>4</v>
      </c>
      <c r="K33" s="9">
        <f t="shared" si="2"/>
        <v>5.5744794289268373</v>
      </c>
      <c r="L33" s="9">
        <f>'Model tests'!H7+'Model tests'!G7*G33</f>
        <v>1.1393521621705103</v>
      </c>
      <c r="M33" s="9">
        <f t="shared" si="3"/>
        <v>0.86064783782948973</v>
      </c>
      <c r="N33" s="9">
        <f>AVERAGE(H22:H32)+((SUM(K22:K32)-SUM(G22:G32)*SUM(H22:H32)/COUNT(G22:G32))/(SUM(I22:I32)-SUM(G22:G32)^2/COUNT(G22:G32)))*(G33-AVERAGE(G22:G32))</f>
        <v>2.395258453773971</v>
      </c>
      <c r="O33" s="9">
        <f t="shared" si="7"/>
        <v>2.5</v>
      </c>
      <c r="P33" s="9">
        <f t="shared" si="8"/>
        <v>0.15622924527979032</v>
      </c>
      <c r="Q33" s="9">
        <f t="shared" si="9"/>
        <v>0.25</v>
      </c>
    </row>
    <row r="34" spans="1:17" ht="25" customHeight="1">
      <c r="A34" s="1"/>
      <c r="B34" s="1" t="s">
        <v>43</v>
      </c>
      <c r="C34" s="1" t="s">
        <v>75</v>
      </c>
      <c r="D34" s="1" t="s">
        <v>76</v>
      </c>
      <c r="E34" s="1" t="s">
        <v>77</v>
      </c>
      <c r="F34" s="1" t="s">
        <v>110</v>
      </c>
      <c r="G34" s="9">
        <f>'Quarterly market'!G52</f>
        <v>3.7498513143808809</v>
      </c>
      <c r="H34" s="9">
        <f>'PG history'!G91</f>
        <v>1</v>
      </c>
      <c r="I34" s="9">
        <f t="shared" si="0"/>
        <v>14.06138487996402</v>
      </c>
      <c r="J34" s="9">
        <f t="shared" si="1"/>
        <v>1</v>
      </c>
      <c r="K34" s="9">
        <f t="shared" si="2"/>
        <v>3.7498513143808809</v>
      </c>
      <c r="L34" s="9">
        <f>'Model tests'!H7+'Model tests'!G7*G34</f>
        <v>2.0657186144118356</v>
      </c>
      <c r="M34" s="9">
        <f t="shared" si="3"/>
        <v>-1.0657186144118356</v>
      </c>
      <c r="N34" s="9">
        <f>AVERAGE(H22:H33)+((SUM(K22:K33)-SUM(G22:G33)*SUM(H22:H33)/COUNT(G22:G33))/(SUM(I22:I33)-SUM(G22:G33)^2/COUNT(G22:G33)))*(G34-AVERAGE(G22:G33))</f>
        <v>3.6066010218220783</v>
      </c>
      <c r="O34" s="9">
        <f t="shared" si="7"/>
        <v>2.75</v>
      </c>
      <c r="P34" s="9">
        <f t="shared" si="8"/>
        <v>6.7943688869639027</v>
      </c>
      <c r="Q34" s="9">
        <f t="shared" si="9"/>
        <v>3.0625</v>
      </c>
    </row>
    <row r="35" spans="1:17" ht="25" customHeight="1">
      <c r="A35" s="1"/>
      <c r="B35" s="1" t="s">
        <v>43</v>
      </c>
      <c r="C35" s="1" t="s">
        <v>75</v>
      </c>
      <c r="D35" s="1" t="s">
        <v>76</v>
      </c>
      <c r="E35" s="1" t="s">
        <v>77</v>
      </c>
      <c r="F35" s="1" t="s">
        <v>111</v>
      </c>
      <c r="G35" s="9">
        <f>'Quarterly market'!G53</f>
        <v>3.2332744751814912</v>
      </c>
      <c r="H35" s="9">
        <f>'PG history'!G98</f>
        <v>-1</v>
      </c>
      <c r="I35" s="9">
        <f t="shared" si="0"/>
        <v>10.454063831860148</v>
      </c>
      <c r="J35" s="9">
        <f t="shared" si="1"/>
        <v>1</v>
      </c>
      <c r="K35" s="9">
        <f t="shared" si="2"/>
        <v>-3.2332744751814912</v>
      </c>
      <c r="L35" s="9">
        <f>'Model tests'!H7+'Model tests'!G7*G35</f>
        <v>1.5685924070399235</v>
      </c>
      <c r="M35" s="9">
        <f t="shared" si="3"/>
        <v>-2.5685924070399233</v>
      </c>
      <c r="N35" s="9">
        <f>AVERAGE(H22:H34)+((SUM(K22:K34)-SUM(G22:G34)*SUM(H22:H34)/COUNT(G22:G34))/(SUM(I22:I34)-SUM(G22:G34)^2/COUNT(G22:G34)))*(G35-AVERAGE(G22:G34))</f>
        <v>2.3889585789537637</v>
      </c>
      <c r="O35" s="9">
        <f t="shared" si="7"/>
        <v>2.5</v>
      </c>
      <c r="P35" s="9">
        <f t="shared" si="8"/>
        <v>11.485040249864314</v>
      </c>
      <c r="Q35" s="9">
        <f t="shared" si="9"/>
        <v>12.25</v>
      </c>
    </row>
    <row r="36" spans="1:17" ht="25" customHeight="1">
      <c r="A36" s="1"/>
      <c r="B36" s="1" t="s">
        <v>43</v>
      </c>
      <c r="C36" s="1" t="s">
        <v>75</v>
      </c>
      <c r="D36" s="1" t="s">
        <v>76</v>
      </c>
      <c r="E36" s="1" t="s">
        <v>77</v>
      </c>
      <c r="F36" s="1" t="s">
        <v>112</v>
      </c>
      <c r="G36" s="9">
        <f>'Quarterly market'!G54</f>
        <v>2.9967230915401322</v>
      </c>
      <c r="H36" s="9">
        <f>'PG history'!G105</f>
        <v>1</v>
      </c>
      <c r="I36" s="9">
        <f t="shared" si="0"/>
        <v>8.9803492873698474</v>
      </c>
      <c r="J36" s="9">
        <f t="shared" si="1"/>
        <v>1</v>
      </c>
      <c r="K36" s="9">
        <f t="shared" si="2"/>
        <v>2.9967230915401322</v>
      </c>
      <c r="L36" s="9">
        <f>'Model tests'!H7+'Model tests'!G7*G36</f>
        <v>1.3409478762079539</v>
      </c>
      <c r="M36" s="9">
        <f t="shared" si="3"/>
        <v>-0.34094787620795386</v>
      </c>
      <c r="N36" s="9">
        <f>AVERAGE(H22:H35)+((SUM(K22:K35)-SUM(G22:G35)*SUM(H22:H35)/COUNT(G22:G35))/(SUM(I22:I35)-SUM(G22:G35)^2/COUNT(G22:G35)))*(G36-AVERAGE(G22:G35))</f>
        <v>1.6375934148139362</v>
      </c>
      <c r="O36" s="9">
        <f t="shared" si="7"/>
        <v>1.75</v>
      </c>
      <c r="P36" s="9">
        <f t="shared" si="8"/>
        <v>0.40652536261409605</v>
      </c>
      <c r="Q36" s="9">
        <f t="shared" si="9"/>
        <v>0.5625</v>
      </c>
    </row>
    <row r="37" spans="1:17" ht="25" customHeight="1">
      <c r="A37" s="1"/>
      <c r="B37" s="1" t="s">
        <v>43</v>
      </c>
      <c r="C37" s="1" t="s">
        <v>75</v>
      </c>
      <c r="D37" s="1" t="s">
        <v>76</v>
      </c>
      <c r="E37" s="1" t="s">
        <v>77</v>
      </c>
      <c r="F37" s="1" t="s">
        <v>113</v>
      </c>
      <c r="G37" s="9">
        <f>'Quarterly market'!G55</f>
        <v>2.1478108850594868</v>
      </c>
      <c r="H37" s="9">
        <f>'PG history'!G112</f>
        <v>-2</v>
      </c>
      <c r="I37" s="9">
        <f t="shared" si="0"/>
        <v>4.6130915979800164</v>
      </c>
      <c r="J37" s="9">
        <f t="shared" si="1"/>
        <v>4</v>
      </c>
      <c r="K37" s="9">
        <f t="shared" si="2"/>
        <v>-4.2956217701189736</v>
      </c>
      <c r="L37" s="9">
        <f>'Model tests'!H7+'Model tests'!G7*G37</f>
        <v>0.52399970204377433</v>
      </c>
      <c r="M37" s="9">
        <f t="shared" si="3"/>
        <v>-2.5239997020437741</v>
      </c>
      <c r="N37" s="9">
        <f>AVERAGE(H22:H36)+((SUM(K22:K36)-SUM(G22:G36)*SUM(H22:H36)/COUNT(G22:G36))/(SUM(I22:I36)-SUM(G22:G36)^2/COUNT(G22:G36)))*(G37-AVERAGE(G22:G36))</f>
        <v>0.7157995138854697</v>
      </c>
      <c r="O37" s="9">
        <f t="shared" si="7"/>
        <v>0.75</v>
      </c>
      <c r="P37" s="9">
        <f t="shared" si="8"/>
        <v>7.3755669996205544</v>
      </c>
      <c r="Q37" s="9">
        <f t="shared" si="9"/>
        <v>7.5625</v>
      </c>
    </row>
    <row r="38" spans="1:17" ht="25" customHeight="1">
      <c r="A38" s="1"/>
      <c r="B38" s="1" t="s">
        <v>45</v>
      </c>
      <c r="C38" s="1" t="s">
        <v>75</v>
      </c>
      <c r="D38" s="1" t="s">
        <v>76</v>
      </c>
      <c r="E38" s="1" t="s">
        <v>77</v>
      </c>
      <c r="F38" s="1" t="s">
        <v>98</v>
      </c>
      <c r="G38" s="9">
        <f>'Quarterly market'!G40</f>
        <v>3.5989104881054557</v>
      </c>
      <c r="H38" s="9">
        <f>'PG history'!G8</f>
        <v>8</v>
      </c>
      <c r="I38" s="9">
        <f t="shared" si="0"/>
        <v>12.952156701395449</v>
      </c>
      <c r="J38" s="9">
        <f t="shared" si="1"/>
        <v>64</v>
      </c>
      <c r="K38" s="9">
        <f t="shared" si="2"/>
        <v>28.791283904843645</v>
      </c>
      <c r="L38" s="9">
        <f>'Model tests'!H8+'Model tests'!G8*G38</f>
        <v>0.16713649844758538</v>
      </c>
      <c r="M38" s="9">
        <f t="shared" si="3"/>
        <v>7.8328635015524144</v>
      </c>
      <c r="N38" s="9"/>
      <c r="O38" s="9"/>
      <c r="P38" s="9"/>
      <c r="Q38" s="9"/>
    </row>
    <row r="39" spans="1:17" ht="25" customHeight="1">
      <c r="A39" s="1"/>
      <c r="B39" s="1" t="s">
        <v>45</v>
      </c>
      <c r="C39" s="1" t="s">
        <v>75</v>
      </c>
      <c r="D39" s="1" t="s">
        <v>76</v>
      </c>
      <c r="E39" s="1" t="s">
        <v>77</v>
      </c>
      <c r="F39" s="1" t="s">
        <v>99</v>
      </c>
      <c r="G39" s="9">
        <f>'Quarterly market'!G41</f>
        <v>-3.7966210073037132E-2</v>
      </c>
      <c r="H39" s="9">
        <f>'PG history'!G15</f>
        <v>0</v>
      </c>
      <c r="I39" s="9">
        <f t="shared" si="0"/>
        <v>1.4414331073099862E-3</v>
      </c>
      <c r="J39" s="9">
        <f t="shared" si="1"/>
        <v>0</v>
      </c>
      <c r="K39" s="9">
        <f t="shared" si="2"/>
        <v>0</v>
      </c>
      <c r="L39" s="9">
        <f>'Model tests'!H8+'Model tests'!G8*G39</f>
        <v>-1.1206760417608179</v>
      </c>
      <c r="M39" s="9">
        <f t="shared" si="3"/>
        <v>1.1206760417608179</v>
      </c>
      <c r="N39" s="9"/>
      <c r="O39" s="9"/>
      <c r="P39" s="9"/>
      <c r="Q39" s="9"/>
    </row>
    <row r="40" spans="1:17" ht="25" customHeight="1">
      <c r="A40" s="1"/>
      <c r="B40" s="1" t="s">
        <v>45</v>
      </c>
      <c r="C40" s="1" t="s">
        <v>75</v>
      </c>
      <c r="D40" s="1" t="s">
        <v>76</v>
      </c>
      <c r="E40" s="1" t="s">
        <v>77</v>
      </c>
      <c r="F40" s="1" t="s">
        <v>100</v>
      </c>
      <c r="G40" s="9">
        <f>'Quarterly market'!G42</f>
        <v>-0.97428175390660288</v>
      </c>
      <c r="H40" s="9">
        <f>'PG history'!G22</f>
        <v>-2</v>
      </c>
      <c r="I40" s="9">
        <f t="shared" si="0"/>
        <v>0.94922493599532631</v>
      </c>
      <c r="J40" s="9">
        <f t="shared" si="1"/>
        <v>4</v>
      </c>
      <c r="K40" s="9">
        <f t="shared" si="2"/>
        <v>1.9485635078132058</v>
      </c>
      <c r="L40" s="9">
        <f>'Model tests'!H8+'Model tests'!G8*G40</f>
        <v>-1.4522239602109632</v>
      </c>
      <c r="M40" s="9">
        <f t="shared" si="3"/>
        <v>-0.54777603978903677</v>
      </c>
      <c r="N40" s="9"/>
      <c r="O40" s="9"/>
      <c r="P40" s="9"/>
      <c r="Q40" s="9"/>
    </row>
    <row r="41" spans="1:17" ht="25" customHeight="1">
      <c r="A41" s="1"/>
      <c r="B41" s="1" t="s">
        <v>45</v>
      </c>
      <c r="C41" s="1" t="s">
        <v>75</v>
      </c>
      <c r="D41" s="1" t="s">
        <v>76</v>
      </c>
      <c r="E41" s="1" t="s">
        <v>77</v>
      </c>
      <c r="F41" s="1" t="s">
        <v>101</v>
      </c>
      <c r="G41" s="9">
        <f>'Quarterly market'!G43</f>
        <v>-1.7083333333333339</v>
      </c>
      <c r="H41" s="9">
        <f>'PG history'!G29</f>
        <v>-1</v>
      </c>
      <c r="I41" s="9">
        <f t="shared" si="0"/>
        <v>2.9184027777777799</v>
      </c>
      <c r="J41" s="9">
        <f t="shared" si="1"/>
        <v>1</v>
      </c>
      <c r="K41" s="9">
        <f t="shared" si="2"/>
        <v>1.7083333333333339</v>
      </c>
      <c r="L41" s="9">
        <f>'Model tests'!H8+'Model tests'!G8*G41</f>
        <v>-1.7121505146687999</v>
      </c>
      <c r="M41" s="9">
        <f t="shared" si="3"/>
        <v>0.71215051466879986</v>
      </c>
      <c r="N41" s="9"/>
      <c r="O41" s="9"/>
      <c r="P41" s="9"/>
      <c r="Q41" s="9"/>
    </row>
    <row r="42" spans="1:17" ht="25" customHeight="1">
      <c r="A42" s="1"/>
      <c r="B42" s="1" t="s">
        <v>45</v>
      </c>
      <c r="C42" s="1" t="s">
        <v>75</v>
      </c>
      <c r="D42" s="1" t="s">
        <v>76</v>
      </c>
      <c r="E42" s="1" t="s">
        <v>77</v>
      </c>
      <c r="F42" s="1" t="s">
        <v>102</v>
      </c>
      <c r="G42" s="9">
        <f>'Quarterly market'!G44</f>
        <v>-0.51383557261676094</v>
      </c>
      <c r="H42" s="9">
        <f>'PG history'!G36</f>
        <v>1</v>
      </c>
      <c r="I42" s="9">
        <f t="shared" si="0"/>
        <v>0.26402699568639459</v>
      </c>
      <c r="J42" s="9">
        <f t="shared" si="1"/>
        <v>1</v>
      </c>
      <c r="K42" s="9">
        <f t="shared" si="2"/>
        <v>-0.51383557261676094</v>
      </c>
      <c r="L42" s="9">
        <f>'Model tests'!H8+'Model tests'!G8*G42</f>
        <v>-1.2891806635676883</v>
      </c>
      <c r="M42" s="9">
        <f t="shared" si="3"/>
        <v>2.2891806635676883</v>
      </c>
      <c r="N42" s="9"/>
      <c r="O42" s="9"/>
      <c r="P42" s="9"/>
      <c r="Q42" s="9"/>
    </row>
    <row r="43" spans="1:17" ht="25" customHeight="1">
      <c r="A43" s="1"/>
      <c r="B43" s="1" t="s">
        <v>45</v>
      </c>
      <c r="C43" s="1" t="s">
        <v>75</v>
      </c>
      <c r="D43" s="1" t="s">
        <v>76</v>
      </c>
      <c r="E43" s="1" t="s">
        <v>77</v>
      </c>
      <c r="F43" s="1" t="s">
        <v>103</v>
      </c>
      <c r="G43" s="9">
        <f>'Quarterly market'!G45</f>
        <v>-0.38380425982746935</v>
      </c>
      <c r="H43" s="9">
        <f>'PG history'!G43</f>
        <v>-3</v>
      </c>
      <c r="I43" s="9">
        <f t="shared" si="0"/>
        <v>0.1473057098617116</v>
      </c>
      <c r="J43" s="9">
        <f t="shared" si="1"/>
        <v>9</v>
      </c>
      <c r="K43" s="9">
        <f t="shared" si="2"/>
        <v>1.1514127794824081</v>
      </c>
      <c r="L43" s="9">
        <f>'Model tests'!H8+'Model tests'!G8*G43</f>
        <v>-1.2431367723041542</v>
      </c>
      <c r="M43" s="9">
        <f t="shared" si="3"/>
        <v>-1.7568632276958458</v>
      </c>
      <c r="N43" s="9"/>
      <c r="O43" s="9"/>
      <c r="P43" s="9"/>
      <c r="Q43" s="9"/>
    </row>
    <row r="44" spans="1:17" ht="25" customHeight="1">
      <c r="A44" s="1"/>
      <c r="B44" s="1" t="s">
        <v>45</v>
      </c>
      <c r="C44" s="1" t="s">
        <v>75</v>
      </c>
      <c r="D44" s="1" t="s">
        <v>76</v>
      </c>
      <c r="E44" s="1" t="s">
        <v>77</v>
      </c>
      <c r="F44" s="1" t="s">
        <v>104</v>
      </c>
      <c r="G44" s="9">
        <f>'Quarterly market'!G46</f>
        <v>1.1893013232361582</v>
      </c>
      <c r="H44" s="9">
        <f>'PG history'!G50</f>
        <v>2</v>
      </c>
      <c r="I44" s="9">
        <f t="shared" si="0"/>
        <v>1.4144376374512768</v>
      </c>
      <c r="J44" s="9">
        <f t="shared" si="1"/>
        <v>4</v>
      </c>
      <c r="K44" s="9">
        <f t="shared" si="2"/>
        <v>2.3786026464723165</v>
      </c>
      <c r="L44" s="9">
        <f>'Model tests'!H8+'Model tests'!G8*G44</f>
        <v>-0.68610246372948258</v>
      </c>
      <c r="M44" s="9">
        <f t="shared" si="3"/>
        <v>2.6861024637294824</v>
      </c>
      <c r="N44" s="9"/>
      <c r="O44" s="9"/>
      <c r="P44" s="9"/>
      <c r="Q44" s="9"/>
    </row>
    <row r="45" spans="1:17" ht="25" customHeight="1">
      <c r="A45" s="1"/>
      <c r="B45" s="1" t="s">
        <v>45</v>
      </c>
      <c r="C45" s="1" t="s">
        <v>75</v>
      </c>
      <c r="D45" s="1" t="s">
        <v>76</v>
      </c>
      <c r="E45" s="1" t="s">
        <v>77</v>
      </c>
      <c r="F45" s="1" t="s">
        <v>105</v>
      </c>
      <c r="G45" s="9">
        <f>'Quarterly market'!G47</f>
        <v>2.2255192878338326</v>
      </c>
      <c r="H45" s="9">
        <f>'PG history'!G57</f>
        <v>-4</v>
      </c>
      <c r="I45" s="9">
        <f t="shared" si="0"/>
        <v>4.9529361005204091</v>
      </c>
      <c r="J45" s="9">
        <f t="shared" si="1"/>
        <v>16</v>
      </c>
      <c r="K45" s="9">
        <f t="shared" si="2"/>
        <v>-8.9020771513353303</v>
      </c>
      <c r="L45" s="9">
        <f>'Model tests'!H8+'Model tests'!G8*G45</f>
        <v>-0.31917924912986051</v>
      </c>
      <c r="M45" s="9">
        <f t="shared" si="3"/>
        <v>-3.6808207508701396</v>
      </c>
      <c r="N45" s="9"/>
      <c r="O45" s="9"/>
      <c r="P45" s="9"/>
      <c r="Q45" s="9"/>
    </row>
    <row r="46" spans="1:17" ht="25" customHeight="1">
      <c r="A46" s="1"/>
      <c r="B46" s="1" t="s">
        <v>45</v>
      </c>
      <c r="C46" s="1" t="s">
        <v>75</v>
      </c>
      <c r="D46" s="1" t="s">
        <v>76</v>
      </c>
      <c r="E46" s="1" t="s">
        <v>77</v>
      </c>
      <c r="F46" s="1" t="s">
        <v>106</v>
      </c>
      <c r="G46" s="9">
        <f>'Quarterly market'!G48</f>
        <v>1.3726160091641626</v>
      </c>
      <c r="H46" s="9">
        <f>'PG history'!G64</f>
        <v>-4</v>
      </c>
      <c r="I46" s="9">
        <f t="shared" si="0"/>
        <v>1.8840747086137526</v>
      </c>
      <c r="J46" s="9">
        <f t="shared" si="1"/>
        <v>16</v>
      </c>
      <c r="K46" s="9">
        <f t="shared" si="2"/>
        <v>-5.4904640366566504</v>
      </c>
      <c r="L46" s="9">
        <f>'Model tests'!H8+'Model tests'!G8*G46</f>
        <v>-0.62119101059699511</v>
      </c>
      <c r="M46" s="9">
        <f t="shared" si="3"/>
        <v>-3.3788089894030051</v>
      </c>
      <c r="N46" s="9">
        <f>AVERAGE(H38:H45)+((SUM(K38:K45)-SUM(G38:G45)*SUM(H38:H45)/COUNT(G38:G45))/(SUM(I38:I45)-SUM(G38:G45)^2/COUNT(G38:G45)))*(G46-AVERAGE(G38:G45))</f>
        <v>1.2434436933721116</v>
      </c>
      <c r="O46" s="9">
        <f t="shared" ref="O46:O53" si="10">AVERAGE(H42:H45)</f>
        <v>-1</v>
      </c>
      <c r="P46" s="9">
        <f t="shared" ref="P46:P53" si="11">(H46-N46)^2</f>
        <v>27.493701765563774</v>
      </c>
      <c r="Q46" s="9">
        <f t="shared" ref="Q46:Q53" si="12">(H46-O46)^2</f>
        <v>9</v>
      </c>
    </row>
    <row r="47" spans="1:17" ht="25" customHeight="1">
      <c r="A47" s="1"/>
      <c r="B47" s="1" t="s">
        <v>45</v>
      </c>
      <c r="C47" s="1" t="s">
        <v>75</v>
      </c>
      <c r="D47" s="1" t="s">
        <v>76</v>
      </c>
      <c r="E47" s="1" t="s">
        <v>77</v>
      </c>
      <c r="F47" s="1" t="s">
        <v>107</v>
      </c>
      <c r="G47" s="9">
        <f>'Quarterly market'!G49</f>
        <v>2.2805943792830075</v>
      </c>
      <c r="H47" s="9">
        <f>'PG history'!G71</f>
        <v>1</v>
      </c>
      <c r="I47" s="9">
        <f t="shared" si="0"/>
        <v>5.201110722817246</v>
      </c>
      <c r="J47" s="9">
        <f t="shared" si="1"/>
        <v>1</v>
      </c>
      <c r="K47" s="9">
        <f t="shared" si="2"/>
        <v>2.2805943792830075</v>
      </c>
      <c r="L47" s="9">
        <f>'Model tests'!H8+'Model tests'!G8*G47</f>
        <v>-0.29967724251608252</v>
      </c>
      <c r="M47" s="9">
        <f t="shared" si="3"/>
        <v>1.2996772425160825</v>
      </c>
      <c r="N47" s="9">
        <f>AVERAGE(H38:H46)+((SUM(K38:K46)-SUM(G38:G46)*SUM(H38:H46)/COUNT(G38:G46))/(SUM(I38:I46)-SUM(G38:G46)^2/COUNT(G38:G46)))*(G47-AVERAGE(G38:G46))</f>
        <v>1.394842620254281</v>
      </c>
      <c r="O47" s="9">
        <f t="shared" si="10"/>
        <v>-2.25</v>
      </c>
      <c r="P47" s="9">
        <f t="shared" si="11"/>
        <v>0.15590069476926632</v>
      </c>
      <c r="Q47" s="9">
        <f t="shared" si="12"/>
        <v>10.5625</v>
      </c>
    </row>
    <row r="48" spans="1:17" ht="25" customHeight="1">
      <c r="A48" s="1"/>
      <c r="B48" s="1" t="s">
        <v>45</v>
      </c>
      <c r="C48" s="1" t="s">
        <v>75</v>
      </c>
      <c r="D48" s="1" t="s">
        <v>76</v>
      </c>
      <c r="E48" s="1" t="s">
        <v>77</v>
      </c>
      <c r="F48" s="1" t="s">
        <v>108</v>
      </c>
      <c r="G48" s="9">
        <f>'Quarterly market'!G50</f>
        <v>2.6501995362399722</v>
      </c>
      <c r="H48" s="9">
        <f>'PG history'!G78</f>
        <v>-1</v>
      </c>
      <c r="I48" s="9">
        <f t="shared" si="0"/>
        <v>7.0235575818865632</v>
      </c>
      <c r="J48" s="9">
        <f t="shared" si="1"/>
        <v>1</v>
      </c>
      <c r="K48" s="9">
        <f t="shared" si="2"/>
        <v>-2.6501995362399722</v>
      </c>
      <c r="L48" s="9">
        <f>'Model tests'!H8+'Model tests'!G8*G48</f>
        <v>-0.16880061524596712</v>
      </c>
      <c r="M48" s="9">
        <f t="shared" si="3"/>
        <v>-0.83119938475403288</v>
      </c>
      <c r="N48" s="9">
        <f>AVERAGE(H38:H47)+((SUM(K38:K47)-SUM(G38:G47)*SUM(H38:H47)/COUNT(G38:G47))/(SUM(I38:I47)-SUM(G38:G47)^2/COUNT(G38:G47)))*(G48-AVERAGE(G38:G47))</f>
        <v>1.673123665912309</v>
      </c>
      <c r="O48" s="9">
        <f t="shared" si="10"/>
        <v>-1.25</v>
      </c>
      <c r="P48" s="9">
        <f t="shared" si="11"/>
        <v>7.1455901332604608</v>
      </c>
      <c r="Q48" s="9">
        <f t="shared" si="12"/>
        <v>6.25E-2</v>
      </c>
    </row>
    <row r="49" spans="1:17" ht="25" customHeight="1">
      <c r="A49" s="1"/>
      <c r="B49" s="1" t="s">
        <v>45</v>
      </c>
      <c r="C49" s="1" t="s">
        <v>75</v>
      </c>
      <c r="D49" s="1" t="s">
        <v>76</v>
      </c>
      <c r="E49" s="1" t="s">
        <v>77</v>
      </c>
      <c r="F49" s="1" t="s">
        <v>109</v>
      </c>
      <c r="G49" s="9">
        <f>'Quarterly market'!G51</f>
        <v>2.7872397144634187</v>
      </c>
      <c r="H49" s="9">
        <f>'PG history'!G85</f>
        <v>0</v>
      </c>
      <c r="I49" s="9">
        <f t="shared" si="0"/>
        <v>7.7687052258821199</v>
      </c>
      <c r="J49" s="9">
        <f t="shared" si="1"/>
        <v>0</v>
      </c>
      <c r="K49" s="9">
        <f t="shared" si="2"/>
        <v>0</v>
      </c>
      <c r="L49" s="9">
        <f>'Model tests'!H8+'Model tests'!G8*G49</f>
        <v>-0.12027489532894631</v>
      </c>
      <c r="M49" s="9">
        <f t="shared" si="3"/>
        <v>0.12027489532894631</v>
      </c>
      <c r="N49" s="9">
        <f>AVERAGE(H38:H48)+((SUM(K38:K48)-SUM(G38:G48)*SUM(H38:H48)/COUNT(G38:G48))/(SUM(I38:I48)-SUM(G38:G48)^2/COUNT(G38:G48)))*(G49-AVERAGE(G38:G48))</f>
        <v>1.2531144778587917</v>
      </c>
      <c r="O49" s="9">
        <f t="shared" si="10"/>
        <v>-2</v>
      </c>
      <c r="P49" s="9">
        <f t="shared" si="11"/>
        <v>1.5702958946193122</v>
      </c>
      <c r="Q49" s="9">
        <f t="shared" si="12"/>
        <v>4</v>
      </c>
    </row>
    <row r="50" spans="1:17" ht="25" customHeight="1">
      <c r="A50" s="1"/>
      <c r="B50" s="1" t="s">
        <v>45</v>
      </c>
      <c r="C50" s="1" t="s">
        <v>75</v>
      </c>
      <c r="D50" s="1" t="s">
        <v>76</v>
      </c>
      <c r="E50" s="1" t="s">
        <v>77</v>
      </c>
      <c r="F50" s="1" t="s">
        <v>110</v>
      </c>
      <c r="G50" s="9">
        <f>'Quarterly market'!G52</f>
        <v>3.7498513143808809</v>
      </c>
      <c r="H50" s="9">
        <f>'PG history'!G92</f>
        <v>-1</v>
      </c>
      <c r="I50" s="9">
        <f t="shared" si="0"/>
        <v>14.06138487996402</v>
      </c>
      <c r="J50" s="9">
        <f t="shared" si="1"/>
        <v>1</v>
      </c>
      <c r="K50" s="9">
        <f t="shared" si="2"/>
        <v>-3.7498513143808809</v>
      </c>
      <c r="L50" s="9">
        <f>'Model tests'!H8+'Model tests'!G8*G50</f>
        <v>0.22058441682333529</v>
      </c>
      <c r="M50" s="9">
        <f t="shared" si="3"/>
        <v>-1.2205844168233353</v>
      </c>
      <c r="N50" s="9">
        <f>AVERAGE(H38:H49)+((SUM(K38:K49)-SUM(G38:G49)*SUM(H38:H49)/COUNT(G38:G49))/(SUM(I38:I49)-SUM(G38:G49)^2/COUNT(G38:G49)))*(G50-AVERAGE(G38:G49))</f>
        <v>1.7369440285691999</v>
      </c>
      <c r="O50" s="9">
        <f t="shared" si="10"/>
        <v>-1</v>
      </c>
      <c r="P50" s="9">
        <f t="shared" si="11"/>
        <v>7.4908626155206006</v>
      </c>
      <c r="Q50" s="9">
        <f t="shared" si="12"/>
        <v>0</v>
      </c>
    </row>
    <row r="51" spans="1:17" ht="25" customHeight="1">
      <c r="A51" s="1"/>
      <c r="B51" s="1" t="s">
        <v>45</v>
      </c>
      <c r="C51" s="1" t="s">
        <v>75</v>
      </c>
      <c r="D51" s="1" t="s">
        <v>76</v>
      </c>
      <c r="E51" s="1" t="s">
        <v>77</v>
      </c>
      <c r="F51" s="1" t="s">
        <v>111</v>
      </c>
      <c r="G51" s="9">
        <f>'Quarterly market'!G53</f>
        <v>3.2332744751814912</v>
      </c>
      <c r="H51" s="9">
        <f>'PG history'!G99</f>
        <v>-2</v>
      </c>
      <c r="I51" s="9">
        <f t="shared" si="0"/>
        <v>10.454063831860148</v>
      </c>
      <c r="J51" s="9">
        <f t="shared" si="1"/>
        <v>4</v>
      </c>
      <c r="K51" s="9">
        <f t="shared" si="2"/>
        <v>-6.4665489503629825</v>
      </c>
      <c r="L51" s="9">
        <f>'Model tests'!H8+'Model tests'!G8*G51</f>
        <v>3.7665339078581939E-2</v>
      </c>
      <c r="M51" s="9">
        <f t="shared" si="3"/>
        <v>-2.0376653390785817</v>
      </c>
      <c r="N51" s="9">
        <f>AVERAGE(H38:H50)+((SUM(K38:K50)-SUM(G38:G50)*SUM(H38:H50)/COUNT(G38:G50))/(SUM(I38:I50)-SUM(G38:G50)^2/COUNT(G38:G50)))*(G51-AVERAGE(G38:G50))</f>
        <v>0.80161196161219794</v>
      </c>
      <c r="O51" s="9">
        <f t="shared" si="10"/>
        <v>-0.25</v>
      </c>
      <c r="P51" s="9">
        <f t="shared" si="11"/>
        <v>7.8490295834485488</v>
      </c>
      <c r="Q51" s="9">
        <f t="shared" si="12"/>
        <v>3.0625</v>
      </c>
    </row>
    <row r="52" spans="1:17" ht="25" customHeight="1">
      <c r="A52" s="1"/>
      <c r="B52" s="1" t="s">
        <v>45</v>
      </c>
      <c r="C52" s="1" t="s">
        <v>75</v>
      </c>
      <c r="D52" s="1" t="s">
        <v>76</v>
      </c>
      <c r="E52" s="1" t="s">
        <v>77</v>
      </c>
      <c r="F52" s="1" t="s">
        <v>112</v>
      </c>
      <c r="G52" s="9">
        <f>'Quarterly market'!G54</f>
        <v>2.9967230915401322</v>
      </c>
      <c r="H52" s="9">
        <f>'PG history'!G106</f>
        <v>-2</v>
      </c>
      <c r="I52" s="9">
        <f t="shared" si="0"/>
        <v>8.9803492873698474</v>
      </c>
      <c r="J52" s="9">
        <f t="shared" si="1"/>
        <v>4</v>
      </c>
      <c r="K52" s="9">
        <f t="shared" si="2"/>
        <v>-5.9934461830802643</v>
      </c>
      <c r="L52" s="9">
        <f>'Model tests'!H8+'Model tests'!G8*G52</f>
        <v>-4.6097148225308526E-2</v>
      </c>
      <c r="M52" s="9">
        <f t="shared" si="3"/>
        <v>-1.9539028517746915</v>
      </c>
      <c r="N52" s="9">
        <f>AVERAGE(H38:H51)+((SUM(K38:K51)-SUM(G38:G51)*SUM(H38:H51)/COUNT(G38:G51))/(SUM(I38:I51)-SUM(G38:G51)^2/COUNT(G38:G51)))*(G52-AVERAGE(G38:G51))</f>
        <v>0.2760758116246313</v>
      </c>
      <c r="O52" s="9">
        <f t="shared" si="10"/>
        <v>-1</v>
      </c>
      <c r="P52" s="9">
        <f t="shared" si="11"/>
        <v>5.1805211002627232</v>
      </c>
      <c r="Q52" s="9">
        <f t="shared" si="12"/>
        <v>1</v>
      </c>
    </row>
    <row r="53" spans="1:17" ht="25" customHeight="1">
      <c r="A53" s="1"/>
      <c r="B53" s="1" t="s">
        <v>45</v>
      </c>
      <c r="C53" s="1" t="s">
        <v>75</v>
      </c>
      <c r="D53" s="1" t="s">
        <v>76</v>
      </c>
      <c r="E53" s="1" t="s">
        <v>77</v>
      </c>
      <c r="F53" s="1" t="s">
        <v>113</v>
      </c>
      <c r="G53" s="9">
        <f>'Quarterly market'!G55</f>
        <v>2.1478108850594868</v>
      </c>
      <c r="H53" s="9">
        <f>'PG history'!G113</f>
        <v>-1</v>
      </c>
      <c r="I53" s="9">
        <f t="shared" si="0"/>
        <v>4.6130915979800164</v>
      </c>
      <c r="J53" s="9">
        <f t="shared" si="1"/>
        <v>1</v>
      </c>
      <c r="K53" s="9">
        <f t="shared" si="2"/>
        <v>-2.1478108850594868</v>
      </c>
      <c r="L53" s="9">
        <f>'Model tests'!H8+'Model tests'!G8*G53</f>
        <v>-0.34669567706443671</v>
      </c>
      <c r="M53" s="9">
        <f t="shared" si="3"/>
        <v>-0.65330432293556329</v>
      </c>
      <c r="N53" s="9">
        <f>AVERAGE(H38:H52)+((SUM(K38:K52)-SUM(G38:G52)*SUM(H38:H52)/COUNT(G38:G52))/(SUM(I38:I52)-SUM(G38:G52)^2/COUNT(G38:G52)))*(G53-AVERAGE(G38:G52))</f>
        <v>-0.2970508034485862</v>
      </c>
      <c r="O53" s="9">
        <f t="shared" si="10"/>
        <v>-1.25</v>
      </c>
      <c r="P53" s="9">
        <f t="shared" si="11"/>
        <v>0.49413757293227828</v>
      </c>
      <c r="Q53" s="9">
        <f t="shared" si="12"/>
        <v>6.25E-2</v>
      </c>
    </row>
    <row r="54" spans="1:17" ht="25" customHeight="1">
      <c r="A54" s="1"/>
      <c r="B54" s="1" t="s">
        <v>50</v>
      </c>
      <c r="C54" s="1" t="s">
        <v>75</v>
      </c>
      <c r="D54" s="1" t="s">
        <v>76</v>
      </c>
      <c r="E54" s="1" t="s">
        <v>77</v>
      </c>
      <c r="F54" s="1" t="s">
        <v>98</v>
      </c>
      <c r="G54" s="9">
        <f>'Quarterly market'!G40</f>
        <v>3.5989104881054557</v>
      </c>
      <c r="H54" s="9">
        <f>'PG history'!G9</f>
        <v>5</v>
      </c>
      <c r="I54" s="9">
        <f t="shared" si="0"/>
        <v>12.952156701395449</v>
      </c>
      <c r="J54" s="9">
        <f t="shared" si="1"/>
        <v>25</v>
      </c>
      <c r="K54" s="9">
        <f t="shared" si="2"/>
        <v>17.994552440527279</v>
      </c>
      <c r="L54" s="9">
        <f>'Model tests'!H9+'Model tests'!G9*G54</f>
        <v>2.3033309471960344</v>
      </c>
      <c r="M54" s="9">
        <f t="shared" si="3"/>
        <v>2.6966690528039656</v>
      </c>
      <c r="N54" s="9"/>
      <c r="O54" s="9"/>
      <c r="P54" s="9"/>
      <c r="Q54" s="9"/>
    </row>
    <row r="55" spans="1:17" ht="25" customHeight="1">
      <c r="A55" s="1"/>
      <c r="B55" s="1" t="s">
        <v>50</v>
      </c>
      <c r="C55" s="1" t="s">
        <v>75</v>
      </c>
      <c r="D55" s="1" t="s">
        <v>76</v>
      </c>
      <c r="E55" s="1" t="s">
        <v>77</v>
      </c>
      <c r="F55" s="1" t="s">
        <v>99</v>
      </c>
      <c r="G55" s="9">
        <f>'Quarterly market'!G41</f>
        <v>-3.7966210073037132E-2</v>
      </c>
      <c r="H55" s="9">
        <f>'PG history'!G16</f>
        <v>-1</v>
      </c>
      <c r="I55" s="9">
        <f t="shared" si="0"/>
        <v>1.4414331073099862E-3</v>
      </c>
      <c r="J55" s="9">
        <f t="shared" si="1"/>
        <v>1</v>
      </c>
      <c r="K55" s="9">
        <f t="shared" si="2"/>
        <v>3.7966210073037132E-2</v>
      </c>
      <c r="L55" s="9">
        <f>'Model tests'!H9+'Model tests'!G9*G55</f>
        <v>-2.6445640057490811</v>
      </c>
      <c r="M55" s="9">
        <f t="shared" si="3"/>
        <v>1.6445640057490811</v>
      </c>
      <c r="N55" s="9"/>
      <c r="O55" s="9"/>
      <c r="P55" s="9"/>
      <c r="Q55" s="9"/>
    </row>
    <row r="56" spans="1:17" ht="25" customHeight="1">
      <c r="A56" s="1"/>
      <c r="B56" s="1" t="s">
        <v>50</v>
      </c>
      <c r="C56" s="1" t="s">
        <v>75</v>
      </c>
      <c r="D56" s="1" t="s">
        <v>76</v>
      </c>
      <c r="E56" s="1" t="s">
        <v>77</v>
      </c>
      <c r="F56" s="1" t="s">
        <v>100</v>
      </c>
      <c r="G56" s="9">
        <f>'Quarterly market'!G42</f>
        <v>-0.97428175390660288</v>
      </c>
      <c r="H56" s="9">
        <f>'PG history'!G23</f>
        <v>-4</v>
      </c>
      <c r="I56" s="9">
        <f t="shared" si="0"/>
        <v>0.94922493599532631</v>
      </c>
      <c r="J56" s="9">
        <f t="shared" si="1"/>
        <v>16</v>
      </c>
      <c r="K56" s="9">
        <f t="shared" si="2"/>
        <v>3.8971270156264115</v>
      </c>
      <c r="L56" s="9">
        <f>'Model tests'!H9+'Model tests'!G9*G56</f>
        <v>-3.9184017896966274</v>
      </c>
      <c r="M56" s="9">
        <f t="shared" si="3"/>
        <v>-8.1598210303372554E-2</v>
      </c>
      <c r="N56" s="9"/>
      <c r="O56" s="9"/>
      <c r="P56" s="9"/>
      <c r="Q56" s="9"/>
    </row>
    <row r="57" spans="1:17" ht="25" customHeight="1">
      <c r="A57" s="1"/>
      <c r="B57" s="1" t="s">
        <v>50</v>
      </c>
      <c r="C57" s="1" t="s">
        <v>75</v>
      </c>
      <c r="D57" s="1" t="s">
        <v>76</v>
      </c>
      <c r="E57" s="1" t="s">
        <v>77</v>
      </c>
      <c r="F57" s="1" t="s">
        <v>101</v>
      </c>
      <c r="G57" s="9">
        <f>'Quarterly market'!G43</f>
        <v>-1.7083333333333339</v>
      </c>
      <c r="H57" s="9">
        <f>'PG history'!G30</f>
        <v>-7</v>
      </c>
      <c r="I57" s="9">
        <f t="shared" si="0"/>
        <v>2.9184027777777799</v>
      </c>
      <c r="J57" s="9">
        <f t="shared" si="1"/>
        <v>49</v>
      </c>
      <c r="K57" s="9">
        <f t="shared" si="2"/>
        <v>11.958333333333337</v>
      </c>
      <c r="L57" s="9">
        <f>'Model tests'!H9+'Model tests'!G9*G57</f>
        <v>-4.9170636653840774</v>
      </c>
      <c r="M57" s="9">
        <f t="shared" si="3"/>
        <v>-2.0829363346159226</v>
      </c>
      <c r="N57" s="9"/>
      <c r="O57" s="9"/>
      <c r="P57" s="9"/>
      <c r="Q57" s="9"/>
    </row>
    <row r="58" spans="1:17" ht="25" customHeight="1">
      <c r="A58" s="1"/>
      <c r="B58" s="1" t="s">
        <v>50</v>
      </c>
      <c r="C58" s="1" t="s">
        <v>75</v>
      </c>
      <c r="D58" s="1" t="s">
        <v>76</v>
      </c>
      <c r="E58" s="1" t="s">
        <v>77</v>
      </c>
      <c r="F58" s="1" t="s">
        <v>102</v>
      </c>
      <c r="G58" s="9">
        <f>'Quarterly market'!G44</f>
        <v>-0.51383557261676094</v>
      </c>
      <c r="H58" s="9">
        <f>'PG history'!G37</f>
        <v>-5</v>
      </c>
      <c r="I58" s="9">
        <f t="shared" si="0"/>
        <v>0.26402699568639459</v>
      </c>
      <c r="J58" s="9">
        <f t="shared" si="1"/>
        <v>25</v>
      </c>
      <c r="K58" s="9">
        <f t="shared" si="2"/>
        <v>2.5691778630838047</v>
      </c>
      <c r="L58" s="9">
        <f>'Model tests'!H9+'Model tests'!G9*G58</f>
        <v>-3.2919743560561354</v>
      </c>
      <c r="M58" s="9">
        <f t="shared" si="3"/>
        <v>-1.7080256439438646</v>
      </c>
      <c r="N58" s="9"/>
      <c r="O58" s="9"/>
      <c r="P58" s="9"/>
      <c r="Q58" s="9"/>
    </row>
    <row r="59" spans="1:17" ht="25" customHeight="1">
      <c r="A59" s="1"/>
      <c r="B59" s="1" t="s">
        <v>50</v>
      </c>
      <c r="C59" s="1" t="s">
        <v>75</v>
      </c>
      <c r="D59" s="1" t="s">
        <v>76</v>
      </c>
      <c r="E59" s="1" t="s">
        <v>77</v>
      </c>
      <c r="F59" s="1" t="s">
        <v>103</v>
      </c>
      <c r="G59" s="9">
        <f>'Quarterly market'!G45</f>
        <v>-0.38380425982746935</v>
      </c>
      <c r="H59" s="9">
        <f>'PG history'!G44</f>
        <v>-2</v>
      </c>
      <c r="I59" s="9">
        <f t="shared" si="0"/>
        <v>0.1473057098617116</v>
      </c>
      <c r="J59" s="9">
        <f t="shared" si="1"/>
        <v>4</v>
      </c>
      <c r="K59" s="9">
        <f t="shared" si="2"/>
        <v>0.7676085196549387</v>
      </c>
      <c r="L59" s="9">
        <f>'Model tests'!H9+'Model tests'!G9*G59</f>
        <v>-3.1150694649452553</v>
      </c>
      <c r="M59" s="9">
        <f t="shared" si="3"/>
        <v>1.1150694649452553</v>
      </c>
      <c r="N59" s="9"/>
      <c r="O59" s="9"/>
      <c r="P59" s="9"/>
      <c r="Q59" s="9"/>
    </row>
    <row r="60" spans="1:17" ht="25" customHeight="1">
      <c r="A60" s="1"/>
      <c r="B60" s="1" t="s">
        <v>50</v>
      </c>
      <c r="C60" s="1" t="s">
        <v>75</v>
      </c>
      <c r="D60" s="1" t="s">
        <v>76</v>
      </c>
      <c r="E60" s="1" t="s">
        <v>77</v>
      </c>
      <c r="F60" s="1" t="s">
        <v>104</v>
      </c>
      <c r="G60" s="9">
        <f>'Quarterly market'!G46</f>
        <v>1.1893013232361582</v>
      </c>
      <c r="H60" s="9">
        <f>'PG history'!G51</f>
        <v>0</v>
      </c>
      <c r="I60" s="9">
        <f t="shared" si="0"/>
        <v>1.4144376374512768</v>
      </c>
      <c r="J60" s="9">
        <f t="shared" si="1"/>
        <v>0</v>
      </c>
      <c r="K60" s="9">
        <f t="shared" si="2"/>
        <v>0</v>
      </c>
      <c r="L60" s="9">
        <f>'Model tests'!H9+'Model tests'!G9*G60</f>
        <v>-0.97489210375270918</v>
      </c>
      <c r="M60" s="9">
        <f t="shared" si="3"/>
        <v>0.97489210375270918</v>
      </c>
      <c r="N60" s="9"/>
      <c r="O60" s="9"/>
      <c r="P60" s="9"/>
      <c r="Q60" s="9"/>
    </row>
    <row r="61" spans="1:17" ht="25" customHeight="1">
      <c r="A61" s="1"/>
      <c r="B61" s="1" t="s">
        <v>50</v>
      </c>
      <c r="C61" s="1" t="s">
        <v>75</v>
      </c>
      <c r="D61" s="1" t="s">
        <v>76</v>
      </c>
      <c r="E61" s="1" t="s">
        <v>77</v>
      </c>
      <c r="F61" s="1" t="s">
        <v>105</v>
      </c>
      <c r="G61" s="9">
        <f>'Quarterly market'!G47</f>
        <v>2.2255192878338326</v>
      </c>
      <c r="H61" s="9">
        <f>'PG history'!G58</f>
        <v>1</v>
      </c>
      <c r="I61" s="9">
        <f t="shared" si="0"/>
        <v>4.9529361005204091</v>
      </c>
      <c r="J61" s="9">
        <f t="shared" si="1"/>
        <v>1</v>
      </c>
      <c r="K61" s="9">
        <f t="shared" si="2"/>
        <v>2.2255192878338326</v>
      </c>
      <c r="L61" s="9">
        <f>'Model tests'!H9+'Model tests'!G9*G61</f>
        <v>0.43486084161158356</v>
      </c>
      <c r="M61" s="9">
        <f t="shared" si="3"/>
        <v>0.56513915838841644</v>
      </c>
      <c r="N61" s="9"/>
      <c r="O61" s="9"/>
      <c r="P61" s="9"/>
      <c r="Q61" s="9"/>
    </row>
    <row r="62" spans="1:17" ht="25" customHeight="1">
      <c r="A62" s="1"/>
      <c r="B62" s="1" t="s">
        <v>50</v>
      </c>
      <c r="C62" s="1" t="s">
        <v>75</v>
      </c>
      <c r="D62" s="1" t="s">
        <v>76</v>
      </c>
      <c r="E62" s="1" t="s">
        <v>77</v>
      </c>
      <c r="F62" s="1" t="s">
        <v>106</v>
      </c>
      <c r="G62" s="9">
        <f>'Quarterly market'!G48</f>
        <v>1.3726160091641626</v>
      </c>
      <c r="H62" s="9">
        <f>'PG history'!G65</f>
        <v>1</v>
      </c>
      <c r="I62" s="9">
        <f t="shared" si="0"/>
        <v>1.8840747086137526</v>
      </c>
      <c r="J62" s="9">
        <f t="shared" si="1"/>
        <v>1</v>
      </c>
      <c r="K62" s="9">
        <f t="shared" si="2"/>
        <v>1.3726160091641626</v>
      </c>
      <c r="L62" s="9">
        <f>'Model tests'!H9+'Model tests'!G9*G62</f>
        <v>-0.72549629394750781</v>
      </c>
      <c r="M62" s="9">
        <f t="shared" si="3"/>
        <v>1.7254962939475078</v>
      </c>
      <c r="N62" s="9">
        <f>AVERAGE(H54:H61)+((SUM(K54:K61)-SUM(G54:G61)*SUM(H54:H61)/COUNT(G54:G61))/(SUM(I54:I61)-SUM(G54:G61)^2/COUNT(G54:G61)))*(G62-AVERAGE(G54:G61))</f>
        <v>0.29918937254809608</v>
      </c>
      <c r="O62" s="9">
        <f t="shared" ref="O62:O69" si="13">AVERAGE(H58:H61)</f>
        <v>-1.5</v>
      </c>
      <c r="P62" s="9">
        <f t="shared" ref="P62:P69" si="14">(H62-N62)^2</f>
        <v>0.49113553554953127</v>
      </c>
      <c r="Q62" s="9">
        <f t="shared" ref="Q62:Q69" si="15">(H62-O62)^2</f>
        <v>6.25</v>
      </c>
    </row>
    <row r="63" spans="1:17" ht="25" customHeight="1">
      <c r="A63" s="1"/>
      <c r="B63" s="1" t="s">
        <v>50</v>
      </c>
      <c r="C63" s="1" t="s">
        <v>75</v>
      </c>
      <c r="D63" s="1" t="s">
        <v>76</v>
      </c>
      <c r="E63" s="1" t="s">
        <v>77</v>
      </c>
      <c r="F63" s="1" t="s">
        <v>107</v>
      </c>
      <c r="G63" s="9">
        <f>'Quarterly market'!G49</f>
        <v>2.2805943792830075</v>
      </c>
      <c r="H63" s="9">
        <f>'PG history'!G72</f>
        <v>3</v>
      </c>
      <c r="I63" s="9">
        <f t="shared" si="0"/>
        <v>5.201110722817246</v>
      </c>
      <c r="J63" s="9">
        <f t="shared" si="1"/>
        <v>9</v>
      </c>
      <c r="K63" s="9">
        <f t="shared" si="2"/>
        <v>6.8417831378490224</v>
      </c>
      <c r="L63" s="9">
        <f>'Model tests'!H9+'Model tests'!G9*G63</f>
        <v>0.5097893557266886</v>
      </c>
      <c r="M63" s="9">
        <f t="shared" si="3"/>
        <v>2.4902106442733114</v>
      </c>
      <c r="N63" s="9">
        <f>AVERAGE(H54:H62)+((SUM(K54:K62)-SUM(G54:G62)*SUM(H54:H62)/COUNT(G54:G62))/(SUM(I54:I62)-SUM(G54:G62)^2/COUNT(G54:G62)))*(G63-AVERAGE(G54:G62))</f>
        <v>2.264713333395898</v>
      </c>
      <c r="O63" s="9">
        <f t="shared" si="13"/>
        <v>0</v>
      </c>
      <c r="P63" s="9">
        <f t="shared" si="14"/>
        <v>0.54064648208577193</v>
      </c>
      <c r="Q63" s="9">
        <f t="shared" si="15"/>
        <v>9</v>
      </c>
    </row>
    <row r="64" spans="1:17" ht="25" customHeight="1">
      <c r="A64" s="1"/>
      <c r="B64" s="1" t="s">
        <v>50</v>
      </c>
      <c r="C64" s="1" t="s">
        <v>75</v>
      </c>
      <c r="D64" s="1" t="s">
        <v>76</v>
      </c>
      <c r="E64" s="1" t="s">
        <v>77</v>
      </c>
      <c r="F64" s="1" t="s">
        <v>108</v>
      </c>
      <c r="G64" s="9">
        <f>'Quarterly market'!G50</f>
        <v>2.6501995362399722</v>
      </c>
      <c r="H64" s="9">
        <f>'PG history'!G79</f>
        <v>1</v>
      </c>
      <c r="I64" s="9">
        <f t="shared" si="0"/>
        <v>7.0235575818865632</v>
      </c>
      <c r="J64" s="9">
        <f t="shared" si="1"/>
        <v>1</v>
      </c>
      <c r="K64" s="9">
        <f t="shared" si="2"/>
        <v>2.6501995362399722</v>
      </c>
      <c r="L64" s="9">
        <f>'Model tests'!H9+'Model tests'!G9*G64</f>
        <v>1.0126294689496032</v>
      </c>
      <c r="M64" s="9">
        <f t="shared" si="3"/>
        <v>-1.2629468949603151E-2</v>
      </c>
      <c r="N64" s="9">
        <f>AVERAGE(H54:H63)+((SUM(K54:K63)-SUM(G54:G63)*SUM(H54:H63)/COUNT(G54:G63))/(SUM(I54:I63)-SUM(G54:G63)^2/COUNT(G54:G63)))*(G64-AVERAGE(G54:G63))</f>
        <v>3.1854541140628574</v>
      </c>
      <c r="O64" s="9">
        <f t="shared" si="13"/>
        <v>1.25</v>
      </c>
      <c r="P64" s="9">
        <f t="shared" si="14"/>
        <v>4.776209684674269</v>
      </c>
      <c r="Q64" s="9">
        <f t="shared" si="15"/>
        <v>6.25E-2</v>
      </c>
    </row>
    <row r="65" spans="1:17" ht="25" customHeight="1">
      <c r="A65" s="1"/>
      <c r="B65" s="1" t="s">
        <v>50</v>
      </c>
      <c r="C65" s="1" t="s">
        <v>75</v>
      </c>
      <c r="D65" s="1" t="s">
        <v>76</v>
      </c>
      <c r="E65" s="1" t="s">
        <v>77</v>
      </c>
      <c r="F65" s="1" t="s">
        <v>109</v>
      </c>
      <c r="G65" s="9">
        <f>'Quarterly market'!G51</f>
        <v>2.7872397144634187</v>
      </c>
      <c r="H65" s="9">
        <f>'PG history'!G86</f>
        <v>2</v>
      </c>
      <c r="I65" s="9">
        <f t="shared" si="0"/>
        <v>7.7687052258821199</v>
      </c>
      <c r="J65" s="9">
        <f t="shared" si="1"/>
        <v>4</v>
      </c>
      <c r="K65" s="9">
        <f t="shared" si="2"/>
        <v>5.5744794289268373</v>
      </c>
      <c r="L65" s="9">
        <f>'Model tests'!H9+'Model tests'!G9*G65</f>
        <v>1.1990697754142388</v>
      </c>
      <c r="M65" s="9">
        <f t="shared" si="3"/>
        <v>0.80093022458576124</v>
      </c>
      <c r="N65" s="9">
        <f>AVERAGE(H54:H64)+((SUM(K54:K64)-SUM(G54:G64)*SUM(H54:H64)/COUNT(G54:G64))/(SUM(I54:I64)-SUM(G54:G64)^2/COUNT(G54:G64)))*(G65-AVERAGE(G54:G64))</f>
        <v>3.0219913330070893</v>
      </c>
      <c r="O65" s="9">
        <f t="shared" si="13"/>
        <v>1.5</v>
      </c>
      <c r="P65" s="9">
        <f t="shared" si="14"/>
        <v>1.0444662847416073</v>
      </c>
      <c r="Q65" s="9">
        <f t="shared" si="15"/>
        <v>0.25</v>
      </c>
    </row>
    <row r="66" spans="1:17" ht="25" customHeight="1">
      <c r="A66" s="1"/>
      <c r="B66" s="1" t="s">
        <v>50</v>
      </c>
      <c r="C66" s="1" t="s">
        <v>75</v>
      </c>
      <c r="D66" s="1" t="s">
        <v>76</v>
      </c>
      <c r="E66" s="1" t="s">
        <v>77</v>
      </c>
      <c r="F66" s="1" t="s">
        <v>110</v>
      </c>
      <c r="G66" s="9">
        <f>'Quarterly market'!G52</f>
        <v>3.7498513143808809</v>
      </c>
      <c r="H66" s="9">
        <f>'PG history'!G93</f>
        <v>0</v>
      </c>
      <c r="I66" s="9">
        <f t="shared" si="0"/>
        <v>14.06138487996402</v>
      </c>
      <c r="J66" s="9">
        <f t="shared" si="1"/>
        <v>0</v>
      </c>
      <c r="K66" s="9">
        <f t="shared" si="2"/>
        <v>0</v>
      </c>
      <c r="L66" s="9">
        <f>'Model tests'!H9+'Model tests'!G9*G66</f>
        <v>2.5086827956366466</v>
      </c>
      <c r="M66" s="9">
        <f t="shared" si="3"/>
        <v>-2.5086827956366466</v>
      </c>
      <c r="N66" s="9">
        <f>AVERAGE(H54:H65)+((SUM(K54:K65)-SUM(G54:G65)*SUM(H54:H65)/COUNT(G54:G65))/(SUM(I54:I65)-SUM(G54:G65)^2/COUNT(G54:G65)))*(G66-AVERAGE(G54:G65))</f>
        <v>4.6819576783226653</v>
      </c>
      <c r="O66" s="9">
        <f t="shared" si="13"/>
        <v>1.75</v>
      </c>
      <c r="P66" s="9">
        <f t="shared" si="14"/>
        <v>21.920727701604562</v>
      </c>
      <c r="Q66" s="9">
        <f t="shared" si="15"/>
        <v>3.0625</v>
      </c>
    </row>
    <row r="67" spans="1:17" ht="25" customHeight="1">
      <c r="A67" s="1"/>
      <c r="B67" s="1" t="s">
        <v>50</v>
      </c>
      <c r="C67" s="1" t="s">
        <v>75</v>
      </c>
      <c r="D67" s="1" t="s">
        <v>76</v>
      </c>
      <c r="E67" s="1" t="s">
        <v>77</v>
      </c>
      <c r="F67" s="1" t="s">
        <v>111</v>
      </c>
      <c r="G67" s="9">
        <f>'Quarterly market'!G53</f>
        <v>3.2332744751814912</v>
      </c>
      <c r="H67" s="9">
        <f>'PG history'!G100</f>
        <v>0</v>
      </c>
      <c r="I67" s="9">
        <f t="shared" si="0"/>
        <v>10.454063831860148</v>
      </c>
      <c r="J67" s="9">
        <f t="shared" si="1"/>
        <v>0</v>
      </c>
      <c r="K67" s="9">
        <f t="shared" si="2"/>
        <v>0</v>
      </c>
      <c r="L67" s="9">
        <f>'Model tests'!H9+'Model tests'!G9*G67</f>
        <v>1.805890771710418</v>
      </c>
      <c r="M67" s="9">
        <f t="shared" si="3"/>
        <v>-1.805890771710418</v>
      </c>
      <c r="N67" s="9">
        <f>AVERAGE(H54:H66)+((SUM(K54:K66)-SUM(G54:G66)*SUM(H54:H66)/COUNT(G54:G66))/(SUM(I54:I66)-SUM(G54:G66)^2/COUNT(G54:G66)))*(G67-AVERAGE(G54:G66))</f>
        <v>2.7419762454784506</v>
      </c>
      <c r="O67" s="9">
        <f t="shared" si="13"/>
        <v>1.5</v>
      </c>
      <c r="P67" s="9">
        <f t="shared" si="14"/>
        <v>7.5184337307681011</v>
      </c>
      <c r="Q67" s="9">
        <f t="shared" si="15"/>
        <v>2.25</v>
      </c>
    </row>
    <row r="68" spans="1:17" ht="25" customHeight="1">
      <c r="A68" s="1"/>
      <c r="B68" s="1" t="s">
        <v>50</v>
      </c>
      <c r="C68" s="1" t="s">
        <v>75</v>
      </c>
      <c r="D68" s="1" t="s">
        <v>76</v>
      </c>
      <c r="E68" s="1" t="s">
        <v>77</v>
      </c>
      <c r="F68" s="1" t="s">
        <v>112</v>
      </c>
      <c r="G68" s="9">
        <f>'Quarterly market'!G54</f>
        <v>2.9967230915401322</v>
      </c>
      <c r="H68" s="9">
        <f>'PG history'!G107</f>
        <v>-2</v>
      </c>
      <c r="I68" s="9">
        <f t="shared" si="0"/>
        <v>8.9803492873698474</v>
      </c>
      <c r="J68" s="9">
        <f t="shared" si="1"/>
        <v>4</v>
      </c>
      <c r="K68" s="9">
        <f t="shared" si="2"/>
        <v>-5.9934461830802643</v>
      </c>
      <c r="L68" s="9">
        <f>'Model tests'!H9+'Model tests'!G9*G68</f>
        <v>1.4840675441543487</v>
      </c>
      <c r="M68" s="9">
        <f t="shared" si="3"/>
        <v>-3.4840675441543487</v>
      </c>
      <c r="N68" s="9">
        <f>AVERAGE(H54:H67)+((SUM(K54:K67)-SUM(G54:G67)*SUM(H54:H67)/COUNT(G54:G67))/(SUM(I54:I67)-SUM(G54:G67)^2/COUNT(G54:G67)))*(G68-AVERAGE(G54:G67))</f>
        <v>1.9751643036814659</v>
      </c>
      <c r="O68" s="9">
        <f t="shared" si="13"/>
        <v>0.75</v>
      </c>
      <c r="P68" s="9">
        <f t="shared" si="14"/>
        <v>15.801931241263356</v>
      </c>
      <c r="Q68" s="9">
        <f t="shared" si="15"/>
        <v>7.5625</v>
      </c>
    </row>
    <row r="69" spans="1:17" ht="25" customHeight="1">
      <c r="A69" s="1"/>
      <c r="B69" s="1" t="s">
        <v>50</v>
      </c>
      <c r="C69" s="1" t="s">
        <v>75</v>
      </c>
      <c r="D69" s="1" t="s">
        <v>76</v>
      </c>
      <c r="E69" s="1" t="s">
        <v>77</v>
      </c>
      <c r="F69" s="1" t="s">
        <v>113</v>
      </c>
      <c r="G69" s="9">
        <f>'Quarterly market'!G55</f>
        <v>2.1478108850594868</v>
      </c>
      <c r="H69" s="9">
        <f>'PG history'!G114</f>
        <v>0</v>
      </c>
      <c r="I69" s="9">
        <f t="shared" si="0"/>
        <v>4.6130915979800164</v>
      </c>
      <c r="J69" s="9">
        <f t="shared" si="1"/>
        <v>0</v>
      </c>
      <c r="K69" s="9">
        <f t="shared" si="2"/>
        <v>0</v>
      </c>
      <c r="L69" s="9">
        <f>'Model tests'!H9+'Model tests'!G9*G69</f>
        <v>0.32914017913182914</v>
      </c>
      <c r="M69" s="9">
        <f t="shared" si="3"/>
        <v>-0.32914017913182914</v>
      </c>
      <c r="N69" s="9">
        <f>AVERAGE(H54:H68)+((SUM(K54:K68)-SUM(G54:G68)*SUM(H54:H68)/COUNT(G54:G68))/(SUM(I54:I68)-SUM(G54:G68)^2/COUNT(G54:G68)))*(G69-AVERAGE(G54:G68))</f>
        <v>0.35415168146121123</v>
      </c>
      <c r="O69" s="9">
        <f t="shared" si="13"/>
        <v>0</v>
      </c>
      <c r="P69" s="9">
        <f t="shared" si="14"/>
        <v>0.12542341348180322</v>
      </c>
      <c r="Q69" s="9">
        <f t="shared" si="15"/>
        <v>0</v>
      </c>
    </row>
    <row r="70" spans="1:17" ht="25" customHeight="1">
      <c r="A70" s="1"/>
      <c r="B70" s="1" t="s">
        <v>55</v>
      </c>
      <c r="C70" s="1" t="s">
        <v>75</v>
      </c>
      <c r="D70" s="1" t="s">
        <v>76</v>
      </c>
      <c r="E70" s="1" t="s">
        <v>77</v>
      </c>
      <c r="F70" s="1" t="s">
        <v>98</v>
      </c>
      <c r="G70" s="9">
        <f>'Quarterly market'!G40</f>
        <v>3.5989104881054557</v>
      </c>
      <c r="H70" s="9">
        <f>'PG history'!G10</f>
        <v>2</v>
      </c>
      <c r="I70" s="9">
        <f t="shared" ref="I70:I133" si="16">G70*G70</f>
        <v>12.952156701395449</v>
      </c>
      <c r="J70" s="9">
        <f t="shared" ref="J70:J133" si="17">H70*H70</f>
        <v>4</v>
      </c>
      <c r="K70" s="9">
        <f t="shared" ref="K70:K133" si="18">G70*H70</f>
        <v>7.1978209762109113</v>
      </c>
      <c r="L70" s="9">
        <f>'Model tests'!H10+'Model tests'!G10*G70</f>
        <v>8.5899122413668039E-2</v>
      </c>
      <c r="M70" s="9">
        <f t="shared" ref="M70:M133" si="19">H70-L70</f>
        <v>1.914100877586332</v>
      </c>
      <c r="N70" s="9"/>
      <c r="O70" s="9"/>
      <c r="P70" s="9"/>
      <c r="Q70" s="9"/>
    </row>
    <row r="71" spans="1:17" ht="25" customHeight="1">
      <c r="A71" s="1"/>
      <c r="B71" s="1" t="s">
        <v>55</v>
      </c>
      <c r="C71" s="1" t="s">
        <v>75</v>
      </c>
      <c r="D71" s="1" t="s">
        <v>76</v>
      </c>
      <c r="E71" s="1" t="s">
        <v>77</v>
      </c>
      <c r="F71" s="1" t="s">
        <v>99</v>
      </c>
      <c r="G71" s="9">
        <f>'Quarterly market'!G41</f>
        <v>-3.7966210073037132E-2</v>
      </c>
      <c r="H71" s="9">
        <f>'PG history'!G17</f>
        <v>0</v>
      </c>
      <c r="I71" s="9">
        <f t="shared" si="16"/>
        <v>1.4414331073099862E-3</v>
      </c>
      <c r="J71" s="9">
        <f t="shared" si="17"/>
        <v>0</v>
      </c>
      <c r="K71" s="9">
        <f t="shared" si="18"/>
        <v>0</v>
      </c>
      <c r="L71" s="9">
        <f>'Model tests'!H10+'Model tests'!G10*G71</f>
        <v>-2.7132217846341828</v>
      </c>
      <c r="M71" s="9">
        <f t="shared" si="19"/>
        <v>2.7132217846341828</v>
      </c>
      <c r="N71" s="9"/>
      <c r="O71" s="9"/>
      <c r="P71" s="9"/>
      <c r="Q71" s="9"/>
    </row>
    <row r="72" spans="1:17" ht="25" customHeight="1">
      <c r="A72" s="1"/>
      <c r="B72" s="1" t="s">
        <v>55</v>
      </c>
      <c r="C72" s="1" t="s">
        <v>75</v>
      </c>
      <c r="D72" s="1" t="s">
        <v>76</v>
      </c>
      <c r="E72" s="1" t="s">
        <v>77</v>
      </c>
      <c r="F72" s="1" t="s">
        <v>100</v>
      </c>
      <c r="G72" s="9">
        <f>'Quarterly market'!G42</f>
        <v>-0.97428175390660288</v>
      </c>
      <c r="H72" s="9">
        <f>'PG history'!G24</f>
        <v>-3</v>
      </c>
      <c r="I72" s="9">
        <f t="shared" si="16"/>
        <v>0.94922493599532631</v>
      </c>
      <c r="J72" s="9">
        <f t="shared" si="17"/>
        <v>9</v>
      </c>
      <c r="K72" s="9">
        <f t="shared" si="18"/>
        <v>2.9228452617198086</v>
      </c>
      <c r="L72" s="9">
        <f>'Model tests'!H10+'Model tests'!G10*G72</f>
        <v>-3.433856722753216</v>
      </c>
      <c r="M72" s="9">
        <f t="shared" si="19"/>
        <v>0.43385672275321596</v>
      </c>
      <c r="N72" s="9"/>
      <c r="O72" s="9"/>
      <c r="P72" s="9"/>
      <c r="Q72" s="9"/>
    </row>
    <row r="73" spans="1:17" ht="25" customHeight="1">
      <c r="A73" s="1"/>
      <c r="B73" s="1" t="s">
        <v>55</v>
      </c>
      <c r="C73" s="1" t="s">
        <v>75</v>
      </c>
      <c r="D73" s="1" t="s">
        <v>76</v>
      </c>
      <c r="E73" s="1" t="s">
        <v>77</v>
      </c>
      <c r="F73" s="1" t="s">
        <v>101</v>
      </c>
      <c r="G73" s="9">
        <f>'Quarterly market'!G43</f>
        <v>-1.7083333333333339</v>
      </c>
      <c r="H73" s="9">
        <f>'PG history'!G31</f>
        <v>-6</v>
      </c>
      <c r="I73" s="9">
        <f t="shared" si="16"/>
        <v>2.9184027777777799</v>
      </c>
      <c r="J73" s="9">
        <f t="shared" si="17"/>
        <v>36</v>
      </c>
      <c r="K73" s="9">
        <f t="shared" si="18"/>
        <v>10.250000000000004</v>
      </c>
      <c r="L73" s="9">
        <f>'Model tests'!H10+'Model tests'!G10*G73</f>
        <v>-3.9988192698348759</v>
      </c>
      <c r="M73" s="9">
        <f t="shared" si="19"/>
        <v>-2.0011807301651241</v>
      </c>
      <c r="N73" s="9"/>
      <c r="O73" s="9"/>
      <c r="P73" s="9"/>
      <c r="Q73" s="9"/>
    </row>
    <row r="74" spans="1:17" ht="25" customHeight="1">
      <c r="A74" s="1"/>
      <c r="B74" s="1" t="s">
        <v>55</v>
      </c>
      <c r="C74" s="1" t="s">
        <v>75</v>
      </c>
      <c r="D74" s="1" t="s">
        <v>76</v>
      </c>
      <c r="E74" s="1" t="s">
        <v>77</v>
      </c>
      <c r="F74" s="1" t="s">
        <v>102</v>
      </c>
      <c r="G74" s="9">
        <f>'Quarterly market'!G44</f>
        <v>-0.51383557261676094</v>
      </c>
      <c r="H74" s="9">
        <f>'PG history'!G38</f>
        <v>-4</v>
      </c>
      <c r="I74" s="9">
        <f t="shared" si="16"/>
        <v>0.26402699568639459</v>
      </c>
      <c r="J74" s="9">
        <f t="shared" si="17"/>
        <v>16</v>
      </c>
      <c r="K74" s="9">
        <f t="shared" si="18"/>
        <v>2.0553422904670438</v>
      </c>
      <c r="L74" s="9">
        <f>'Model tests'!H10+'Model tests'!G10*G74</f>
        <v>-3.0794744767825866</v>
      </c>
      <c r="M74" s="9">
        <f t="shared" si="19"/>
        <v>-0.92052552321741343</v>
      </c>
      <c r="N74" s="9"/>
      <c r="O74" s="9"/>
      <c r="P74" s="9"/>
      <c r="Q74" s="9"/>
    </row>
    <row r="75" spans="1:17" ht="25" customHeight="1">
      <c r="A75" s="1"/>
      <c r="B75" s="1" t="s">
        <v>55</v>
      </c>
      <c r="C75" s="1" t="s">
        <v>75</v>
      </c>
      <c r="D75" s="1" t="s">
        <v>76</v>
      </c>
      <c r="E75" s="1" t="s">
        <v>77</v>
      </c>
      <c r="F75" s="1" t="s">
        <v>103</v>
      </c>
      <c r="G75" s="9">
        <f>'Quarterly market'!G45</f>
        <v>-0.38380425982746935</v>
      </c>
      <c r="H75" s="9">
        <f>'PG history'!G45</f>
        <v>0</v>
      </c>
      <c r="I75" s="9">
        <f t="shared" si="16"/>
        <v>0.1473057098617116</v>
      </c>
      <c r="J75" s="9">
        <f t="shared" si="17"/>
        <v>0</v>
      </c>
      <c r="K75" s="9">
        <f t="shared" si="18"/>
        <v>0</v>
      </c>
      <c r="L75" s="9">
        <f>'Model tests'!H10+'Model tests'!G10*G75</f>
        <v>-2.9793959213612058</v>
      </c>
      <c r="M75" s="9">
        <f t="shared" si="19"/>
        <v>2.9793959213612058</v>
      </c>
      <c r="N75" s="9"/>
      <c r="O75" s="9"/>
      <c r="P75" s="9"/>
      <c r="Q75" s="9"/>
    </row>
    <row r="76" spans="1:17" ht="25" customHeight="1">
      <c r="A76" s="1"/>
      <c r="B76" s="1" t="s">
        <v>55</v>
      </c>
      <c r="C76" s="1" t="s">
        <v>75</v>
      </c>
      <c r="D76" s="1" t="s">
        <v>76</v>
      </c>
      <c r="E76" s="1" t="s">
        <v>77</v>
      </c>
      <c r="F76" s="1" t="s">
        <v>104</v>
      </c>
      <c r="G76" s="9">
        <f>'Quarterly market'!G46</f>
        <v>1.1893013232361582</v>
      </c>
      <c r="H76" s="9">
        <f>'PG history'!G52</f>
        <v>-3</v>
      </c>
      <c r="I76" s="9">
        <f t="shared" si="16"/>
        <v>1.4144376374512768</v>
      </c>
      <c r="J76" s="9">
        <f t="shared" si="17"/>
        <v>9</v>
      </c>
      <c r="K76" s="9">
        <f t="shared" si="18"/>
        <v>-3.5679039697084747</v>
      </c>
      <c r="L76" s="9">
        <f>'Model tests'!H10+'Model tests'!G10*G76</f>
        <v>-1.768655747312283</v>
      </c>
      <c r="M76" s="9">
        <f t="shared" si="19"/>
        <v>-1.231344252687717</v>
      </c>
      <c r="N76" s="9"/>
      <c r="O76" s="9"/>
      <c r="P76" s="9"/>
      <c r="Q76" s="9"/>
    </row>
    <row r="77" spans="1:17" ht="25" customHeight="1">
      <c r="A77" s="1"/>
      <c r="B77" s="1" t="s">
        <v>55</v>
      </c>
      <c r="C77" s="1" t="s">
        <v>75</v>
      </c>
      <c r="D77" s="1" t="s">
        <v>76</v>
      </c>
      <c r="E77" s="1" t="s">
        <v>77</v>
      </c>
      <c r="F77" s="1" t="s">
        <v>105</v>
      </c>
      <c r="G77" s="9">
        <f>'Quarterly market'!G47</f>
        <v>2.2255192878338326</v>
      </c>
      <c r="H77" s="9">
        <f>'PG history'!G59</f>
        <v>-2</v>
      </c>
      <c r="I77" s="9">
        <f t="shared" si="16"/>
        <v>4.9529361005204091</v>
      </c>
      <c r="J77" s="9">
        <f t="shared" si="17"/>
        <v>4</v>
      </c>
      <c r="K77" s="9">
        <f t="shared" si="18"/>
        <v>-4.4510385756676651</v>
      </c>
      <c r="L77" s="9">
        <f>'Model tests'!H10+'Model tests'!G10*G77</f>
        <v>-0.97113094521585319</v>
      </c>
      <c r="M77" s="9">
        <f t="shared" si="19"/>
        <v>-1.0288690547841468</v>
      </c>
      <c r="N77" s="9"/>
      <c r="O77" s="9"/>
      <c r="P77" s="9"/>
      <c r="Q77" s="9"/>
    </row>
    <row r="78" spans="1:17" ht="25" customHeight="1">
      <c r="A78" s="1"/>
      <c r="B78" s="1" t="s">
        <v>55</v>
      </c>
      <c r="C78" s="1" t="s">
        <v>75</v>
      </c>
      <c r="D78" s="1" t="s">
        <v>76</v>
      </c>
      <c r="E78" s="1" t="s">
        <v>77</v>
      </c>
      <c r="F78" s="1" t="s">
        <v>106</v>
      </c>
      <c r="G78" s="9">
        <f>'Quarterly market'!G48</f>
        <v>1.3726160091641626</v>
      </c>
      <c r="H78" s="9">
        <f>'PG history'!G66</f>
        <v>-3</v>
      </c>
      <c r="I78" s="9">
        <f t="shared" si="16"/>
        <v>1.8840747086137526</v>
      </c>
      <c r="J78" s="9">
        <f t="shared" si="17"/>
        <v>9</v>
      </c>
      <c r="K78" s="9">
        <f t="shared" si="18"/>
        <v>-4.1178480274924878</v>
      </c>
      <c r="L78" s="9">
        <f>'Model tests'!H10+'Model tests'!G10*G78</f>
        <v>-1.6275676619760437</v>
      </c>
      <c r="M78" s="9">
        <f t="shared" si="19"/>
        <v>-1.3724323380239563</v>
      </c>
      <c r="N78" s="9">
        <f>AVERAGE(H70:H77)+((SUM(K70:K77)-SUM(G70:G77)*SUM(H70:H77)/COUNT(G70:G77))/(SUM(I70:I77)-SUM(G70:G77)^2/COUNT(G70:G77)))*(G78-AVERAGE(G70:G77))</f>
        <v>-1.0929295899743592</v>
      </c>
      <c r="O78" s="9">
        <f t="shared" ref="O78:O85" si="20">AVERAGE(H74:H77)</f>
        <v>-2.25</v>
      </c>
      <c r="P78" s="9">
        <f t="shared" ref="P78:P85" si="21">(H78-N78)^2</f>
        <v>3.636917548795366</v>
      </c>
      <c r="Q78" s="9">
        <f t="shared" ref="Q78:Q85" si="22">(H78-O78)^2</f>
        <v>0.5625</v>
      </c>
    </row>
    <row r="79" spans="1:17" ht="25" customHeight="1">
      <c r="A79" s="1"/>
      <c r="B79" s="1" t="s">
        <v>55</v>
      </c>
      <c r="C79" s="1" t="s">
        <v>75</v>
      </c>
      <c r="D79" s="1" t="s">
        <v>76</v>
      </c>
      <c r="E79" s="1" t="s">
        <v>77</v>
      </c>
      <c r="F79" s="1" t="s">
        <v>107</v>
      </c>
      <c r="G79" s="9">
        <f>'Quarterly market'!G49</f>
        <v>2.2805943792830075</v>
      </c>
      <c r="H79" s="9">
        <f>'PG history'!G73</f>
        <v>-1</v>
      </c>
      <c r="I79" s="9">
        <f t="shared" si="16"/>
        <v>5.201110722817246</v>
      </c>
      <c r="J79" s="9">
        <f t="shared" si="17"/>
        <v>1</v>
      </c>
      <c r="K79" s="9">
        <f t="shared" si="18"/>
        <v>-2.2805943792830075</v>
      </c>
      <c r="L79" s="9">
        <f>'Model tests'!H10+'Model tests'!G10*G79</f>
        <v>-0.92874241991606277</v>
      </c>
      <c r="M79" s="9">
        <f t="shared" si="19"/>
        <v>-7.1257580083937233E-2</v>
      </c>
      <c r="N79" s="9">
        <f>AVERAGE(H70:H78)+((SUM(K70:K78)-SUM(G70:G78)*SUM(H70:H78)/COUNT(G70:G78))/(SUM(I70:I78)-SUM(G70:G78)^2/COUNT(G70:G78)))*(G79-AVERAGE(G70:G78))</f>
        <v>-0.55878899456865505</v>
      </c>
      <c r="O79" s="9">
        <f t="shared" si="20"/>
        <v>-2</v>
      </c>
      <c r="P79" s="9">
        <f t="shared" si="21"/>
        <v>0.1946671513137383</v>
      </c>
      <c r="Q79" s="9">
        <f t="shared" si="22"/>
        <v>1</v>
      </c>
    </row>
    <row r="80" spans="1:17" ht="25" customHeight="1">
      <c r="A80" s="1"/>
      <c r="B80" s="1" t="s">
        <v>55</v>
      </c>
      <c r="C80" s="1" t="s">
        <v>75</v>
      </c>
      <c r="D80" s="1" t="s">
        <v>76</v>
      </c>
      <c r="E80" s="1" t="s">
        <v>77</v>
      </c>
      <c r="F80" s="1" t="s">
        <v>108</v>
      </c>
      <c r="G80" s="9">
        <f>'Quarterly market'!G50</f>
        <v>2.6501995362399722</v>
      </c>
      <c r="H80" s="9">
        <f>'PG history'!G80</f>
        <v>-1</v>
      </c>
      <c r="I80" s="9">
        <f t="shared" si="16"/>
        <v>7.0235575818865632</v>
      </c>
      <c r="J80" s="9">
        <f t="shared" si="17"/>
        <v>1</v>
      </c>
      <c r="K80" s="9">
        <f t="shared" si="18"/>
        <v>-2.6501995362399722</v>
      </c>
      <c r="L80" s="9">
        <f>'Model tests'!H10+'Model tests'!G10*G80</f>
        <v>-0.64427593725826471</v>
      </c>
      <c r="M80" s="9">
        <f t="shared" si="19"/>
        <v>-0.35572406274173529</v>
      </c>
      <c r="N80" s="9">
        <f>AVERAGE(H70:H79)+((SUM(K70:K79)-SUM(G70:G79)*SUM(H70:H79)/COUNT(G70:G79))/(SUM(I70:I79)-SUM(G70:G79)^2/COUNT(G70:G79)))*(G80-AVERAGE(G70:G79))</f>
        <v>-0.32779548471002484</v>
      </c>
      <c r="O80" s="9">
        <f t="shared" si="20"/>
        <v>-2.25</v>
      </c>
      <c r="P80" s="9">
        <f t="shared" si="21"/>
        <v>0.45185891037623044</v>
      </c>
      <c r="Q80" s="9">
        <f t="shared" si="22"/>
        <v>1.5625</v>
      </c>
    </row>
    <row r="81" spans="1:17" ht="25" customHeight="1">
      <c r="A81" s="1"/>
      <c r="B81" s="1" t="s">
        <v>55</v>
      </c>
      <c r="C81" s="1" t="s">
        <v>75</v>
      </c>
      <c r="D81" s="1" t="s">
        <v>76</v>
      </c>
      <c r="E81" s="1" t="s">
        <v>77</v>
      </c>
      <c r="F81" s="1" t="s">
        <v>109</v>
      </c>
      <c r="G81" s="9">
        <f>'Quarterly market'!G51</f>
        <v>2.7872397144634187</v>
      </c>
      <c r="H81" s="9">
        <f>'PG history'!G87</f>
        <v>4</v>
      </c>
      <c r="I81" s="9">
        <f t="shared" si="16"/>
        <v>7.7687052258821199</v>
      </c>
      <c r="J81" s="9">
        <f t="shared" si="17"/>
        <v>16</v>
      </c>
      <c r="K81" s="9">
        <f t="shared" si="18"/>
        <v>11.148958857853675</v>
      </c>
      <c r="L81" s="9">
        <f>'Model tests'!H10+'Model tests'!G10*G81</f>
        <v>-0.53880301095231298</v>
      </c>
      <c r="M81" s="9">
        <f t="shared" si="19"/>
        <v>4.5388030109523125</v>
      </c>
      <c r="N81" s="9">
        <f>AVERAGE(H70:H80)+((SUM(K70:K80)-SUM(G70:G80)*SUM(H70:H80)/COUNT(G70:G80))/(SUM(I70:I80)-SUM(G70:G80)^2/COUNT(G70:G80)))*(G81-AVERAGE(G70:G80))</f>
        <v>-0.34879657311399814</v>
      </c>
      <c r="O81" s="9">
        <f t="shared" si="20"/>
        <v>-1.75</v>
      </c>
      <c r="P81" s="9">
        <f t="shared" si="21"/>
        <v>18.912031634328052</v>
      </c>
      <c r="Q81" s="9">
        <f t="shared" si="22"/>
        <v>33.0625</v>
      </c>
    </row>
    <row r="82" spans="1:17" ht="25" customHeight="1">
      <c r="A82" s="1"/>
      <c r="B82" s="1" t="s">
        <v>55</v>
      </c>
      <c r="C82" s="1" t="s">
        <v>75</v>
      </c>
      <c r="D82" s="1" t="s">
        <v>76</v>
      </c>
      <c r="E82" s="1" t="s">
        <v>77</v>
      </c>
      <c r="F82" s="1" t="s">
        <v>110</v>
      </c>
      <c r="G82" s="9">
        <f>'Quarterly market'!G52</f>
        <v>3.7498513143808809</v>
      </c>
      <c r="H82" s="9">
        <f>'PG history'!G94</f>
        <v>-2</v>
      </c>
      <c r="I82" s="9">
        <f t="shared" si="16"/>
        <v>14.06138487996402</v>
      </c>
      <c r="J82" s="9">
        <f t="shared" si="17"/>
        <v>4</v>
      </c>
      <c r="K82" s="9">
        <f t="shared" si="18"/>
        <v>-7.4997026287617619</v>
      </c>
      <c r="L82" s="9">
        <f>'Model tests'!H10+'Model tests'!G10*G82</f>
        <v>0.20207067773921095</v>
      </c>
      <c r="M82" s="9">
        <f t="shared" si="19"/>
        <v>-2.2020706777392109</v>
      </c>
      <c r="N82" s="9">
        <f>AVERAGE(H70:H81)+((SUM(K70:K81)-SUM(G70:G81)*SUM(H70:H81)/COUNT(G70:G81))/(SUM(I70:I81)-SUM(G70:G81)^2/COUNT(G70:G81)))*(G82-AVERAGE(G70:G81))</f>
        <v>1.4353504483235715</v>
      </c>
      <c r="O82" s="9">
        <f t="shared" si="20"/>
        <v>-0.25</v>
      </c>
      <c r="P82" s="9">
        <f t="shared" si="21"/>
        <v>11.801632702796965</v>
      </c>
      <c r="Q82" s="9">
        <f t="shared" si="22"/>
        <v>3.0625</v>
      </c>
    </row>
    <row r="83" spans="1:17" ht="25" customHeight="1">
      <c r="A83" s="1"/>
      <c r="B83" s="1" t="s">
        <v>55</v>
      </c>
      <c r="C83" s="1" t="s">
        <v>75</v>
      </c>
      <c r="D83" s="1" t="s">
        <v>76</v>
      </c>
      <c r="E83" s="1" t="s">
        <v>77</v>
      </c>
      <c r="F83" s="1" t="s">
        <v>111</v>
      </c>
      <c r="G83" s="9">
        <f>'Quarterly market'!G53</f>
        <v>3.2332744751814912</v>
      </c>
      <c r="H83" s="9">
        <f>'PG history'!G101</f>
        <v>0</v>
      </c>
      <c r="I83" s="9">
        <f t="shared" si="16"/>
        <v>10.454063831860148</v>
      </c>
      <c r="J83" s="9">
        <f t="shared" si="17"/>
        <v>0</v>
      </c>
      <c r="K83" s="9">
        <f t="shared" si="18"/>
        <v>0</v>
      </c>
      <c r="L83" s="9">
        <f>'Model tests'!H10+'Model tests'!G10*G83</f>
        <v>-0.19551250989646229</v>
      </c>
      <c r="M83" s="9">
        <f t="shared" si="19"/>
        <v>0.19551250989646229</v>
      </c>
      <c r="N83" s="9">
        <f>AVERAGE(H70:H82)+((SUM(K70:K82)-SUM(G70:G82)*SUM(H70:H82)/COUNT(G70:G82))/(SUM(I70:I82)-SUM(G70:G82)^2/COUNT(G70:G82)))*(G83-AVERAGE(G70:G82))</f>
        <v>0.19307504482889493</v>
      </c>
      <c r="O83" s="9">
        <f t="shared" si="20"/>
        <v>0</v>
      </c>
      <c r="P83" s="9">
        <f t="shared" si="21"/>
        <v>3.7277972935679783E-2</v>
      </c>
      <c r="Q83" s="9">
        <f t="shared" si="22"/>
        <v>0</v>
      </c>
    </row>
    <row r="84" spans="1:17" ht="25" customHeight="1">
      <c r="A84" s="1"/>
      <c r="B84" s="1" t="s">
        <v>55</v>
      </c>
      <c r="C84" s="1" t="s">
        <v>75</v>
      </c>
      <c r="D84" s="1" t="s">
        <v>76</v>
      </c>
      <c r="E84" s="1" t="s">
        <v>77</v>
      </c>
      <c r="F84" s="1" t="s">
        <v>112</v>
      </c>
      <c r="G84" s="9">
        <f>'Quarterly market'!G54</f>
        <v>2.9967230915401322</v>
      </c>
      <c r="H84" s="9">
        <f>'PG history'!G108</f>
        <v>0</v>
      </c>
      <c r="I84" s="9">
        <f t="shared" si="16"/>
        <v>8.9803492873698474</v>
      </c>
      <c r="J84" s="9">
        <f t="shared" si="17"/>
        <v>0</v>
      </c>
      <c r="K84" s="9">
        <f t="shared" si="18"/>
        <v>0</v>
      </c>
      <c r="L84" s="9">
        <f>'Model tests'!H10+'Model tests'!G10*G84</f>
        <v>-0.37757420142239528</v>
      </c>
      <c r="M84" s="9">
        <f t="shared" si="19"/>
        <v>0.37757420142239528</v>
      </c>
      <c r="N84" s="9">
        <f>AVERAGE(H70:H83)+((SUM(K70:K83)-SUM(G70:G83)*SUM(H70:H83)/COUNT(G70:G83))/(SUM(I70:I83)-SUM(G70:G83)^2/COUNT(G70:G83)))*(G84-AVERAGE(G70:G83))</f>
        <v>-3.1273276133657157E-2</v>
      </c>
      <c r="O84" s="9">
        <f t="shared" si="20"/>
        <v>0.25</v>
      </c>
      <c r="P84" s="9">
        <f t="shared" si="21"/>
        <v>9.7801780013197031E-4</v>
      </c>
      <c r="Q84" s="9">
        <f t="shared" si="22"/>
        <v>6.25E-2</v>
      </c>
    </row>
    <row r="85" spans="1:17" ht="25" customHeight="1">
      <c r="A85" s="1"/>
      <c r="B85" s="1" t="s">
        <v>55</v>
      </c>
      <c r="C85" s="1" t="s">
        <v>75</v>
      </c>
      <c r="D85" s="1" t="s">
        <v>76</v>
      </c>
      <c r="E85" s="1" t="s">
        <v>77</v>
      </c>
      <c r="F85" s="1" t="s">
        <v>113</v>
      </c>
      <c r="G85" s="9">
        <f>'Quarterly market'!G55</f>
        <v>2.1478108850594868</v>
      </c>
      <c r="H85" s="9">
        <f>'PG history'!G115</f>
        <v>-5</v>
      </c>
      <c r="I85" s="9">
        <f t="shared" si="16"/>
        <v>4.6130915979800164</v>
      </c>
      <c r="J85" s="9">
        <f t="shared" si="17"/>
        <v>25</v>
      </c>
      <c r="K85" s="9">
        <f t="shared" si="18"/>
        <v>-10.739054425297434</v>
      </c>
      <c r="L85" s="9">
        <f>'Model tests'!H10+'Model tests'!G10*G85</f>
        <v>-1.0309391908371326</v>
      </c>
      <c r="M85" s="9">
        <f t="shared" si="19"/>
        <v>-3.9690608091628672</v>
      </c>
      <c r="N85" s="9">
        <f>AVERAGE(H70:H84)+((SUM(K70:K84)-SUM(G70:G84)*SUM(H70:H84)/COUNT(G70:G84))/(SUM(I70:I84)-SUM(G70:G84)^2/COUNT(G70:G84)))*(G85-AVERAGE(G70:G84))</f>
        <v>-0.72932857029337372</v>
      </c>
      <c r="O85" s="9">
        <f t="shared" si="20"/>
        <v>0.5</v>
      </c>
      <c r="P85" s="9">
        <f t="shared" si="21"/>
        <v>18.238634460512436</v>
      </c>
      <c r="Q85" s="9">
        <f t="shared" si="22"/>
        <v>30.25</v>
      </c>
    </row>
    <row r="86" spans="1:17" ht="25" customHeight="1">
      <c r="A86" s="1"/>
      <c r="B86" s="1" t="s">
        <v>34</v>
      </c>
      <c r="C86" s="1" t="s">
        <v>79</v>
      </c>
      <c r="D86" s="1" t="s">
        <v>80</v>
      </c>
      <c r="E86" s="1" t="s">
        <v>77</v>
      </c>
      <c r="F86" s="1" t="s">
        <v>98</v>
      </c>
      <c r="G86" s="9">
        <f>'Quarterly market'!G73</f>
        <v>1.0280001916822545</v>
      </c>
      <c r="H86" s="9">
        <f>'PG history'!H6</f>
        <v>4</v>
      </c>
      <c r="I86" s="9">
        <f t="shared" si="16"/>
        <v>1.056784394098752</v>
      </c>
      <c r="J86" s="9">
        <f t="shared" si="17"/>
        <v>16</v>
      </c>
      <c r="K86" s="9">
        <f t="shared" si="18"/>
        <v>4.1120007667290182</v>
      </c>
      <c r="L86" s="9">
        <f>'Model tests'!H11+'Model tests'!G11*G86</f>
        <v>2.3374893022601526</v>
      </c>
      <c r="M86" s="9">
        <f t="shared" si="19"/>
        <v>1.6625106977398474</v>
      </c>
      <c r="N86" s="9"/>
      <c r="O86" s="9"/>
      <c r="P86" s="9"/>
      <c r="Q86" s="9"/>
    </row>
    <row r="87" spans="1:17" ht="25" customHeight="1">
      <c r="A87" s="1"/>
      <c r="B87" s="1" t="s">
        <v>34</v>
      </c>
      <c r="C87" s="1" t="s">
        <v>79</v>
      </c>
      <c r="D87" s="1" t="s">
        <v>80</v>
      </c>
      <c r="E87" s="1" t="s">
        <v>77</v>
      </c>
      <c r="F87" s="1" t="s">
        <v>99</v>
      </c>
      <c r="G87" s="9">
        <f>'Quarterly market'!G74</f>
        <v>2.9122729416084958</v>
      </c>
      <c r="H87" s="9">
        <f>'PG history'!H13</f>
        <v>6</v>
      </c>
      <c r="I87" s="9">
        <f t="shared" si="16"/>
        <v>8.4813336864250015</v>
      </c>
      <c r="J87" s="9">
        <f t="shared" si="17"/>
        <v>36</v>
      </c>
      <c r="K87" s="9">
        <f t="shared" si="18"/>
        <v>17.473637649650975</v>
      </c>
      <c r="L87" s="9">
        <f>'Model tests'!H11+'Model tests'!G11*G87</f>
        <v>4.1527243451867086</v>
      </c>
      <c r="M87" s="9">
        <f t="shared" si="19"/>
        <v>1.8472756548132914</v>
      </c>
      <c r="N87" s="9"/>
      <c r="O87" s="9"/>
      <c r="P87" s="9"/>
      <c r="Q87" s="9"/>
    </row>
    <row r="88" spans="1:17" ht="25" customHeight="1">
      <c r="A88" s="1"/>
      <c r="B88" s="1" t="s">
        <v>34</v>
      </c>
      <c r="C88" s="1" t="s">
        <v>79</v>
      </c>
      <c r="D88" s="1" t="s">
        <v>80</v>
      </c>
      <c r="E88" s="1" t="s">
        <v>77</v>
      </c>
      <c r="F88" s="1" t="s">
        <v>100</v>
      </c>
      <c r="G88" s="9">
        <f>'Quarterly market'!G75</f>
        <v>5.8502773415310738</v>
      </c>
      <c r="H88" s="9">
        <f>'PG history'!H20</f>
        <v>7</v>
      </c>
      <c r="I88" s="9">
        <f t="shared" si="16"/>
        <v>34.22574497283189</v>
      </c>
      <c r="J88" s="9">
        <f t="shared" si="17"/>
        <v>49</v>
      </c>
      <c r="K88" s="9">
        <f t="shared" si="18"/>
        <v>40.951941390717515</v>
      </c>
      <c r="L88" s="9">
        <f>'Model tests'!H11+'Model tests'!G11*G88</f>
        <v>6.983083454939071</v>
      </c>
      <c r="M88" s="9">
        <f t="shared" si="19"/>
        <v>1.6916545060928989E-2</v>
      </c>
      <c r="N88" s="9"/>
      <c r="O88" s="9"/>
      <c r="P88" s="9"/>
      <c r="Q88" s="9"/>
    </row>
    <row r="89" spans="1:17" ht="25" customHeight="1">
      <c r="A89" s="1"/>
      <c r="B89" s="1" t="s">
        <v>34</v>
      </c>
      <c r="C89" s="1" t="s">
        <v>79</v>
      </c>
      <c r="D89" s="1" t="s">
        <v>80</v>
      </c>
      <c r="E89" s="1" t="s">
        <v>77</v>
      </c>
      <c r="F89" s="1" t="s">
        <v>101</v>
      </c>
      <c r="G89" s="9">
        <f>'Quarterly market'!G76</f>
        <v>7.2560334575520802</v>
      </c>
      <c r="H89" s="9">
        <f>'PG history'!H27</f>
        <v>9</v>
      </c>
      <c r="I89" s="9">
        <f t="shared" si="16"/>
        <v>52.650021537115194</v>
      </c>
      <c r="J89" s="9">
        <f t="shared" si="17"/>
        <v>81</v>
      </c>
      <c r="K89" s="9">
        <f t="shared" si="18"/>
        <v>65.30430111796872</v>
      </c>
      <c r="L89" s="9">
        <f>'Model tests'!H11+'Model tests'!G11*G89</f>
        <v>8.3373341936973269</v>
      </c>
      <c r="M89" s="9">
        <f t="shared" si="19"/>
        <v>0.66266580630267313</v>
      </c>
      <c r="N89" s="9"/>
      <c r="O89" s="9"/>
      <c r="P89" s="9"/>
      <c r="Q89" s="9"/>
    </row>
    <row r="90" spans="1:17" ht="25" customHeight="1">
      <c r="A90" s="1"/>
      <c r="B90" s="1" t="s">
        <v>34</v>
      </c>
      <c r="C90" s="1" t="s">
        <v>79</v>
      </c>
      <c r="D90" s="1" t="s">
        <v>80</v>
      </c>
      <c r="E90" s="1" t="s">
        <v>77</v>
      </c>
      <c r="F90" s="1" t="s">
        <v>102</v>
      </c>
      <c r="G90" s="9">
        <f>'Quarterly market'!G77</f>
        <v>6.772394023448336</v>
      </c>
      <c r="H90" s="9">
        <f>'PG history'!H34</f>
        <v>8</v>
      </c>
      <c r="I90" s="9">
        <f t="shared" si="16"/>
        <v>45.865320808838739</v>
      </c>
      <c r="J90" s="9">
        <f t="shared" si="17"/>
        <v>64</v>
      </c>
      <c r="K90" s="9">
        <f t="shared" si="18"/>
        <v>54.179152187586688</v>
      </c>
      <c r="L90" s="9">
        <f>'Model tests'!H11+'Model tests'!G11*G90</f>
        <v>7.8714147831657826</v>
      </c>
      <c r="M90" s="9">
        <f t="shared" si="19"/>
        <v>0.12858521683421742</v>
      </c>
      <c r="N90" s="9"/>
      <c r="O90" s="9"/>
      <c r="P90" s="9"/>
      <c r="Q90" s="9"/>
    </row>
    <row r="91" spans="1:17" ht="25" customHeight="1">
      <c r="A91" s="1"/>
      <c r="B91" s="1" t="s">
        <v>34</v>
      </c>
      <c r="C91" s="1" t="s">
        <v>79</v>
      </c>
      <c r="D91" s="1" t="s">
        <v>80</v>
      </c>
      <c r="E91" s="1" t="s">
        <v>77</v>
      </c>
      <c r="F91" s="1" t="s">
        <v>103</v>
      </c>
      <c r="G91" s="9">
        <f>'Quarterly market'!G78</f>
        <v>7.0582272321790596</v>
      </c>
      <c r="H91" s="9">
        <f>'PG history'!H41</f>
        <v>8</v>
      </c>
      <c r="I91" s="9">
        <f t="shared" si="16"/>
        <v>49.818571661074067</v>
      </c>
      <c r="J91" s="9">
        <f t="shared" si="17"/>
        <v>64</v>
      </c>
      <c r="K91" s="9">
        <f t="shared" si="18"/>
        <v>56.465817857432477</v>
      </c>
      <c r="L91" s="9">
        <f>'Model tests'!H11+'Model tests'!G11*G91</f>
        <v>8.1467753735794908</v>
      </c>
      <c r="M91" s="9">
        <f t="shared" si="19"/>
        <v>-0.14677537357949078</v>
      </c>
      <c r="N91" s="9"/>
      <c r="O91" s="9"/>
      <c r="P91" s="9"/>
      <c r="Q91" s="9"/>
    </row>
    <row r="92" spans="1:17" ht="25" customHeight="1">
      <c r="A92" s="1"/>
      <c r="B92" s="1" t="s">
        <v>34</v>
      </c>
      <c r="C92" s="1" t="s">
        <v>79</v>
      </c>
      <c r="D92" s="1" t="s">
        <v>80</v>
      </c>
      <c r="E92" s="1" t="s">
        <v>77</v>
      </c>
      <c r="F92" s="1" t="s">
        <v>104</v>
      </c>
      <c r="G92" s="9">
        <f>'Quarterly market'!G79</f>
        <v>5.4935927157217401</v>
      </c>
      <c r="H92" s="9">
        <f>'PG history'!H48</f>
        <v>7</v>
      </c>
      <c r="I92" s="9">
        <f t="shared" si="16"/>
        <v>30.179560926230963</v>
      </c>
      <c r="J92" s="9">
        <f t="shared" si="17"/>
        <v>49</v>
      </c>
      <c r="K92" s="9">
        <f t="shared" si="18"/>
        <v>38.455149010052182</v>
      </c>
      <c r="L92" s="9">
        <f>'Model tests'!H11+'Model tests'!G11*G92</f>
        <v>6.6394673664149479</v>
      </c>
      <c r="M92" s="9">
        <f t="shared" si="19"/>
        <v>0.36053263358505205</v>
      </c>
      <c r="N92" s="9"/>
      <c r="O92" s="9"/>
      <c r="P92" s="9"/>
      <c r="Q92" s="9"/>
    </row>
    <row r="93" spans="1:17" ht="25" customHeight="1">
      <c r="A93" s="1"/>
      <c r="B93" s="1" t="s">
        <v>34</v>
      </c>
      <c r="C93" s="1" t="s">
        <v>79</v>
      </c>
      <c r="D93" s="1" t="s">
        <v>80</v>
      </c>
      <c r="E93" s="1" t="s">
        <v>77</v>
      </c>
      <c r="F93" s="1" t="s">
        <v>105</v>
      </c>
      <c r="G93" s="9">
        <f>'Quarterly market'!G80</f>
        <v>4.2122165191533556</v>
      </c>
      <c r="H93" s="9">
        <f>'PG history'!H55</f>
        <v>4</v>
      </c>
      <c r="I93" s="9">
        <f t="shared" si="16"/>
        <v>17.742768004228413</v>
      </c>
      <c r="J93" s="9">
        <f t="shared" si="17"/>
        <v>16</v>
      </c>
      <c r="K93" s="9">
        <f t="shared" si="18"/>
        <v>16.848866076613422</v>
      </c>
      <c r="L93" s="9">
        <f>'Model tests'!H11+'Model tests'!G11*G93</f>
        <v>5.4050394019528349</v>
      </c>
      <c r="M93" s="9">
        <f t="shared" si="19"/>
        <v>-1.4050394019528349</v>
      </c>
      <c r="N93" s="9"/>
      <c r="O93" s="9"/>
      <c r="P93" s="9"/>
      <c r="Q93" s="9"/>
    </row>
    <row r="94" spans="1:17" ht="25" customHeight="1">
      <c r="A94" s="1"/>
      <c r="B94" s="1" t="s">
        <v>34</v>
      </c>
      <c r="C94" s="1" t="s">
        <v>79</v>
      </c>
      <c r="D94" s="1" t="s">
        <v>80</v>
      </c>
      <c r="E94" s="1" t="s">
        <v>77</v>
      </c>
      <c r="F94" s="1" t="s">
        <v>106</v>
      </c>
      <c r="G94" s="9">
        <f>'Quarterly market'!G81</f>
        <v>3.636809635836169</v>
      </c>
      <c r="H94" s="9">
        <f>'PG history'!H62</f>
        <v>4</v>
      </c>
      <c r="I94" s="9">
        <f t="shared" si="16"/>
        <v>13.226384327310809</v>
      </c>
      <c r="J94" s="9">
        <f t="shared" si="17"/>
        <v>16</v>
      </c>
      <c r="K94" s="9">
        <f t="shared" si="18"/>
        <v>14.547238543344676</v>
      </c>
      <c r="L94" s="9">
        <f>'Model tests'!H11+'Model tests'!G11*G94</f>
        <v>4.8507148018760171</v>
      </c>
      <c r="M94" s="9">
        <f t="shared" si="19"/>
        <v>-0.85071480187601711</v>
      </c>
      <c r="N94" s="9">
        <f>AVERAGE(H86:H93)+((SUM(K86:K93)-SUM(G86:G93)*SUM(H86:H93)/COUNT(G86:G93))/(SUM(I86:I93)-SUM(G86:G93)^2/COUNT(G86:G93)))*(G94-AVERAGE(G86:G93))</f>
        <v>5.5766398548496978</v>
      </c>
      <c r="O94" s="9">
        <f t="shared" ref="O94:O101" si="23">AVERAGE(H90:H93)</f>
        <v>6.75</v>
      </c>
      <c r="P94" s="9">
        <f t="shared" ref="P94:P101" si="24">(H94-N94)^2</f>
        <v>2.4857932319004763</v>
      </c>
      <c r="Q94" s="9">
        <f t="shared" ref="Q94:Q101" si="25">(H94-O94)^2</f>
        <v>7.5625</v>
      </c>
    </row>
    <row r="95" spans="1:17" ht="25" customHeight="1">
      <c r="A95" s="1"/>
      <c r="B95" s="1" t="s">
        <v>34</v>
      </c>
      <c r="C95" s="1" t="s">
        <v>79</v>
      </c>
      <c r="D95" s="1" t="s">
        <v>80</v>
      </c>
      <c r="E95" s="1" t="s">
        <v>77</v>
      </c>
      <c r="F95" s="1" t="s">
        <v>107</v>
      </c>
      <c r="G95" s="9">
        <f>'Quarterly market'!G82</f>
        <v>1.6547550061168037</v>
      </c>
      <c r="H95" s="9">
        <f>'PG history'!H69</f>
        <v>3</v>
      </c>
      <c r="I95" s="9">
        <f t="shared" si="16"/>
        <v>2.7382141302686231</v>
      </c>
      <c r="J95" s="9">
        <f t="shared" si="17"/>
        <v>9</v>
      </c>
      <c r="K95" s="9">
        <f t="shared" si="18"/>
        <v>4.9642650183504111</v>
      </c>
      <c r="L95" s="9">
        <f>'Model tests'!H11+'Model tests'!G11*G95</f>
        <v>2.9412805010285155</v>
      </c>
      <c r="M95" s="9">
        <f t="shared" si="19"/>
        <v>5.8719498971484541E-2</v>
      </c>
      <c r="N95" s="9">
        <f>AVERAGE(H86:H94)+((SUM(K86:K94)-SUM(G86:G94)*SUM(H86:H94)/COUNT(G86:G94))/(SUM(I86:I94)-SUM(G86:G94)^2/COUNT(G86:G94)))*(G95-AVERAGE(G86:G94))</f>
        <v>3.7722463109458593</v>
      </c>
      <c r="O95" s="9">
        <f t="shared" si="23"/>
        <v>5.75</v>
      </c>
      <c r="P95" s="9">
        <f t="shared" si="24"/>
        <v>0.59636436476948873</v>
      </c>
      <c r="Q95" s="9">
        <f t="shared" si="25"/>
        <v>7.5625</v>
      </c>
    </row>
    <row r="96" spans="1:17" ht="25" customHeight="1">
      <c r="A96" s="1"/>
      <c r="B96" s="1" t="s">
        <v>34</v>
      </c>
      <c r="C96" s="1" t="s">
        <v>79</v>
      </c>
      <c r="D96" s="1" t="s">
        <v>80</v>
      </c>
      <c r="E96" s="1" t="s">
        <v>77</v>
      </c>
      <c r="F96" s="1" t="s">
        <v>108</v>
      </c>
      <c r="G96" s="9">
        <f>'Quarterly market'!G83</f>
        <v>0.37330111522773102</v>
      </c>
      <c r="H96" s="9">
        <f>'PG history'!H76</f>
        <v>1</v>
      </c>
      <c r="I96" s="9">
        <f t="shared" si="16"/>
        <v>0.13935372263026771</v>
      </c>
      <c r="J96" s="9">
        <f t="shared" si="17"/>
        <v>1</v>
      </c>
      <c r="K96" s="9">
        <f t="shared" si="18"/>
        <v>0.37330111522773102</v>
      </c>
      <c r="L96" s="9">
        <f>'Model tests'!H11+'Model tests'!G11*G96</f>
        <v>1.706777688881238</v>
      </c>
      <c r="M96" s="9">
        <f t="shared" si="19"/>
        <v>-0.70677768888123804</v>
      </c>
      <c r="N96" s="9">
        <f>AVERAGE(H86:H95)+((SUM(K86:K95)-SUM(G86:G95)*SUM(H86:H95)/COUNT(G86:G95))/(SUM(I86:I95)-SUM(G86:G95)^2/COUNT(G86:G95)))*(G96-AVERAGE(G86:G95))</f>
        <v>2.4782642456361663</v>
      </c>
      <c r="O96" s="9">
        <f t="shared" si="23"/>
        <v>4.5</v>
      </c>
      <c r="P96" s="9">
        <f t="shared" si="24"/>
        <v>2.1852651799262639</v>
      </c>
      <c r="Q96" s="9">
        <f t="shared" si="25"/>
        <v>12.25</v>
      </c>
    </row>
    <row r="97" spans="1:17" ht="25" customHeight="1">
      <c r="A97" s="1"/>
      <c r="B97" s="1" t="s">
        <v>34</v>
      </c>
      <c r="C97" s="1" t="s">
        <v>79</v>
      </c>
      <c r="D97" s="1" t="s">
        <v>80</v>
      </c>
      <c r="E97" s="1" t="s">
        <v>77</v>
      </c>
      <c r="F97" s="1" t="s">
        <v>109</v>
      </c>
      <c r="G97" s="9">
        <f>'Quarterly market'!G84</f>
        <v>0.34106845677743802</v>
      </c>
      <c r="H97" s="9">
        <f>'PG history'!H83</f>
        <v>2</v>
      </c>
      <c r="I97" s="9">
        <f t="shared" si="16"/>
        <v>0.11632769220854311</v>
      </c>
      <c r="J97" s="9">
        <f t="shared" si="17"/>
        <v>4</v>
      </c>
      <c r="K97" s="9">
        <f t="shared" si="18"/>
        <v>0.68213691355487605</v>
      </c>
      <c r="L97" s="9">
        <f>'Model tests'!H11+'Model tests'!G11*G97</f>
        <v>1.6757260000278356</v>
      </c>
      <c r="M97" s="9">
        <f t="shared" si="19"/>
        <v>0.32427399997216444</v>
      </c>
      <c r="N97" s="9">
        <f>AVERAGE(H86:H96)+((SUM(K86:K96)-SUM(G86:G96)*SUM(H86:H96)/COUNT(G86:G96))/(SUM(I86:I96)-SUM(G86:G96)^2/COUNT(G86:G96)))*(G97-AVERAGE(G86:G96))</f>
        <v>1.9622322389847753</v>
      </c>
      <c r="O97" s="9">
        <f t="shared" si="23"/>
        <v>3</v>
      </c>
      <c r="P97" s="9">
        <f t="shared" si="24"/>
        <v>1.4264037721031283E-3</v>
      </c>
      <c r="Q97" s="9">
        <f t="shared" si="25"/>
        <v>1</v>
      </c>
    </row>
    <row r="98" spans="1:17" ht="25" customHeight="1">
      <c r="A98" s="1"/>
      <c r="B98" s="1" t="s">
        <v>34</v>
      </c>
      <c r="C98" s="1" t="s">
        <v>79</v>
      </c>
      <c r="D98" s="1" t="s">
        <v>80</v>
      </c>
      <c r="E98" s="1" t="s">
        <v>77</v>
      </c>
      <c r="F98" s="1" t="s">
        <v>110</v>
      </c>
      <c r="G98" s="9">
        <f>'Quarterly market'!G85</f>
        <v>0.23594619830289432</v>
      </c>
      <c r="H98" s="9">
        <f>'PG history'!H90</f>
        <v>3</v>
      </c>
      <c r="I98" s="9">
        <f t="shared" si="16"/>
        <v>5.5670608493588729E-2</v>
      </c>
      <c r="J98" s="9">
        <f t="shared" si="17"/>
        <v>9</v>
      </c>
      <c r="K98" s="9">
        <f t="shared" si="18"/>
        <v>0.70783859490868295</v>
      </c>
      <c r="L98" s="9">
        <f>'Model tests'!H11+'Model tests'!G11*G98</f>
        <v>1.5744553069277818</v>
      </c>
      <c r="M98" s="9">
        <f t="shared" si="19"/>
        <v>1.4255446930722182</v>
      </c>
      <c r="N98" s="9">
        <f>AVERAGE(H86:H97)+((SUM(K86:K97)-SUM(G86:G97)*SUM(H86:H97)/COUNT(G86:G97))/(SUM(I86:I97)-SUM(G86:G97)^2/COUNT(G86:G97)))*(G98-AVERAGE(G86:G97))</f>
        <v>1.8743494336186277</v>
      </c>
      <c r="O98" s="9">
        <f t="shared" si="23"/>
        <v>2.5</v>
      </c>
      <c r="P98" s="9">
        <f t="shared" si="24"/>
        <v>1.2670891975947043</v>
      </c>
      <c r="Q98" s="9">
        <f t="shared" si="25"/>
        <v>0.25</v>
      </c>
    </row>
    <row r="99" spans="1:17" ht="25" customHeight="1">
      <c r="A99" s="1"/>
      <c r="B99" s="1" t="s">
        <v>34</v>
      </c>
      <c r="C99" s="1" t="s">
        <v>79</v>
      </c>
      <c r="D99" s="1" t="s">
        <v>80</v>
      </c>
      <c r="E99" s="1" t="s">
        <v>77</v>
      </c>
      <c r="F99" s="1" t="s">
        <v>111</v>
      </c>
      <c r="G99" s="9">
        <f>'Quarterly market'!G86</f>
        <v>0.50578250048438633</v>
      </c>
      <c r="H99" s="9">
        <f>'PG history'!H97</f>
        <v>1</v>
      </c>
      <c r="I99" s="9">
        <f t="shared" si="16"/>
        <v>0.25581593779623824</v>
      </c>
      <c r="J99" s="9">
        <f t="shared" si="17"/>
        <v>1</v>
      </c>
      <c r="K99" s="9">
        <f t="shared" si="18"/>
        <v>0.50578250048438633</v>
      </c>
      <c r="L99" s="9">
        <f>'Model tests'!H11+'Model tests'!G11*G99</f>
        <v>1.8344051000735657</v>
      </c>
      <c r="M99" s="9">
        <f t="shared" si="19"/>
        <v>-0.83440510007356572</v>
      </c>
      <c r="N99" s="9">
        <f>AVERAGE(H86:H98)+((SUM(K86:K98)-SUM(G86:G98)*SUM(H86:H98)/COUNT(G86:G98))/(SUM(I86:I98)-SUM(G86:G98)^2/COUNT(G86:G98)))*(G99-AVERAGE(G86:G98))</f>
        <v>2.3445928310763335</v>
      </c>
      <c r="O99" s="9">
        <f t="shared" si="23"/>
        <v>2.25</v>
      </c>
      <c r="P99" s="9">
        <f t="shared" si="24"/>
        <v>1.8079298813818696</v>
      </c>
      <c r="Q99" s="9">
        <f t="shared" si="25"/>
        <v>1.5625</v>
      </c>
    </row>
    <row r="100" spans="1:17" ht="25" customHeight="1">
      <c r="A100" s="1"/>
      <c r="B100" s="1" t="s">
        <v>34</v>
      </c>
      <c r="C100" s="1" t="s">
        <v>79</v>
      </c>
      <c r="D100" s="1" t="s">
        <v>80</v>
      </c>
      <c r="E100" s="1" t="s">
        <v>77</v>
      </c>
      <c r="F100" s="1" t="s">
        <v>112</v>
      </c>
      <c r="G100" s="9">
        <f>'Quarterly market'!G87</f>
        <v>1.0082264270475427</v>
      </c>
      <c r="H100" s="9">
        <f>'PG history'!H104</f>
        <v>2</v>
      </c>
      <c r="I100" s="9">
        <f t="shared" si="16"/>
        <v>1.016520528197054</v>
      </c>
      <c r="J100" s="9">
        <f t="shared" si="17"/>
        <v>4</v>
      </c>
      <c r="K100" s="9">
        <f t="shared" si="18"/>
        <v>2.0164528540950855</v>
      </c>
      <c r="L100" s="9">
        <f>'Model tests'!H11+'Model tests'!G11*G100</f>
        <v>2.3184400268848568</v>
      </c>
      <c r="M100" s="9">
        <f t="shared" si="19"/>
        <v>-0.31844002688485684</v>
      </c>
      <c r="N100" s="9">
        <f>AVERAGE(H86:H99)+((SUM(K86:K99)-SUM(G86:G99)*SUM(H86:H99)/COUNT(G86:G99))/(SUM(I86:I99)-SUM(G86:G99)^2/COUNT(G86:G99)))*(G100-AVERAGE(G86:G99))</f>
        <v>2.5969526217441588</v>
      </c>
      <c r="O100" s="9">
        <f t="shared" si="23"/>
        <v>1.75</v>
      </c>
      <c r="P100" s="9">
        <f t="shared" si="24"/>
        <v>0.35635243260722466</v>
      </c>
      <c r="Q100" s="9">
        <f t="shared" si="25"/>
        <v>6.25E-2</v>
      </c>
    </row>
    <row r="101" spans="1:17" ht="25" customHeight="1">
      <c r="A101" s="1"/>
      <c r="B101" s="1" t="s">
        <v>34</v>
      </c>
      <c r="C101" s="1" t="s">
        <v>79</v>
      </c>
      <c r="D101" s="1" t="s">
        <v>80</v>
      </c>
      <c r="E101" s="1" t="s">
        <v>77</v>
      </c>
      <c r="F101" s="1" t="s">
        <v>114</v>
      </c>
      <c r="G101" s="9">
        <f>'Quarterly market'!G88</f>
        <v>1.9491325309717533</v>
      </c>
      <c r="H101" s="9">
        <f>'PG history'!H118</f>
        <v>1</v>
      </c>
      <c r="I101" s="9">
        <f t="shared" si="16"/>
        <v>3.7991176232923527</v>
      </c>
      <c r="J101" s="9">
        <f t="shared" si="17"/>
        <v>1</v>
      </c>
      <c r="K101" s="9">
        <f t="shared" si="18"/>
        <v>1.9491325309717533</v>
      </c>
      <c r="L101" s="9">
        <f>'Model tests'!H11+'Model tests'!G11*G101</f>
        <v>3.2248723531038612</v>
      </c>
      <c r="M101" s="9">
        <f t="shared" si="19"/>
        <v>-2.2248723531038612</v>
      </c>
      <c r="N101" s="9">
        <f>AVERAGE(H86:H100)+((SUM(K86:K100)-SUM(G86:G100)*SUM(H86:H100)/COUNT(G86:G100))/(SUM(I86:I100)-SUM(G86:G100)^2/COUNT(G86:G100)))*(G101-AVERAGE(G86:G100))</f>
        <v>3.4086429001516541</v>
      </c>
      <c r="O101" s="9">
        <f t="shared" si="23"/>
        <v>2</v>
      </c>
      <c r="P101" s="9">
        <f t="shared" si="24"/>
        <v>5.8015606204509709</v>
      </c>
      <c r="Q101" s="9">
        <f t="shared" si="25"/>
        <v>1</v>
      </c>
    </row>
    <row r="102" spans="1:17" ht="25" customHeight="1">
      <c r="A102" s="1"/>
      <c r="B102" s="1" t="s">
        <v>43</v>
      </c>
      <c r="C102" s="1" t="s">
        <v>79</v>
      </c>
      <c r="D102" s="1" t="s">
        <v>80</v>
      </c>
      <c r="E102" s="1" t="s">
        <v>77</v>
      </c>
      <c r="F102" s="1" t="s">
        <v>98</v>
      </c>
      <c r="G102" s="9">
        <f>'Quarterly market'!G73</f>
        <v>1.0280001916822545</v>
      </c>
      <c r="H102" s="9">
        <f>'PG history'!H7</f>
        <v>6</v>
      </c>
      <c r="I102" s="9">
        <f t="shared" si="16"/>
        <v>1.056784394098752</v>
      </c>
      <c r="J102" s="9">
        <f t="shared" si="17"/>
        <v>36</v>
      </c>
      <c r="K102" s="9">
        <f t="shared" si="18"/>
        <v>6.1680011500935272</v>
      </c>
      <c r="L102" s="9">
        <f>'Model tests'!H12+'Model tests'!G12*G102</f>
        <v>3.6162560103228802</v>
      </c>
      <c r="M102" s="9">
        <f t="shared" si="19"/>
        <v>2.3837439896771198</v>
      </c>
      <c r="N102" s="9"/>
      <c r="O102" s="9"/>
      <c r="P102" s="9"/>
      <c r="Q102" s="9"/>
    </row>
    <row r="103" spans="1:17" ht="25" customHeight="1">
      <c r="A103" s="1"/>
      <c r="B103" s="1" t="s">
        <v>43</v>
      </c>
      <c r="C103" s="1" t="s">
        <v>79</v>
      </c>
      <c r="D103" s="1" t="s">
        <v>80</v>
      </c>
      <c r="E103" s="1" t="s">
        <v>77</v>
      </c>
      <c r="F103" s="1" t="s">
        <v>99</v>
      </c>
      <c r="G103" s="9">
        <f>'Quarterly market'!G74</f>
        <v>2.9122729416084958</v>
      </c>
      <c r="H103" s="9">
        <f>'PG history'!H14</f>
        <v>6</v>
      </c>
      <c r="I103" s="9">
        <f t="shared" si="16"/>
        <v>8.4813336864250015</v>
      </c>
      <c r="J103" s="9">
        <f t="shared" si="17"/>
        <v>36</v>
      </c>
      <c r="K103" s="9">
        <f t="shared" si="18"/>
        <v>17.473637649650975</v>
      </c>
      <c r="L103" s="9">
        <f>'Model tests'!H12+'Model tests'!G12*G103</f>
        <v>5.7399531414483</v>
      </c>
      <c r="M103" s="9">
        <f t="shared" si="19"/>
        <v>0.26004685855169996</v>
      </c>
      <c r="N103" s="9"/>
      <c r="O103" s="9"/>
      <c r="P103" s="9"/>
      <c r="Q103" s="9"/>
    </row>
    <row r="104" spans="1:17" ht="25" customHeight="1">
      <c r="A104" s="1"/>
      <c r="B104" s="1" t="s">
        <v>43</v>
      </c>
      <c r="C104" s="1" t="s">
        <v>79</v>
      </c>
      <c r="D104" s="1" t="s">
        <v>80</v>
      </c>
      <c r="E104" s="1" t="s">
        <v>77</v>
      </c>
      <c r="F104" s="1" t="s">
        <v>100</v>
      </c>
      <c r="G104" s="9">
        <f>'Quarterly market'!G75</f>
        <v>5.8502773415310738</v>
      </c>
      <c r="H104" s="9">
        <f>'PG history'!H21</f>
        <v>8</v>
      </c>
      <c r="I104" s="9">
        <f t="shared" si="16"/>
        <v>34.22574497283189</v>
      </c>
      <c r="J104" s="9">
        <f t="shared" si="17"/>
        <v>64</v>
      </c>
      <c r="K104" s="9">
        <f t="shared" si="18"/>
        <v>46.802218732248591</v>
      </c>
      <c r="L104" s="9">
        <f>'Model tests'!H12+'Model tests'!G12*G104</f>
        <v>9.0512739232160584</v>
      </c>
      <c r="M104" s="9">
        <f t="shared" si="19"/>
        <v>-1.0512739232160584</v>
      </c>
      <c r="N104" s="9"/>
      <c r="O104" s="9"/>
      <c r="P104" s="9"/>
      <c r="Q104" s="9"/>
    </row>
    <row r="105" spans="1:17" ht="25" customHeight="1">
      <c r="A105" s="1"/>
      <c r="B105" s="1" t="s">
        <v>43</v>
      </c>
      <c r="C105" s="1" t="s">
        <v>79</v>
      </c>
      <c r="D105" s="1" t="s">
        <v>80</v>
      </c>
      <c r="E105" s="1" t="s">
        <v>77</v>
      </c>
      <c r="F105" s="1" t="s">
        <v>101</v>
      </c>
      <c r="G105" s="9">
        <f>'Quarterly market'!G76</f>
        <v>7.2560334575520802</v>
      </c>
      <c r="H105" s="9">
        <f>'PG history'!H28</f>
        <v>11</v>
      </c>
      <c r="I105" s="9">
        <f t="shared" si="16"/>
        <v>52.650021537115194</v>
      </c>
      <c r="J105" s="9">
        <f t="shared" si="17"/>
        <v>121</v>
      </c>
      <c r="K105" s="9">
        <f t="shared" si="18"/>
        <v>79.816368033072877</v>
      </c>
      <c r="L105" s="9">
        <f>'Model tests'!H12+'Model tests'!G12*G105</f>
        <v>10.635651891200091</v>
      </c>
      <c r="M105" s="9">
        <f t="shared" si="19"/>
        <v>0.3643481087999092</v>
      </c>
      <c r="N105" s="9"/>
      <c r="O105" s="9"/>
      <c r="P105" s="9"/>
      <c r="Q105" s="9"/>
    </row>
    <row r="106" spans="1:17" ht="25" customHeight="1">
      <c r="A106" s="1"/>
      <c r="B106" s="1" t="s">
        <v>43</v>
      </c>
      <c r="C106" s="1" t="s">
        <v>79</v>
      </c>
      <c r="D106" s="1" t="s">
        <v>80</v>
      </c>
      <c r="E106" s="1" t="s">
        <v>77</v>
      </c>
      <c r="F106" s="1" t="s">
        <v>102</v>
      </c>
      <c r="G106" s="9">
        <f>'Quarterly market'!G77</f>
        <v>6.772394023448336</v>
      </c>
      <c r="H106" s="9">
        <f>'PG history'!H35</f>
        <v>10</v>
      </c>
      <c r="I106" s="9">
        <f t="shared" si="16"/>
        <v>45.865320808838739</v>
      </c>
      <c r="J106" s="9">
        <f t="shared" si="17"/>
        <v>100</v>
      </c>
      <c r="K106" s="9">
        <f t="shared" si="18"/>
        <v>67.723940234483365</v>
      </c>
      <c r="L106" s="9">
        <f>'Model tests'!H12+'Model tests'!G12*G106</f>
        <v>10.09055900125332</v>
      </c>
      <c r="M106" s="9">
        <f t="shared" si="19"/>
        <v>-9.0559001253319948E-2</v>
      </c>
      <c r="N106" s="9"/>
      <c r="O106" s="9"/>
      <c r="P106" s="9"/>
      <c r="Q106" s="9"/>
    </row>
    <row r="107" spans="1:17" ht="25" customHeight="1">
      <c r="A107" s="1"/>
      <c r="B107" s="1" t="s">
        <v>43</v>
      </c>
      <c r="C107" s="1" t="s">
        <v>79</v>
      </c>
      <c r="D107" s="1" t="s">
        <v>80</v>
      </c>
      <c r="E107" s="1" t="s">
        <v>77</v>
      </c>
      <c r="F107" s="1" t="s">
        <v>103</v>
      </c>
      <c r="G107" s="9">
        <f>'Quarterly market'!G78</f>
        <v>7.0582272321790596</v>
      </c>
      <c r="H107" s="9">
        <f>'PG history'!H42</f>
        <v>9</v>
      </c>
      <c r="I107" s="9">
        <f t="shared" si="16"/>
        <v>49.818571661074067</v>
      </c>
      <c r="J107" s="9">
        <f t="shared" si="17"/>
        <v>81</v>
      </c>
      <c r="K107" s="9">
        <f t="shared" si="18"/>
        <v>63.524045089611533</v>
      </c>
      <c r="L107" s="9">
        <f>'Model tests'!H12+'Model tests'!G12*G107</f>
        <v>10.412711495039357</v>
      </c>
      <c r="M107" s="9">
        <f t="shared" si="19"/>
        <v>-1.4127114950393569</v>
      </c>
      <c r="N107" s="9"/>
      <c r="O107" s="9"/>
      <c r="P107" s="9"/>
      <c r="Q107" s="9"/>
    </row>
    <row r="108" spans="1:17" ht="25" customHeight="1">
      <c r="A108" s="1"/>
      <c r="B108" s="1" t="s">
        <v>43</v>
      </c>
      <c r="C108" s="1" t="s">
        <v>79</v>
      </c>
      <c r="D108" s="1" t="s">
        <v>80</v>
      </c>
      <c r="E108" s="1" t="s">
        <v>77</v>
      </c>
      <c r="F108" s="1" t="s">
        <v>104</v>
      </c>
      <c r="G108" s="9">
        <f>'Quarterly market'!G79</f>
        <v>5.4935927157217401</v>
      </c>
      <c r="H108" s="9">
        <f>'PG history'!H49</f>
        <v>9</v>
      </c>
      <c r="I108" s="9">
        <f t="shared" si="16"/>
        <v>30.179560926230963</v>
      </c>
      <c r="J108" s="9">
        <f t="shared" si="17"/>
        <v>81</v>
      </c>
      <c r="K108" s="9">
        <f t="shared" si="18"/>
        <v>49.44233444149566</v>
      </c>
      <c r="L108" s="9">
        <f>'Model tests'!H12+'Model tests'!G12*G108</f>
        <v>8.6492673047063562</v>
      </c>
      <c r="M108" s="9">
        <f t="shared" si="19"/>
        <v>0.35073269529364381</v>
      </c>
      <c r="N108" s="9"/>
      <c r="O108" s="9"/>
      <c r="P108" s="9"/>
      <c r="Q108" s="9"/>
    </row>
    <row r="109" spans="1:17" ht="25" customHeight="1">
      <c r="A109" s="1"/>
      <c r="B109" s="1" t="s">
        <v>43</v>
      </c>
      <c r="C109" s="1" t="s">
        <v>79</v>
      </c>
      <c r="D109" s="1" t="s">
        <v>80</v>
      </c>
      <c r="E109" s="1" t="s">
        <v>77</v>
      </c>
      <c r="F109" s="1" t="s">
        <v>105</v>
      </c>
      <c r="G109" s="9">
        <f>'Quarterly market'!G80</f>
        <v>4.2122165191533556</v>
      </c>
      <c r="H109" s="9">
        <f>'PG history'!H56</f>
        <v>7</v>
      </c>
      <c r="I109" s="9">
        <f t="shared" si="16"/>
        <v>17.742768004228413</v>
      </c>
      <c r="J109" s="9">
        <f t="shared" si="17"/>
        <v>49</v>
      </c>
      <c r="K109" s="9">
        <f t="shared" si="18"/>
        <v>29.48551563407349</v>
      </c>
      <c r="L109" s="9">
        <f>'Model tests'!H12+'Model tests'!G12*G109</f>
        <v>7.2050735420723608</v>
      </c>
      <c r="M109" s="9">
        <f t="shared" si="19"/>
        <v>-0.20507354207236084</v>
      </c>
      <c r="N109" s="9"/>
      <c r="O109" s="9"/>
      <c r="P109" s="9"/>
      <c r="Q109" s="9"/>
    </row>
    <row r="110" spans="1:17" ht="25" customHeight="1">
      <c r="A110" s="1"/>
      <c r="B110" s="1" t="s">
        <v>43</v>
      </c>
      <c r="C110" s="1" t="s">
        <v>79</v>
      </c>
      <c r="D110" s="1" t="s">
        <v>80</v>
      </c>
      <c r="E110" s="1" t="s">
        <v>77</v>
      </c>
      <c r="F110" s="1" t="s">
        <v>106</v>
      </c>
      <c r="G110" s="9">
        <f>'Quarterly market'!G81</f>
        <v>3.636809635836169</v>
      </c>
      <c r="H110" s="9">
        <f>'PG history'!H63</f>
        <v>10</v>
      </c>
      <c r="I110" s="9">
        <f t="shared" si="16"/>
        <v>13.226384327310809</v>
      </c>
      <c r="J110" s="9">
        <f t="shared" si="17"/>
        <v>100</v>
      </c>
      <c r="K110" s="9">
        <f t="shared" si="18"/>
        <v>36.36809635836169</v>
      </c>
      <c r="L110" s="9">
        <f>'Model tests'!H12+'Model tests'!G12*G110</f>
        <v>6.5565528078111655</v>
      </c>
      <c r="M110" s="9">
        <f t="shared" si="19"/>
        <v>3.4434471921888345</v>
      </c>
      <c r="N110" s="9">
        <f>AVERAGE(H102:H109)+((SUM(K102:K109)-SUM(G102:G109)*SUM(H102:H109)/COUNT(G102:G109))/(SUM(I102:I109)-SUM(G102:G109)^2/COUNT(G102:G109)))*(G110-AVERAGE(G102:G109))</f>
        <v>7.1722941230208743</v>
      </c>
      <c r="O110" s="9">
        <f t="shared" ref="O110:O117" si="26">AVERAGE(H106:H109)</f>
        <v>8.75</v>
      </c>
      <c r="P110" s="9">
        <f t="shared" ref="P110:P117" si="27">(H110-N110)^2</f>
        <v>7.9959205267022861</v>
      </c>
      <c r="Q110" s="9">
        <f t="shared" ref="Q110:Q117" si="28">(H110-O110)^2</f>
        <v>1.5625</v>
      </c>
    </row>
    <row r="111" spans="1:17" ht="25" customHeight="1">
      <c r="A111" s="1"/>
      <c r="B111" s="1" t="s">
        <v>43</v>
      </c>
      <c r="C111" s="1" t="s">
        <v>79</v>
      </c>
      <c r="D111" s="1" t="s">
        <v>80</v>
      </c>
      <c r="E111" s="1" t="s">
        <v>77</v>
      </c>
      <c r="F111" s="1" t="s">
        <v>107</v>
      </c>
      <c r="G111" s="9">
        <f>'Quarterly market'!G82</f>
        <v>1.6547550061168037</v>
      </c>
      <c r="H111" s="9">
        <f>'PG history'!H70</f>
        <v>5</v>
      </c>
      <c r="I111" s="9">
        <f t="shared" si="16"/>
        <v>2.7382141302686231</v>
      </c>
      <c r="J111" s="9">
        <f t="shared" si="17"/>
        <v>25</v>
      </c>
      <c r="K111" s="9">
        <f t="shared" si="18"/>
        <v>8.2737750305840194</v>
      </c>
      <c r="L111" s="9">
        <f>'Model tests'!H12+'Model tests'!G12*G111</f>
        <v>4.3226491805185434</v>
      </c>
      <c r="M111" s="9">
        <f t="shared" si="19"/>
        <v>0.67735081948145659</v>
      </c>
      <c r="N111" s="9">
        <f>AVERAGE(H102:H110)+((SUM(K102:K110)-SUM(G102:G110)*SUM(H102:H110)/COUNT(G102:G110))/(SUM(I102:I110)-SUM(G102:G110)^2/COUNT(G102:G110)))*(G111-AVERAGE(G102:G110))</f>
        <v>6.3259368201563682</v>
      </c>
      <c r="O111" s="9">
        <f t="shared" si="26"/>
        <v>8.75</v>
      </c>
      <c r="P111" s="9">
        <f t="shared" si="27"/>
        <v>1.7581084510463809</v>
      </c>
      <c r="Q111" s="9">
        <f t="shared" si="28"/>
        <v>14.0625</v>
      </c>
    </row>
    <row r="112" spans="1:17" ht="25" customHeight="1">
      <c r="A112" s="1"/>
      <c r="B112" s="1" t="s">
        <v>43</v>
      </c>
      <c r="C112" s="1" t="s">
        <v>79</v>
      </c>
      <c r="D112" s="1" t="s">
        <v>80</v>
      </c>
      <c r="E112" s="1" t="s">
        <v>77</v>
      </c>
      <c r="F112" s="1" t="s">
        <v>108</v>
      </c>
      <c r="G112" s="9">
        <f>'Quarterly market'!G83</f>
        <v>0.37330111522773102</v>
      </c>
      <c r="H112" s="9">
        <f>'PG history'!H77</f>
        <v>1</v>
      </c>
      <c r="I112" s="9">
        <f t="shared" si="16"/>
        <v>0.13935372263026771</v>
      </c>
      <c r="J112" s="9">
        <f t="shared" si="17"/>
        <v>1</v>
      </c>
      <c r="K112" s="9">
        <f t="shared" si="18"/>
        <v>0.37330111522773102</v>
      </c>
      <c r="L112" s="9">
        <f>'Model tests'!H12+'Model tests'!G12*G112</f>
        <v>2.8783678513653408</v>
      </c>
      <c r="M112" s="9">
        <f t="shared" si="19"/>
        <v>-1.8783678513653408</v>
      </c>
      <c r="N112" s="9">
        <f>AVERAGE(H102:H111)+((SUM(K102:K111)-SUM(G102:G111)*SUM(H102:H111)/COUNT(G102:G111))/(SUM(I102:I111)-SUM(G102:G111)^2/COUNT(G102:G111)))*(G112-AVERAGE(G102:G111))</f>
        <v>5.0003603883406225</v>
      </c>
      <c r="O112" s="9">
        <f t="shared" si="26"/>
        <v>7.75</v>
      </c>
      <c r="P112" s="9">
        <f t="shared" si="27"/>
        <v>16.002883236604735</v>
      </c>
      <c r="Q112" s="9">
        <f t="shared" si="28"/>
        <v>45.5625</v>
      </c>
    </row>
    <row r="113" spans="1:17" ht="25" customHeight="1">
      <c r="A113" s="1"/>
      <c r="B113" s="1" t="s">
        <v>43</v>
      </c>
      <c r="C113" s="1" t="s">
        <v>79</v>
      </c>
      <c r="D113" s="1" t="s">
        <v>80</v>
      </c>
      <c r="E113" s="1" t="s">
        <v>77</v>
      </c>
      <c r="F113" s="1" t="s">
        <v>109</v>
      </c>
      <c r="G113" s="9">
        <f>'Quarterly market'!G84</f>
        <v>0.34106845677743802</v>
      </c>
      <c r="H113" s="9">
        <f>'PG history'!H84</f>
        <v>1</v>
      </c>
      <c r="I113" s="9">
        <f t="shared" si="16"/>
        <v>0.11632769220854311</v>
      </c>
      <c r="J113" s="9">
        <f t="shared" si="17"/>
        <v>1</v>
      </c>
      <c r="K113" s="9">
        <f t="shared" si="18"/>
        <v>0.34106845677743802</v>
      </c>
      <c r="L113" s="9">
        <f>'Model tests'!H12+'Model tests'!G12*G113</f>
        <v>2.842039562755259</v>
      </c>
      <c r="M113" s="9">
        <f t="shared" si="19"/>
        <v>-1.842039562755259</v>
      </c>
      <c r="N113" s="9">
        <f>AVERAGE(H102:H112)+((SUM(K102:K112)-SUM(G102:G112)*SUM(H102:H112)/COUNT(G102:G112))/(SUM(I102:I112)-SUM(G102:G112)^2/COUNT(G102:G112)))*(G113-AVERAGE(G102:G112))</f>
        <v>3.6531013534293217</v>
      </c>
      <c r="O113" s="9">
        <f t="shared" si="26"/>
        <v>5.75</v>
      </c>
      <c r="P113" s="9">
        <f t="shared" si="27"/>
        <v>7.0389467915684989</v>
      </c>
      <c r="Q113" s="9">
        <f t="shared" si="28"/>
        <v>22.5625</v>
      </c>
    </row>
    <row r="114" spans="1:17" ht="25" customHeight="1">
      <c r="A114" s="1"/>
      <c r="B114" s="1" t="s">
        <v>43</v>
      </c>
      <c r="C114" s="1" t="s">
        <v>79</v>
      </c>
      <c r="D114" s="1" t="s">
        <v>80</v>
      </c>
      <c r="E114" s="1" t="s">
        <v>77</v>
      </c>
      <c r="F114" s="1" t="s">
        <v>110</v>
      </c>
      <c r="G114" s="9">
        <f>'Quarterly market'!G85</f>
        <v>0.23594619830289432</v>
      </c>
      <c r="H114" s="9">
        <f>'PG history'!H91</f>
        <v>2</v>
      </c>
      <c r="I114" s="9">
        <f t="shared" si="16"/>
        <v>5.5670608493588729E-2</v>
      </c>
      <c r="J114" s="9">
        <f t="shared" si="17"/>
        <v>4</v>
      </c>
      <c r="K114" s="9">
        <f t="shared" si="18"/>
        <v>0.47189239660578863</v>
      </c>
      <c r="L114" s="9">
        <f>'Model tests'!H12+'Model tests'!G12*G114</f>
        <v>2.723559985555752</v>
      </c>
      <c r="M114" s="9">
        <f t="shared" si="19"/>
        <v>-0.72355998555575196</v>
      </c>
      <c r="N114" s="9">
        <f>AVERAGE(H102:H113)+((SUM(K102:K113)-SUM(G102:G113)*SUM(H102:H113)/COUNT(G102:G113))/(SUM(I102:I113)-SUM(G102:G113)^2/COUNT(G102:G113)))*(G114-AVERAGE(G102:G113))</f>
        <v>2.8739624326862527</v>
      </c>
      <c r="O114" s="9">
        <f t="shared" si="26"/>
        <v>4.25</v>
      </c>
      <c r="P114" s="9">
        <f t="shared" si="27"/>
        <v>0.76381033374687279</v>
      </c>
      <c r="Q114" s="9">
        <f t="shared" si="28"/>
        <v>5.0625</v>
      </c>
    </row>
    <row r="115" spans="1:17" ht="25" customHeight="1">
      <c r="A115" s="1"/>
      <c r="B115" s="1" t="s">
        <v>43</v>
      </c>
      <c r="C115" s="1" t="s">
        <v>79</v>
      </c>
      <c r="D115" s="1" t="s">
        <v>80</v>
      </c>
      <c r="E115" s="1" t="s">
        <v>77</v>
      </c>
      <c r="F115" s="1" t="s">
        <v>111</v>
      </c>
      <c r="G115" s="9">
        <f>'Quarterly market'!G86</f>
        <v>0.50578250048438633</v>
      </c>
      <c r="H115" s="9">
        <f>'PG history'!H98</f>
        <v>4</v>
      </c>
      <c r="I115" s="9">
        <f t="shared" si="16"/>
        <v>0.25581593779623824</v>
      </c>
      <c r="J115" s="9">
        <f t="shared" si="17"/>
        <v>16</v>
      </c>
      <c r="K115" s="9">
        <f t="shared" si="18"/>
        <v>2.0231300019375453</v>
      </c>
      <c r="L115" s="9">
        <f>'Model tests'!H12+'Model tests'!G12*G115</f>
        <v>3.0276829321083456</v>
      </c>
      <c r="M115" s="9">
        <f t="shared" si="19"/>
        <v>0.9723170678916544</v>
      </c>
      <c r="N115" s="9">
        <f>AVERAGE(H102:H114)+((SUM(K102:K114)-SUM(G102:G114)*SUM(H102:H114)/COUNT(G102:G114))/(SUM(I102:I114)-SUM(G102:G114)^2/COUNT(G102:G114)))*(G115-AVERAGE(G102:G114))</f>
        <v>3.0019634010158942</v>
      </c>
      <c r="O115" s="9">
        <f t="shared" si="26"/>
        <v>2.25</v>
      </c>
      <c r="P115" s="9">
        <f t="shared" si="27"/>
        <v>0.99607705291176085</v>
      </c>
      <c r="Q115" s="9">
        <f t="shared" si="28"/>
        <v>3.0625</v>
      </c>
    </row>
    <row r="116" spans="1:17" ht="25" customHeight="1">
      <c r="A116" s="1"/>
      <c r="B116" s="1" t="s">
        <v>43</v>
      </c>
      <c r="C116" s="1" t="s">
        <v>79</v>
      </c>
      <c r="D116" s="1" t="s">
        <v>80</v>
      </c>
      <c r="E116" s="1" t="s">
        <v>77</v>
      </c>
      <c r="F116" s="1" t="s">
        <v>112</v>
      </c>
      <c r="G116" s="9">
        <f>'Quarterly market'!G87</f>
        <v>1.0082264270475427</v>
      </c>
      <c r="H116" s="9">
        <f>'PG history'!H105</f>
        <v>4</v>
      </c>
      <c r="I116" s="9">
        <f t="shared" si="16"/>
        <v>1.016520528197054</v>
      </c>
      <c r="J116" s="9">
        <f t="shared" si="17"/>
        <v>16</v>
      </c>
      <c r="K116" s="9">
        <f t="shared" si="18"/>
        <v>4.0329057081901709</v>
      </c>
      <c r="L116" s="9">
        <f>'Model tests'!H12+'Model tests'!G12*G116</f>
        <v>3.5939697000061117</v>
      </c>
      <c r="M116" s="9">
        <f t="shared" si="19"/>
        <v>0.40603029999388829</v>
      </c>
      <c r="N116" s="9">
        <f>AVERAGE(H102:H115)+((SUM(K102:K115)-SUM(G102:G115)*SUM(H102:H115)/COUNT(G102:G115))/(SUM(I102:I115)-SUM(G102:G115)^2/COUNT(G102:G115)))*(G116-AVERAGE(G102:G115))</f>
        <v>3.71767596877811</v>
      </c>
      <c r="O116" s="9">
        <f t="shared" si="26"/>
        <v>2</v>
      </c>
      <c r="P116" s="9">
        <f t="shared" si="27"/>
        <v>7.9706858605378711E-2</v>
      </c>
      <c r="Q116" s="9">
        <f t="shared" si="28"/>
        <v>4</v>
      </c>
    </row>
    <row r="117" spans="1:17" ht="25" customHeight="1">
      <c r="A117" s="1"/>
      <c r="B117" s="1" t="s">
        <v>43</v>
      </c>
      <c r="C117" s="1" t="s">
        <v>79</v>
      </c>
      <c r="D117" s="1" t="s">
        <v>80</v>
      </c>
      <c r="E117" s="1" t="s">
        <v>77</v>
      </c>
      <c r="F117" s="1" t="s">
        <v>114</v>
      </c>
      <c r="G117" s="9">
        <f>'Quarterly market'!G88</f>
        <v>1.9491325309717533</v>
      </c>
      <c r="H117" s="9">
        <f>'PG history'!H119</f>
        <v>3</v>
      </c>
      <c r="I117" s="9">
        <f t="shared" si="16"/>
        <v>3.7991176232923527</v>
      </c>
      <c r="J117" s="9">
        <f t="shared" si="17"/>
        <v>9</v>
      </c>
      <c r="K117" s="9">
        <f t="shared" si="18"/>
        <v>5.84739759291526</v>
      </c>
      <c r="L117" s="9">
        <f>'Model tests'!H12+'Model tests'!G12*G117</f>
        <v>4.6544316706207489</v>
      </c>
      <c r="M117" s="9">
        <f t="shared" si="19"/>
        <v>-1.6544316706207489</v>
      </c>
      <c r="N117" s="9">
        <f>AVERAGE(H102:H116)+((SUM(K102:K116)-SUM(G102:G116)*SUM(H102:H116)/COUNT(G102:G116))/(SUM(I102:I116)-SUM(G102:G116)^2/COUNT(G102:G116)))*(G117-AVERAGE(G102:G116))</f>
        <v>4.7910848196155733</v>
      </c>
      <c r="O117" s="9">
        <f t="shared" si="26"/>
        <v>2.75</v>
      </c>
      <c r="P117" s="9">
        <f t="shared" si="27"/>
        <v>3.2079848310573507</v>
      </c>
      <c r="Q117" s="9">
        <f t="shared" si="28"/>
        <v>6.25E-2</v>
      </c>
    </row>
    <row r="118" spans="1:17" ht="25" customHeight="1">
      <c r="A118" s="1"/>
      <c r="B118" s="1" t="s">
        <v>34</v>
      </c>
      <c r="C118" s="1" t="s">
        <v>81</v>
      </c>
      <c r="D118" s="1" t="s">
        <v>82</v>
      </c>
      <c r="E118" s="1" t="s">
        <v>77</v>
      </c>
      <c r="F118" s="1" t="s">
        <v>98</v>
      </c>
      <c r="G118" s="9">
        <f>'Quarterly market'!G6</f>
        <v>6.658436933295464</v>
      </c>
      <c r="H118" s="9">
        <f>'PG history'!F6</f>
        <v>3</v>
      </c>
      <c r="I118" s="9">
        <f t="shared" si="16"/>
        <v>44.334782394673105</v>
      </c>
      <c r="J118" s="9">
        <f t="shared" si="17"/>
        <v>9</v>
      </c>
      <c r="K118" s="9">
        <f t="shared" si="18"/>
        <v>19.975310799886394</v>
      </c>
      <c r="L118" s="9">
        <f>'Model tests'!H13+'Model tests'!G13*G118</f>
        <v>3.6549875116339718</v>
      </c>
      <c r="M118" s="9">
        <f t="shared" si="19"/>
        <v>-0.65498751163397184</v>
      </c>
      <c r="N118" s="9"/>
      <c r="O118" s="9"/>
      <c r="P118" s="9"/>
      <c r="Q118" s="9"/>
    </row>
    <row r="119" spans="1:17" ht="25" customHeight="1">
      <c r="A119" s="1"/>
      <c r="B119" s="1" t="s">
        <v>34</v>
      </c>
      <c r="C119" s="1" t="s">
        <v>81</v>
      </c>
      <c r="D119" s="1" t="s">
        <v>82</v>
      </c>
      <c r="E119" s="1" t="s">
        <v>77</v>
      </c>
      <c r="F119" s="1" t="s">
        <v>99</v>
      </c>
      <c r="G119" s="9">
        <f>'Quarterly market'!G7</f>
        <v>3.235995481738696</v>
      </c>
      <c r="H119" s="9">
        <f>'PG history'!F13</f>
        <v>0</v>
      </c>
      <c r="I119" s="9">
        <f t="shared" si="16"/>
        <v>10.471666757833255</v>
      </c>
      <c r="J119" s="9">
        <f t="shared" si="17"/>
        <v>0</v>
      </c>
      <c r="K119" s="9">
        <f t="shared" si="18"/>
        <v>0</v>
      </c>
      <c r="L119" s="9">
        <f>'Model tests'!H13+'Model tests'!G13*G119</f>
        <v>3.2820973200250081</v>
      </c>
      <c r="M119" s="9">
        <f t="shared" si="19"/>
        <v>-3.2820973200250081</v>
      </c>
      <c r="N119" s="9"/>
      <c r="O119" s="9"/>
      <c r="P119" s="9"/>
      <c r="Q119" s="9"/>
    </row>
    <row r="120" spans="1:17" ht="25" customHeight="1">
      <c r="A120" s="1"/>
      <c r="B120" s="1" t="s">
        <v>34</v>
      </c>
      <c r="C120" s="1" t="s">
        <v>81</v>
      </c>
      <c r="D120" s="1" t="s">
        <v>82</v>
      </c>
      <c r="E120" s="1" t="s">
        <v>77</v>
      </c>
      <c r="F120" s="1" t="s">
        <v>100</v>
      </c>
      <c r="G120" s="9">
        <f>'Quarterly market'!G8</f>
        <v>3.5533938473930382</v>
      </c>
      <c r="H120" s="9">
        <f>'PG history'!F20</f>
        <v>4</v>
      </c>
      <c r="I120" s="9">
        <f t="shared" si="16"/>
        <v>12.626607834690699</v>
      </c>
      <c r="J120" s="9">
        <f t="shared" si="17"/>
        <v>16</v>
      </c>
      <c r="K120" s="9">
        <f t="shared" si="18"/>
        <v>14.213575389572153</v>
      </c>
      <c r="L120" s="9">
        <f>'Model tests'!H13+'Model tests'!G13*G120</f>
        <v>3.3166792811952668</v>
      </c>
      <c r="M120" s="9">
        <f t="shared" si="19"/>
        <v>0.68332071880473322</v>
      </c>
      <c r="N120" s="9"/>
      <c r="O120" s="9"/>
      <c r="P120" s="9"/>
      <c r="Q120" s="9"/>
    </row>
    <row r="121" spans="1:17" ht="25" customHeight="1">
      <c r="A121" s="1"/>
      <c r="B121" s="1" t="s">
        <v>34</v>
      </c>
      <c r="C121" s="1" t="s">
        <v>81</v>
      </c>
      <c r="D121" s="1" t="s">
        <v>82</v>
      </c>
      <c r="E121" s="1" t="s">
        <v>77</v>
      </c>
      <c r="F121" s="1" t="s">
        <v>101</v>
      </c>
      <c r="G121" s="9">
        <f>'Quarterly market'!G9</f>
        <v>3.8028851607049052</v>
      </c>
      <c r="H121" s="9">
        <f>'PG history'!F27</f>
        <v>3</v>
      </c>
      <c r="I121" s="9">
        <f t="shared" si="16"/>
        <v>14.461935545509572</v>
      </c>
      <c r="J121" s="9">
        <f t="shared" si="17"/>
        <v>9</v>
      </c>
      <c r="K121" s="9">
        <f t="shared" si="18"/>
        <v>11.408655482114716</v>
      </c>
      <c r="L121" s="9">
        <f>'Model tests'!H13+'Model tests'!G13*G121</f>
        <v>3.3438624675090356</v>
      </c>
      <c r="M121" s="9">
        <f t="shared" si="19"/>
        <v>-0.3438624675090356</v>
      </c>
      <c r="N121" s="9"/>
      <c r="O121" s="9"/>
      <c r="P121" s="9"/>
      <c r="Q121" s="9"/>
    </row>
    <row r="122" spans="1:17" ht="25" customHeight="1">
      <c r="A122" s="1"/>
      <c r="B122" s="1" t="s">
        <v>34</v>
      </c>
      <c r="C122" s="1" t="s">
        <v>81</v>
      </c>
      <c r="D122" s="1" t="s">
        <v>82</v>
      </c>
      <c r="E122" s="1" t="s">
        <v>77</v>
      </c>
      <c r="F122" s="1" t="s">
        <v>102</v>
      </c>
      <c r="G122" s="9">
        <f>'Quarterly market'!G10</f>
        <v>7.4226951952720999</v>
      </c>
      <c r="H122" s="9">
        <f>'PG history'!F34</f>
        <v>7</v>
      </c>
      <c r="I122" s="9">
        <f t="shared" si="16"/>
        <v>55.09640396191552</v>
      </c>
      <c r="J122" s="9">
        <f t="shared" si="17"/>
        <v>49</v>
      </c>
      <c r="K122" s="9">
        <f t="shared" si="18"/>
        <v>51.958866366904701</v>
      </c>
      <c r="L122" s="9">
        <f>'Model tests'!H13+'Model tests'!G13*G122</f>
        <v>3.7382568425432181</v>
      </c>
      <c r="M122" s="9">
        <f t="shared" si="19"/>
        <v>3.2617431574567819</v>
      </c>
      <c r="N122" s="9"/>
      <c r="O122" s="9"/>
      <c r="P122" s="9"/>
      <c r="Q122" s="9"/>
    </row>
    <row r="123" spans="1:17" ht="25" customHeight="1">
      <c r="A123" s="1"/>
      <c r="B123" s="1" t="s">
        <v>34</v>
      </c>
      <c r="C123" s="1" t="s">
        <v>81</v>
      </c>
      <c r="D123" s="1" t="s">
        <v>82</v>
      </c>
      <c r="E123" s="1" t="s">
        <v>77</v>
      </c>
      <c r="F123" s="1" t="s">
        <v>103</v>
      </c>
      <c r="G123" s="9">
        <f>'Quarterly market'!G11</f>
        <v>8.3743642737017066</v>
      </c>
      <c r="H123" s="9">
        <f>'PG history'!F41</f>
        <v>11</v>
      </c>
      <c r="I123" s="9">
        <f t="shared" si="16"/>
        <v>70.129976988651507</v>
      </c>
      <c r="J123" s="9">
        <f t="shared" si="17"/>
        <v>121</v>
      </c>
      <c r="K123" s="9">
        <f t="shared" si="18"/>
        <v>92.11800701071877</v>
      </c>
      <c r="L123" s="9">
        <f>'Model tests'!H13+'Model tests'!G13*G123</f>
        <v>3.8419454139992832</v>
      </c>
      <c r="M123" s="9">
        <f t="shared" si="19"/>
        <v>7.1580545860007163</v>
      </c>
      <c r="N123" s="9"/>
      <c r="O123" s="9"/>
      <c r="P123" s="9"/>
      <c r="Q123" s="9"/>
    </row>
    <row r="124" spans="1:17" ht="25" customHeight="1">
      <c r="A124" s="1"/>
      <c r="B124" s="1" t="s">
        <v>34</v>
      </c>
      <c r="C124" s="1" t="s">
        <v>81</v>
      </c>
      <c r="D124" s="1" t="s">
        <v>82</v>
      </c>
      <c r="E124" s="1" t="s">
        <v>77</v>
      </c>
      <c r="F124" s="1" t="s">
        <v>104</v>
      </c>
      <c r="G124" s="9">
        <f>'Quarterly market'!G12</f>
        <v>7.2648038453100305</v>
      </c>
      <c r="H124" s="9">
        <f>'PG history'!F48</f>
        <v>5</v>
      </c>
      <c r="I124" s="9">
        <f t="shared" si="16"/>
        <v>52.777374910831405</v>
      </c>
      <c r="J124" s="9">
        <f t="shared" si="17"/>
        <v>25</v>
      </c>
      <c r="K124" s="9">
        <f t="shared" si="18"/>
        <v>36.324019226550149</v>
      </c>
      <c r="L124" s="9">
        <f>'Model tests'!H13+'Model tests'!G13*G124</f>
        <v>3.7210538789354777</v>
      </c>
      <c r="M124" s="9">
        <f t="shared" si="19"/>
        <v>1.2789461210645223</v>
      </c>
      <c r="N124" s="9"/>
      <c r="O124" s="9"/>
      <c r="P124" s="9"/>
      <c r="Q124" s="9"/>
    </row>
    <row r="125" spans="1:17" ht="25" customHeight="1">
      <c r="A125" s="1"/>
      <c r="B125" s="1" t="s">
        <v>34</v>
      </c>
      <c r="C125" s="1" t="s">
        <v>81</v>
      </c>
      <c r="D125" s="1" t="s">
        <v>82</v>
      </c>
      <c r="E125" s="1" t="s">
        <v>77</v>
      </c>
      <c r="F125" s="1" t="s">
        <v>105</v>
      </c>
      <c r="G125" s="9">
        <f>'Quarterly market'!G13</f>
        <v>9.9248015735047268</v>
      </c>
      <c r="H125" s="9">
        <f>'PG history'!F55</f>
        <v>1</v>
      </c>
      <c r="I125" s="9">
        <f t="shared" si="16"/>
        <v>98.501686273441905</v>
      </c>
      <c r="J125" s="9">
        <f t="shared" si="17"/>
        <v>1</v>
      </c>
      <c r="K125" s="9">
        <f t="shared" si="18"/>
        <v>9.9248015735047268</v>
      </c>
      <c r="L125" s="9">
        <f>'Model tests'!H13+'Model tests'!G13*G125</f>
        <v>4.0108724416737092</v>
      </c>
      <c r="M125" s="9">
        <f t="shared" si="19"/>
        <v>-3.0108724416737092</v>
      </c>
      <c r="N125" s="9"/>
      <c r="O125" s="9"/>
      <c r="P125" s="9"/>
      <c r="Q125" s="9"/>
    </row>
    <row r="126" spans="1:17" ht="25" customHeight="1">
      <c r="A126" s="1"/>
      <c r="B126" s="1" t="s">
        <v>34</v>
      </c>
      <c r="C126" s="1" t="s">
        <v>81</v>
      </c>
      <c r="D126" s="1" t="s">
        <v>82</v>
      </c>
      <c r="E126" s="1" t="s">
        <v>77</v>
      </c>
      <c r="F126" s="1" t="s">
        <v>106</v>
      </c>
      <c r="G126" s="9">
        <f>'Quarterly market'!G14</f>
        <v>2.2273073989321102</v>
      </c>
      <c r="H126" s="9">
        <f>'PG history'!F62</f>
        <v>3</v>
      </c>
      <c r="I126" s="9">
        <f t="shared" si="16"/>
        <v>4.9608982493377223</v>
      </c>
      <c r="J126" s="9">
        <f t="shared" si="17"/>
        <v>9</v>
      </c>
      <c r="K126" s="9">
        <f t="shared" si="18"/>
        <v>6.6819221967963305</v>
      </c>
      <c r="L126" s="9">
        <f>'Model tests'!H13+'Model tests'!G13*G126</f>
        <v>3.1721962748806605</v>
      </c>
      <c r="M126" s="9">
        <f t="shared" si="19"/>
        <v>-0.17219627488066047</v>
      </c>
      <c r="N126" s="9">
        <f>AVERAGE(H118:H125)+((SUM(K118:K125)-SUM(G118:G125)*SUM(H118:H125)/COUNT(G118:G125))/(SUM(I118:I125)-SUM(G118:G125)^2/COUNT(G118:G125)))*(G126-AVERAGE(G118:G125))</f>
        <v>2.134012696778417</v>
      </c>
      <c r="O126" s="9">
        <f t="shared" ref="O126:O134" si="29">AVERAGE(H122:H125)</f>
        <v>6</v>
      </c>
      <c r="P126" s="9">
        <f t="shared" ref="P126:P134" si="30">(H126-N126)^2</f>
        <v>0.74993400934098997</v>
      </c>
      <c r="Q126" s="9">
        <f t="shared" ref="Q126:Q134" si="31">(H126-O126)^2</f>
        <v>9</v>
      </c>
    </row>
    <row r="127" spans="1:17" ht="25" customHeight="1">
      <c r="A127" s="1"/>
      <c r="B127" s="1" t="s">
        <v>34</v>
      </c>
      <c r="C127" s="1" t="s">
        <v>81</v>
      </c>
      <c r="D127" s="1" t="s">
        <v>82</v>
      </c>
      <c r="E127" s="1" t="s">
        <v>77</v>
      </c>
      <c r="F127" s="1" t="s">
        <v>107</v>
      </c>
      <c r="G127" s="9">
        <f>'Quarterly market'!G15</f>
        <v>0.79927457652468892</v>
      </c>
      <c r="H127" s="9">
        <f>'PG history'!F69</f>
        <v>3</v>
      </c>
      <c r="I127" s="9">
        <f t="shared" si="16"/>
        <v>0.63883984867872079</v>
      </c>
      <c r="J127" s="9">
        <f t="shared" si="17"/>
        <v>9</v>
      </c>
      <c r="K127" s="9">
        <f t="shared" si="18"/>
        <v>2.3978237295740668</v>
      </c>
      <c r="L127" s="9">
        <f>'Model tests'!H13+'Model tests'!G13*G127</f>
        <v>3.0166057584879917</v>
      </c>
      <c r="M127" s="9">
        <f t="shared" si="19"/>
        <v>-1.6605758487991729E-2</v>
      </c>
      <c r="N127" s="9">
        <f>AVERAGE(H118:H126)+((SUM(K118:K126)-SUM(G118:G126)*SUM(H118:H126)/COUNT(G118:G126))/(SUM(I118:I126)-SUM(G118:G126)^2/COUNT(G118:G126)))*(G127-AVERAGE(G118:G126))</f>
        <v>1.7573448981738737</v>
      </c>
      <c r="O127" s="9">
        <f t="shared" si="29"/>
        <v>5</v>
      </c>
      <c r="P127" s="9">
        <f t="shared" si="30"/>
        <v>1.5441917020945002</v>
      </c>
      <c r="Q127" s="9">
        <f t="shared" si="31"/>
        <v>4</v>
      </c>
    </row>
    <row r="128" spans="1:17" ht="25" customHeight="1">
      <c r="A128" s="1"/>
      <c r="B128" s="1" t="s">
        <v>34</v>
      </c>
      <c r="C128" s="1" t="s">
        <v>81</v>
      </c>
      <c r="D128" s="1" t="s">
        <v>82</v>
      </c>
      <c r="E128" s="1" t="s">
        <v>77</v>
      </c>
      <c r="F128" s="1" t="s">
        <v>108</v>
      </c>
      <c r="G128" s="9">
        <f>'Quarterly market'!G16</f>
        <v>5.5874231845522981</v>
      </c>
      <c r="H128" s="9">
        <f>'PG history'!F76</f>
        <v>-2</v>
      </c>
      <c r="I128" s="9">
        <f t="shared" si="16"/>
        <v>31.219297843272546</v>
      </c>
      <c r="J128" s="9">
        <f t="shared" si="17"/>
        <v>4</v>
      </c>
      <c r="K128" s="9">
        <f t="shared" si="18"/>
        <v>-11.174846369104596</v>
      </c>
      <c r="L128" s="9">
        <f>'Model tests'!H13+'Model tests'!G13*G128</f>
        <v>3.5382958084631224</v>
      </c>
      <c r="M128" s="9">
        <f t="shared" si="19"/>
        <v>-5.538295808463122</v>
      </c>
      <c r="N128" s="9">
        <f>AVERAGE(H118:H127)+((SUM(K118:K127)-SUM(G118:G127)*SUM(H118:H127)/COUNT(G118:G127))/(SUM(I118:I127)-SUM(G118:G127)^2/COUNT(G118:G127)))*(G128-AVERAGE(G118:G127))</f>
        <v>4.1038552092709626</v>
      </c>
      <c r="O128" s="9">
        <f t="shared" si="29"/>
        <v>3</v>
      </c>
      <c r="P128" s="9">
        <f t="shared" si="30"/>
        <v>37.257048415744265</v>
      </c>
      <c r="Q128" s="9">
        <f t="shared" si="31"/>
        <v>25</v>
      </c>
    </row>
    <row r="129" spans="1:17" ht="25" customHeight="1">
      <c r="A129" s="1"/>
      <c r="B129" s="1" t="s">
        <v>34</v>
      </c>
      <c r="C129" s="1" t="s">
        <v>81</v>
      </c>
      <c r="D129" s="1" t="s">
        <v>82</v>
      </c>
      <c r="E129" s="1" t="s">
        <v>77</v>
      </c>
      <c r="F129" s="1" t="s">
        <v>109</v>
      </c>
      <c r="G129" s="9">
        <f>'Quarterly market'!G17</f>
        <v>3.121328778759791</v>
      </c>
      <c r="H129" s="9">
        <f>'PG history'!F83</f>
        <v>2</v>
      </c>
      <c r="I129" s="9">
        <f t="shared" si="16"/>
        <v>9.7426933451140876</v>
      </c>
      <c r="J129" s="9">
        <f t="shared" si="17"/>
        <v>4</v>
      </c>
      <c r="K129" s="9">
        <f t="shared" si="18"/>
        <v>6.242657557519582</v>
      </c>
      <c r="L129" s="9">
        <f>'Model tests'!H13+'Model tests'!G13*G129</f>
        <v>3.2696038736212651</v>
      </c>
      <c r="M129" s="9">
        <f t="shared" si="19"/>
        <v>-1.2696038736212651</v>
      </c>
      <c r="N129" s="9">
        <f>AVERAGE(H118:H128)+((SUM(K118:K128)-SUM(G118:G128)*SUM(H118:H128)/COUNT(G118:G128))/(SUM(I118:I128)-SUM(G118:G128)^2/COUNT(G118:G128)))*(G129-AVERAGE(G118:G128))</f>
        <v>2.6079457253833671</v>
      </c>
      <c r="O129" s="9">
        <f t="shared" si="29"/>
        <v>1.25</v>
      </c>
      <c r="P129" s="9">
        <f t="shared" si="30"/>
        <v>0.36959800501190843</v>
      </c>
      <c r="Q129" s="9">
        <f t="shared" si="31"/>
        <v>0.5625</v>
      </c>
    </row>
    <row r="130" spans="1:17" ht="25" customHeight="1">
      <c r="A130" s="1"/>
      <c r="B130" s="1" t="s">
        <v>34</v>
      </c>
      <c r="C130" s="1" t="s">
        <v>81</v>
      </c>
      <c r="D130" s="1" t="s">
        <v>82</v>
      </c>
      <c r="E130" s="1" t="s">
        <v>77</v>
      </c>
      <c r="F130" s="1" t="s">
        <v>110</v>
      </c>
      <c r="G130" s="9">
        <f>'Quarterly market'!G18</f>
        <v>8.094873899417987</v>
      </c>
      <c r="H130" s="9">
        <f>'PG history'!F90</f>
        <v>2</v>
      </c>
      <c r="I130" s="9">
        <f t="shared" si="16"/>
        <v>65.526983447478571</v>
      </c>
      <c r="J130" s="9">
        <f t="shared" si="17"/>
        <v>4</v>
      </c>
      <c r="K130" s="9">
        <f t="shared" si="18"/>
        <v>16.189747798835974</v>
      </c>
      <c r="L130" s="9">
        <f>'Model tests'!H13+'Model tests'!G13*G130</f>
        <v>3.8114936967983617</v>
      </c>
      <c r="M130" s="9">
        <f t="shared" si="19"/>
        <v>-1.8114936967983617</v>
      </c>
      <c r="N130" s="9">
        <f>AVERAGE(H118:H129)+((SUM(K118:K129)-SUM(G118:G129)*SUM(H118:H129)/COUNT(G118:G129))/(SUM(I118:I129)-SUM(G118:G129)^2/COUNT(G118:G129)))*(G130-AVERAGE(G118:G129))</f>
        <v>4.4893321809210924</v>
      </c>
      <c r="O130" s="9">
        <f t="shared" si="29"/>
        <v>1.5</v>
      </c>
      <c r="P130" s="9">
        <f t="shared" si="30"/>
        <v>6.1967747069693626</v>
      </c>
      <c r="Q130" s="9">
        <f t="shared" si="31"/>
        <v>0.25</v>
      </c>
    </row>
    <row r="131" spans="1:17" ht="25" customHeight="1">
      <c r="A131" s="1"/>
      <c r="B131" s="1" t="s">
        <v>34</v>
      </c>
      <c r="C131" s="1" t="s">
        <v>81</v>
      </c>
      <c r="D131" s="1" t="s">
        <v>82</v>
      </c>
      <c r="E131" s="1" t="s">
        <v>77</v>
      </c>
      <c r="F131" s="1" t="s">
        <v>111</v>
      </c>
      <c r="G131" s="9">
        <f>'Quarterly market'!G19</f>
        <v>8.972706279503285</v>
      </c>
      <c r="H131" s="9">
        <f>'PG history'!F97</f>
        <v>1</v>
      </c>
      <c r="I131" s="9">
        <f t="shared" si="16"/>
        <v>80.509457978237677</v>
      </c>
      <c r="J131" s="9">
        <f t="shared" si="17"/>
        <v>1</v>
      </c>
      <c r="K131" s="9">
        <f t="shared" si="18"/>
        <v>8.972706279503285</v>
      </c>
      <c r="L131" s="9">
        <f>'Model tests'!H13+'Model tests'!G13*G131</f>
        <v>3.9071374321387182</v>
      </c>
      <c r="M131" s="9">
        <f t="shared" si="19"/>
        <v>-2.9071374321387182</v>
      </c>
      <c r="N131" s="9">
        <f>AVERAGE(H118:H130)+((SUM(K118:K130)-SUM(G118:G130)*SUM(H118:H130)/COUNT(G118:G130))/(SUM(I118:I130)-SUM(G118:G130)^2/COUNT(G118:G130)))*(G131-AVERAGE(G118:G130))</f>
        <v>4.3842499781763564</v>
      </c>
      <c r="O131" s="9">
        <f t="shared" si="29"/>
        <v>1.25</v>
      </c>
      <c r="P131" s="9">
        <f t="shared" si="30"/>
        <v>11.453147914786669</v>
      </c>
      <c r="Q131" s="9">
        <f t="shared" si="31"/>
        <v>6.25E-2</v>
      </c>
    </row>
    <row r="132" spans="1:17" ht="25" customHeight="1">
      <c r="A132" s="1"/>
      <c r="B132" s="1" t="s">
        <v>34</v>
      </c>
      <c r="C132" s="1" t="s">
        <v>81</v>
      </c>
      <c r="D132" s="1" t="s">
        <v>82</v>
      </c>
      <c r="E132" s="1" t="s">
        <v>77</v>
      </c>
      <c r="F132" s="1" t="s">
        <v>112</v>
      </c>
      <c r="G132" s="9">
        <f>'Quarterly market'!G20</f>
        <v>6.4839354424026885</v>
      </c>
      <c r="H132" s="9">
        <f>'PG history'!F104</f>
        <v>6</v>
      </c>
      <c r="I132" s="9">
        <f t="shared" si="16"/>
        <v>42.041418821245749</v>
      </c>
      <c r="J132" s="9">
        <f t="shared" si="17"/>
        <v>36</v>
      </c>
      <c r="K132" s="9">
        <f t="shared" si="18"/>
        <v>38.903612654416129</v>
      </c>
      <c r="L132" s="9">
        <f>'Model tests'!H13+'Model tests'!G13*G132</f>
        <v>3.63597479942367</v>
      </c>
      <c r="M132" s="9">
        <f t="shared" si="19"/>
        <v>2.36402520057633</v>
      </c>
      <c r="N132" s="9">
        <f>AVERAGE(H118:H131)+((SUM(K118:K131)-SUM(G118:G131)*SUM(H118:H131)/COUNT(G118:G131))/(SUM(I118:I131)-SUM(G118:G131)^2/COUNT(G118:G131)))*(G132-AVERAGE(G118:G131))</f>
        <v>3.2511908342294671</v>
      </c>
      <c r="O132" s="9">
        <f t="shared" si="29"/>
        <v>0.75</v>
      </c>
      <c r="P132" s="9">
        <f t="shared" si="30"/>
        <v>7.5559518298240933</v>
      </c>
      <c r="Q132" s="9">
        <f t="shared" si="31"/>
        <v>27.5625</v>
      </c>
    </row>
    <row r="133" spans="1:17" ht="25" customHeight="1">
      <c r="A133" s="1"/>
      <c r="B133" s="1" t="s">
        <v>34</v>
      </c>
      <c r="C133" s="1" t="s">
        <v>81</v>
      </c>
      <c r="D133" s="1" t="s">
        <v>82</v>
      </c>
      <c r="E133" s="1" t="s">
        <v>77</v>
      </c>
      <c r="F133" s="1" t="s">
        <v>113</v>
      </c>
      <c r="G133" s="9">
        <f>'Quarterly market'!G21</f>
        <v>5.8582795849691616</v>
      </c>
      <c r="H133" s="9">
        <f>'PG history'!F111</f>
        <v>4</v>
      </c>
      <c r="I133" s="9">
        <f t="shared" si="16"/>
        <v>34.319439695666453</v>
      </c>
      <c r="J133" s="9">
        <f t="shared" si="17"/>
        <v>16</v>
      </c>
      <c r="K133" s="9">
        <f t="shared" si="18"/>
        <v>23.433118339876646</v>
      </c>
      <c r="L133" s="9">
        <f>'Model tests'!H13+'Model tests'!G13*G133</f>
        <v>3.5678068158768554</v>
      </c>
      <c r="M133" s="9">
        <f t="shared" si="19"/>
        <v>0.43219318412314456</v>
      </c>
      <c r="N133" s="9">
        <f>AVERAGE(H118:H132)+((SUM(K118:K132)-SUM(G118:G132)*SUM(H118:H132)/COUNT(G118:G132))/(SUM(I118:I132)-SUM(G118:G132)^2/COUNT(G118:G132)))*(G133-AVERAGE(G118:G132))</f>
        <v>3.3034612458179389</v>
      </c>
      <c r="O133" s="9">
        <f t="shared" si="29"/>
        <v>2.75</v>
      </c>
      <c r="P133" s="9">
        <f t="shared" si="30"/>
        <v>0.48516623607749776</v>
      </c>
      <c r="Q133" s="9">
        <f t="shared" si="31"/>
        <v>1.5625</v>
      </c>
    </row>
    <row r="134" spans="1:17" ht="25" customHeight="1">
      <c r="A134" s="1"/>
      <c r="B134" s="1" t="s">
        <v>34</v>
      </c>
      <c r="C134" s="1" t="s">
        <v>81</v>
      </c>
      <c r="D134" s="1" t="s">
        <v>82</v>
      </c>
      <c r="E134" s="1" t="s">
        <v>77</v>
      </c>
      <c r="F134" s="1" t="s">
        <v>114</v>
      </c>
      <c r="G134" s="9">
        <f>'Quarterly market'!G22</f>
        <v>2.2175244833685603</v>
      </c>
      <c r="H134" s="9">
        <f>'PG history'!F118</f>
        <v>7</v>
      </c>
      <c r="I134" s="9">
        <f t="shared" ref="I134:I197" si="32">G134*G134</f>
        <v>4.9174148343390005</v>
      </c>
      <c r="J134" s="9">
        <f t="shared" ref="J134:J197" si="33">H134*H134</f>
        <v>49</v>
      </c>
      <c r="K134" s="9">
        <f t="shared" ref="K134:K197" si="34">G134*H134</f>
        <v>15.522671383579922</v>
      </c>
      <c r="L134" s="9">
        <f>'Model tests'!H13+'Model tests'!G13*G134</f>
        <v>3.171130382794376</v>
      </c>
      <c r="M134" s="9">
        <f t="shared" ref="M134:M197" si="35">H134-L134</f>
        <v>3.828869617205624</v>
      </c>
      <c r="N134" s="9">
        <f>AVERAGE(H118:H133)+((SUM(K118:K133)-SUM(G118:G133)*SUM(H118:H133)/COUNT(G118:G133))/(SUM(I118:I133)-SUM(G118:G133)^2/COUNT(G118:G133)))*(G134-AVERAGE(G118:G133))</f>
        <v>2.4885290519344316</v>
      </c>
      <c r="O134" s="9">
        <f t="shared" si="29"/>
        <v>3.25</v>
      </c>
      <c r="P134" s="9">
        <f t="shared" si="30"/>
        <v>20.353370115239638</v>
      </c>
      <c r="Q134" s="9">
        <f t="shared" si="31"/>
        <v>14.0625</v>
      </c>
    </row>
    <row r="135" spans="1:17" ht="25" customHeight="1">
      <c r="A135" s="1"/>
      <c r="B135" s="1" t="s">
        <v>45</v>
      </c>
      <c r="C135" s="1" t="s">
        <v>81</v>
      </c>
      <c r="D135" s="1" t="s">
        <v>82</v>
      </c>
      <c r="E135" s="1" t="s">
        <v>77</v>
      </c>
      <c r="F135" s="1" t="s">
        <v>98</v>
      </c>
      <c r="G135" s="9">
        <f>'Quarterly market'!G6</f>
        <v>6.658436933295464</v>
      </c>
      <c r="H135" s="9">
        <f>'PG history'!F8</f>
        <v>16</v>
      </c>
      <c r="I135" s="9">
        <f t="shared" si="32"/>
        <v>44.334782394673105</v>
      </c>
      <c r="J135" s="9">
        <f t="shared" si="33"/>
        <v>256</v>
      </c>
      <c r="K135" s="9">
        <f t="shared" si="34"/>
        <v>106.53499093272742</v>
      </c>
      <c r="L135" s="9">
        <f>'Model tests'!H14+'Model tests'!G14*G135</f>
        <v>5.4839748568080759</v>
      </c>
      <c r="M135" s="9">
        <f t="shared" si="35"/>
        <v>10.516025143191925</v>
      </c>
      <c r="N135" s="9"/>
      <c r="O135" s="9"/>
      <c r="P135" s="9"/>
      <c r="Q135" s="9"/>
    </row>
    <row r="136" spans="1:17" ht="25" customHeight="1">
      <c r="A136" s="1"/>
      <c r="B136" s="1" t="s">
        <v>45</v>
      </c>
      <c r="C136" s="1" t="s">
        <v>81</v>
      </c>
      <c r="D136" s="1" t="s">
        <v>82</v>
      </c>
      <c r="E136" s="1" t="s">
        <v>77</v>
      </c>
      <c r="F136" s="1" t="s">
        <v>99</v>
      </c>
      <c r="G136" s="9">
        <f>'Quarterly market'!G7</f>
        <v>3.235995481738696</v>
      </c>
      <c r="H136" s="9">
        <f>'PG history'!F15</f>
        <v>9</v>
      </c>
      <c r="I136" s="9">
        <f t="shared" si="32"/>
        <v>10.471666757833255</v>
      </c>
      <c r="J136" s="9">
        <f t="shared" si="33"/>
        <v>81</v>
      </c>
      <c r="K136" s="9">
        <f t="shared" si="34"/>
        <v>29.123959335648266</v>
      </c>
      <c r="L136" s="9">
        <f>'Model tests'!H14+'Model tests'!G14*G136</f>
        <v>5.2695508324761784</v>
      </c>
      <c r="M136" s="9">
        <f t="shared" si="35"/>
        <v>3.7304491675238216</v>
      </c>
      <c r="N136" s="9"/>
      <c r="O136" s="9"/>
      <c r="P136" s="9"/>
      <c r="Q136" s="9"/>
    </row>
    <row r="137" spans="1:17" ht="25" customHeight="1">
      <c r="A137" s="1"/>
      <c r="B137" s="1" t="s">
        <v>45</v>
      </c>
      <c r="C137" s="1" t="s">
        <v>81</v>
      </c>
      <c r="D137" s="1" t="s">
        <v>82</v>
      </c>
      <c r="E137" s="1" t="s">
        <v>77</v>
      </c>
      <c r="F137" s="1" t="s">
        <v>100</v>
      </c>
      <c r="G137" s="9">
        <f>'Quarterly market'!G8</f>
        <v>3.5533938473930382</v>
      </c>
      <c r="H137" s="9">
        <f>'PG history'!F22</f>
        <v>8</v>
      </c>
      <c r="I137" s="9">
        <f t="shared" si="32"/>
        <v>12.626607834690699</v>
      </c>
      <c r="J137" s="9">
        <f t="shared" si="33"/>
        <v>64</v>
      </c>
      <c r="K137" s="9">
        <f t="shared" si="34"/>
        <v>28.427150779144306</v>
      </c>
      <c r="L137" s="9">
        <f>'Model tests'!H14+'Model tests'!G14*G137</f>
        <v>5.2894365882570442</v>
      </c>
      <c r="M137" s="9">
        <f t="shared" si="35"/>
        <v>2.7105634117429558</v>
      </c>
      <c r="N137" s="9"/>
      <c r="O137" s="9"/>
      <c r="P137" s="9"/>
      <c r="Q137" s="9"/>
    </row>
    <row r="138" spans="1:17" ht="25" customHeight="1">
      <c r="A138" s="1"/>
      <c r="B138" s="1" t="s">
        <v>45</v>
      </c>
      <c r="C138" s="1" t="s">
        <v>81</v>
      </c>
      <c r="D138" s="1" t="s">
        <v>82</v>
      </c>
      <c r="E138" s="1" t="s">
        <v>77</v>
      </c>
      <c r="F138" s="1" t="s">
        <v>101</v>
      </c>
      <c r="G138" s="9">
        <f>'Quarterly market'!G9</f>
        <v>3.8028851607049052</v>
      </c>
      <c r="H138" s="9">
        <f>'PG history'!F29</f>
        <v>8</v>
      </c>
      <c r="I138" s="9">
        <f t="shared" si="32"/>
        <v>14.461935545509572</v>
      </c>
      <c r="J138" s="9">
        <f t="shared" si="33"/>
        <v>64</v>
      </c>
      <c r="K138" s="9">
        <f t="shared" si="34"/>
        <v>30.423081285639242</v>
      </c>
      <c r="L138" s="9">
        <f>'Model tests'!H14+'Model tests'!G14*G138</f>
        <v>5.3050678071378954</v>
      </c>
      <c r="M138" s="9">
        <f t="shared" si="35"/>
        <v>2.6949321928621046</v>
      </c>
      <c r="N138" s="9"/>
      <c r="O138" s="9"/>
      <c r="P138" s="9"/>
      <c r="Q138" s="9"/>
    </row>
    <row r="139" spans="1:17" ht="25" customHeight="1">
      <c r="A139" s="1"/>
      <c r="B139" s="1" t="s">
        <v>45</v>
      </c>
      <c r="C139" s="1" t="s">
        <v>81</v>
      </c>
      <c r="D139" s="1" t="s">
        <v>82</v>
      </c>
      <c r="E139" s="1" t="s">
        <v>77</v>
      </c>
      <c r="F139" s="1" t="s">
        <v>102</v>
      </c>
      <c r="G139" s="9">
        <f>'Quarterly market'!G10</f>
        <v>7.4226951952720999</v>
      </c>
      <c r="H139" s="9">
        <f>'PG history'!F36</f>
        <v>9</v>
      </c>
      <c r="I139" s="9">
        <f t="shared" si="32"/>
        <v>55.09640396191552</v>
      </c>
      <c r="J139" s="9">
        <f t="shared" si="33"/>
        <v>81</v>
      </c>
      <c r="K139" s="9">
        <f t="shared" si="34"/>
        <v>66.804256757448897</v>
      </c>
      <c r="L139" s="9">
        <f>'Model tests'!H14+'Model tests'!G14*G139</f>
        <v>5.531857438433363</v>
      </c>
      <c r="M139" s="9">
        <f t="shared" si="35"/>
        <v>3.468142561566637</v>
      </c>
      <c r="N139" s="9"/>
      <c r="O139" s="9"/>
      <c r="P139" s="9"/>
      <c r="Q139" s="9"/>
    </row>
    <row r="140" spans="1:17" ht="25" customHeight="1">
      <c r="A140" s="1"/>
      <c r="B140" s="1" t="s">
        <v>45</v>
      </c>
      <c r="C140" s="1" t="s">
        <v>81</v>
      </c>
      <c r="D140" s="1" t="s">
        <v>82</v>
      </c>
      <c r="E140" s="1" t="s">
        <v>77</v>
      </c>
      <c r="F140" s="1" t="s">
        <v>103</v>
      </c>
      <c r="G140" s="9">
        <f>'Quarterly market'!G11</f>
        <v>8.3743642737017066</v>
      </c>
      <c r="H140" s="9">
        <f>'PG history'!F43</f>
        <v>5</v>
      </c>
      <c r="I140" s="9">
        <f t="shared" si="32"/>
        <v>70.129976988651507</v>
      </c>
      <c r="J140" s="9">
        <f t="shared" si="33"/>
        <v>25</v>
      </c>
      <c r="K140" s="9">
        <f t="shared" si="34"/>
        <v>41.871821368508535</v>
      </c>
      <c r="L140" s="9">
        <f>'Model tests'!H14+'Model tests'!G14*G140</f>
        <v>5.5914817494749096</v>
      </c>
      <c r="M140" s="9">
        <f t="shared" si="35"/>
        <v>-0.59148174947490961</v>
      </c>
      <c r="N140" s="9"/>
      <c r="O140" s="9"/>
      <c r="P140" s="9"/>
      <c r="Q140" s="9"/>
    </row>
    <row r="141" spans="1:17" ht="25" customHeight="1">
      <c r="A141" s="1"/>
      <c r="B141" s="1" t="s">
        <v>45</v>
      </c>
      <c r="C141" s="1" t="s">
        <v>81</v>
      </c>
      <c r="D141" s="1" t="s">
        <v>82</v>
      </c>
      <c r="E141" s="1" t="s">
        <v>77</v>
      </c>
      <c r="F141" s="1" t="s">
        <v>104</v>
      </c>
      <c r="G141" s="9">
        <f>'Quarterly market'!G12</f>
        <v>7.2648038453100305</v>
      </c>
      <c r="H141" s="9">
        <f>'PG history'!F50</f>
        <v>10</v>
      </c>
      <c r="I141" s="9">
        <f t="shared" si="32"/>
        <v>52.777374910831405</v>
      </c>
      <c r="J141" s="9">
        <f t="shared" si="33"/>
        <v>100</v>
      </c>
      <c r="K141" s="9">
        <f t="shared" si="34"/>
        <v>72.648038453100298</v>
      </c>
      <c r="L141" s="9">
        <f>'Model tests'!H14+'Model tests'!G14*G141</f>
        <v>5.521965173176155</v>
      </c>
      <c r="M141" s="9">
        <f t="shared" si="35"/>
        <v>4.478034826823845</v>
      </c>
      <c r="N141" s="9"/>
      <c r="O141" s="9"/>
      <c r="P141" s="9"/>
      <c r="Q141" s="9"/>
    </row>
    <row r="142" spans="1:17" ht="25" customHeight="1">
      <c r="A142" s="1"/>
      <c r="B142" s="1" t="s">
        <v>45</v>
      </c>
      <c r="C142" s="1" t="s">
        <v>81</v>
      </c>
      <c r="D142" s="1" t="s">
        <v>82</v>
      </c>
      <c r="E142" s="1" t="s">
        <v>77</v>
      </c>
      <c r="F142" s="1" t="s">
        <v>105</v>
      </c>
      <c r="G142" s="9">
        <f>'Quarterly market'!G13</f>
        <v>9.9248015735047268</v>
      </c>
      <c r="H142" s="9">
        <f>'PG history'!F57</f>
        <v>2</v>
      </c>
      <c r="I142" s="9">
        <f t="shared" si="32"/>
        <v>98.501686273441905</v>
      </c>
      <c r="J142" s="9">
        <f t="shared" si="33"/>
        <v>4</v>
      </c>
      <c r="K142" s="9">
        <f t="shared" si="34"/>
        <v>19.849603147009454</v>
      </c>
      <c r="L142" s="9">
        <f>'Model tests'!H14+'Model tests'!G14*G142</f>
        <v>5.6886203010042049</v>
      </c>
      <c r="M142" s="9">
        <f t="shared" si="35"/>
        <v>-3.6886203010042049</v>
      </c>
      <c r="N142" s="9"/>
      <c r="O142" s="9"/>
      <c r="P142" s="9"/>
      <c r="Q142" s="9"/>
    </row>
    <row r="143" spans="1:17" ht="25" customHeight="1">
      <c r="A143" s="1"/>
      <c r="B143" s="1" t="s">
        <v>45</v>
      </c>
      <c r="C143" s="1" t="s">
        <v>81</v>
      </c>
      <c r="D143" s="1" t="s">
        <v>82</v>
      </c>
      <c r="E143" s="1" t="s">
        <v>77</v>
      </c>
      <c r="F143" s="1" t="s">
        <v>106</v>
      </c>
      <c r="G143" s="9">
        <f>'Quarterly market'!G14</f>
        <v>2.2273073989321102</v>
      </c>
      <c r="H143" s="9">
        <f>'PG history'!F64</f>
        <v>2</v>
      </c>
      <c r="I143" s="9">
        <f t="shared" si="32"/>
        <v>4.9608982493377223</v>
      </c>
      <c r="J143" s="9">
        <f t="shared" si="33"/>
        <v>4</v>
      </c>
      <c r="K143" s="9">
        <f t="shared" si="34"/>
        <v>4.4546147978642203</v>
      </c>
      <c r="L143" s="9">
        <f>'Model tests'!H14+'Model tests'!G14*G143</f>
        <v>5.206354146405002</v>
      </c>
      <c r="M143" s="9">
        <f t="shared" si="35"/>
        <v>-3.206354146405002</v>
      </c>
      <c r="N143" s="9">
        <f>AVERAGE(H135:H142)+((SUM(K135:K142)-SUM(G135:G142)*SUM(H135:H142)/COUNT(G135:G142))/(SUM(I135:I142)-SUM(G135:G142)^2/COUNT(G135:G142)))*(G143-AVERAGE(G135:G142))</f>
        <v>10.740281126541044</v>
      </c>
      <c r="O143" s="9">
        <f t="shared" ref="O143:O151" si="36">AVERAGE(H139:H142)</f>
        <v>6.5</v>
      </c>
      <c r="P143" s="9">
        <f t="shared" ref="P143:P151" si="37">(H143-N143)^2</f>
        <v>76.392514170969577</v>
      </c>
      <c r="Q143" s="9">
        <f t="shared" ref="Q143:Q151" si="38">(H143-O143)^2</f>
        <v>20.25</v>
      </c>
    </row>
    <row r="144" spans="1:17" ht="25" customHeight="1">
      <c r="A144" s="1"/>
      <c r="B144" s="1" t="s">
        <v>45</v>
      </c>
      <c r="C144" s="1" t="s">
        <v>81</v>
      </c>
      <c r="D144" s="1" t="s">
        <v>82</v>
      </c>
      <c r="E144" s="1" t="s">
        <v>77</v>
      </c>
      <c r="F144" s="1" t="s">
        <v>107</v>
      </c>
      <c r="G144" s="9">
        <f>'Quarterly market'!G15</f>
        <v>0.79927457652468892</v>
      </c>
      <c r="H144" s="9">
        <f>'PG history'!F71</f>
        <v>4</v>
      </c>
      <c r="I144" s="9">
        <f t="shared" si="32"/>
        <v>0.63883984867872079</v>
      </c>
      <c r="J144" s="9">
        <f t="shared" si="33"/>
        <v>16</v>
      </c>
      <c r="K144" s="9">
        <f t="shared" si="34"/>
        <v>3.1970983060987557</v>
      </c>
      <c r="L144" s="9">
        <f>'Model tests'!H14+'Model tests'!G14*G144</f>
        <v>5.116884523916835</v>
      </c>
      <c r="M144" s="9">
        <f t="shared" si="35"/>
        <v>-1.116884523916835</v>
      </c>
      <c r="N144" s="9">
        <f>AVERAGE(H135:H143)+((SUM(K135:K143)-SUM(G135:G143)*SUM(H135:H143)/COUNT(G135:G143))/(SUM(I135:I143)-SUM(G135:G143)^2/COUNT(G135:G143)))*(G144-AVERAGE(G135:G143))</f>
        <v>7.8495781685545669</v>
      </c>
      <c r="O144" s="9">
        <f t="shared" si="36"/>
        <v>4.75</v>
      </c>
      <c r="P144" s="9">
        <f t="shared" si="37"/>
        <v>14.819252075811933</v>
      </c>
      <c r="Q144" s="9">
        <f t="shared" si="38"/>
        <v>0.5625</v>
      </c>
    </row>
    <row r="145" spans="1:17" ht="25" customHeight="1">
      <c r="A145" s="1"/>
      <c r="B145" s="1" t="s">
        <v>45</v>
      </c>
      <c r="C145" s="1" t="s">
        <v>81</v>
      </c>
      <c r="D145" s="1" t="s">
        <v>82</v>
      </c>
      <c r="E145" s="1" t="s">
        <v>77</v>
      </c>
      <c r="F145" s="1" t="s">
        <v>108</v>
      </c>
      <c r="G145" s="9">
        <f>'Quarterly market'!G16</f>
        <v>5.5874231845522981</v>
      </c>
      <c r="H145" s="9">
        <f>'PG history'!F78</f>
        <v>4</v>
      </c>
      <c r="I145" s="9">
        <f t="shared" si="32"/>
        <v>31.219297843272546</v>
      </c>
      <c r="J145" s="9">
        <f t="shared" si="33"/>
        <v>16</v>
      </c>
      <c r="K145" s="9">
        <f t="shared" si="34"/>
        <v>22.349692738209193</v>
      </c>
      <c r="L145" s="9">
        <f>'Model tests'!H14+'Model tests'!G14*G145</f>
        <v>5.4168733208516784</v>
      </c>
      <c r="M145" s="9">
        <f t="shared" si="35"/>
        <v>-1.4168733208516784</v>
      </c>
      <c r="N145" s="9">
        <f>AVERAGE(H135:H144)+((SUM(K135:K144)-SUM(G135:G144)*SUM(H135:H144)/COUNT(G135:G144))/(SUM(I135:I144)-SUM(G135:G144)^2/COUNT(G135:G144)))*(G145-AVERAGE(G135:G144))</f>
        <v>7.3471623392776184</v>
      </c>
      <c r="O145" s="9">
        <f t="shared" si="36"/>
        <v>4.5</v>
      </c>
      <c r="P145" s="9">
        <f t="shared" si="37"/>
        <v>11.203495725478419</v>
      </c>
      <c r="Q145" s="9">
        <f t="shared" si="38"/>
        <v>0.25</v>
      </c>
    </row>
    <row r="146" spans="1:17" ht="25" customHeight="1">
      <c r="A146" s="1"/>
      <c r="B146" s="1" t="s">
        <v>45</v>
      </c>
      <c r="C146" s="1" t="s">
        <v>81</v>
      </c>
      <c r="D146" s="1" t="s">
        <v>82</v>
      </c>
      <c r="E146" s="1" t="s">
        <v>77</v>
      </c>
      <c r="F146" s="1" t="s">
        <v>109</v>
      </c>
      <c r="G146" s="9">
        <f>'Quarterly market'!G17</f>
        <v>3.121328778759791</v>
      </c>
      <c r="H146" s="9">
        <f>'PG history'!F85</f>
        <v>3</v>
      </c>
      <c r="I146" s="9">
        <f t="shared" si="32"/>
        <v>9.7426933451140876</v>
      </c>
      <c r="J146" s="9">
        <f t="shared" si="33"/>
        <v>9</v>
      </c>
      <c r="K146" s="9">
        <f t="shared" si="34"/>
        <v>9.3639863362793729</v>
      </c>
      <c r="L146" s="9">
        <f>'Model tests'!H14+'Model tests'!G14*G146</f>
        <v>5.2623666932417663</v>
      </c>
      <c r="M146" s="9">
        <f t="shared" si="35"/>
        <v>-2.2623666932417663</v>
      </c>
      <c r="N146" s="9">
        <f>AVERAGE(H135:H145)+((SUM(K135:K145)-SUM(G135:G145)*SUM(H135:H145)/COUNT(G135:G145))/(SUM(I135:I145)-SUM(G135:G145)^2/COUNT(G135:G145)))*(G146-AVERAGE(G135:G145))</f>
        <v>6.6193317735269792</v>
      </c>
      <c r="O146" s="9">
        <f t="shared" si="36"/>
        <v>3</v>
      </c>
      <c r="P146" s="9">
        <f t="shared" si="37"/>
        <v>13.099562486861949</v>
      </c>
      <c r="Q146" s="9">
        <f t="shared" si="38"/>
        <v>0</v>
      </c>
    </row>
    <row r="147" spans="1:17" ht="25" customHeight="1">
      <c r="A147" s="1"/>
      <c r="B147" s="1" t="s">
        <v>45</v>
      </c>
      <c r="C147" s="1" t="s">
        <v>81</v>
      </c>
      <c r="D147" s="1" t="s">
        <v>82</v>
      </c>
      <c r="E147" s="1" t="s">
        <v>77</v>
      </c>
      <c r="F147" s="1" t="s">
        <v>110</v>
      </c>
      <c r="G147" s="9">
        <f>'Quarterly market'!G18</f>
        <v>8.094873899417987</v>
      </c>
      <c r="H147" s="9">
        <f>'PG history'!F92</f>
        <v>4</v>
      </c>
      <c r="I147" s="9">
        <f t="shared" si="32"/>
        <v>65.526983447478571</v>
      </c>
      <c r="J147" s="9">
        <f t="shared" si="33"/>
        <v>16</v>
      </c>
      <c r="K147" s="9">
        <f t="shared" si="34"/>
        <v>32.379495597671948</v>
      </c>
      <c r="L147" s="9">
        <f>'Model tests'!H14+'Model tests'!G14*G147</f>
        <v>5.5739710187102727</v>
      </c>
      <c r="M147" s="9">
        <f t="shared" si="35"/>
        <v>-1.5739710187102727</v>
      </c>
      <c r="N147" s="9">
        <f>AVERAGE(H135:H146)+((SUM(K135:K146)-SUM(G135:G146)*SUM(H135:H146)/COUNT(G135:G146))/(SUM(I135:I146)-SUM(G135:G146)^2/COUNT(G135:G146)))*(G147-AVERAGE(G135:G146))</f>
        <v>7.422382831908954</v>
      </c>
      <c r="O147" s="9">
        <f t="shared" si="36"/>
        <v>3.25</v>
      </c>
      <c r="P147" s="9">
        <f t="shared" si="37"/>
        <v>11.712704248145151</v>
      </c>
      <c r="Q147" s="9">
        <f t="shared" si="38"/>
        <v>0.5625</v>
      </c>
    </row>
    <row r="148" spans="1:17" ht="25" customHeight="1">
      <c r="A148" s="1"/>
      <c r="B148" s="1" t="s">
        <v>45</v>
      </c>
      <c r="C148" s="1" t="s">
        <v>81</v>
      </c>
      <c r="D148" s="1" t="s">
        <v>82</v>
      </c>
      <c r="E148" s="1" t="s">
        <v>77</v>
      </c>
      <c r="F148" s="1" t="s">
        <v>111</v>
      </c>
      <c r="G148" s="9">
        <f>'Quarterly market'!G19</f>
        <v>8.972706279503285</v>
      </c>
      <c r="H148" s="9">
        <f>'PG history'!F99</f>
        <v>2</v>
      </c>
      <c r="I148" s="9">
        <f t="shared" si="32"/>
        <v>80.509457978237677</v>
      </c>
      <c r="J148" s="9">
        <f t="shared" si="33"/>
        <v>4</v>
      </c>
      <c r="K148" s="9">
        <f t="shared" si="34"/>
        <v>17.94541255900657</v>
      </c>
      <c r="L148" s="9">
        <f>'Model tests'!H14+'Model tests'!G14*G148</f>
        <v>5.6289692865524055</v>
      </c>
      <c r="M148" s="9">
        <f t="shared" si="35"/>
        <v>-3.6289692865524055</v>
      </c>
      <c r="N148" s="9">
        <f>AVERAGE(H135:H147)+((SUM(K135:K147)-SUM(G135:G147)*SUM(H135:H147)/COUNT(G135:G147))/(SUM(I135:I147)-SUM(G135:G147)^2/COUNT(G135:G147)))*(G148-AVERAGE(G135:G147))</f>
        <v>7.0282148259534347</v>
      </c>
      <c r="O148" s="9">
        <f t="shared" si="36"/>
        <v>3.75</v>
      </c>
      <c r="P148" s="9">
        <f t="shared" si="37"/>
        <v>25.28294433593793</v>
      </c>
      <c r="Q148" s="9">
        <f t="shared" si="38"/>
        <v>3.0625</v>
      </c>
    </row>
    <row r="149" spans="1:17" ht="25" customHeight="1">
      <c r="A149" s="1"/>
      <c r="B149" s="1" t="s">
        <v>45</v>
      </c>
      <c r="C149" s="1" t="s">
        <v>81</v>
      </c>
      <c r="D149" s="1" t="s">
        <v>82</v>
      </c>
      <c r="E149" s="1" t="s">
        <v>77</v>
      </c>
      <c r="F149" s="1" t="s">
        <v>112</v>
      </c>
      <c r="G149" s="9">
        <f>'Quarterly market'!G20</f>
        <v>6.4839354424026885</v>
      </c>
      <c r="H149" s="9">
        <f>'PG history'!F106</f>
        <v>1</v>
      </c>
      <c r="I149" s="9">
        <f t="shared" si="32"/>
        <v>42.041418821245749</v>
      </c>
      <c r="J149" s="9">
        <f t="shared" si="33"/>
        <v>1</v>
      </c>
      <c r="K149" s="9">
        <f t="shared" si="34"/>
        <v>6.4839354424026885</v>
      </c>
      <c r="L149" s="9">
        <f>'Model tests'!H14+'Model tests'!G14*G149</f>
        <v>5.4730419270680724</v>
      </c>
      <c r="M149" s="9">
        <f t="shared" si="35"/>
        <v>-4.4730419270680724</v>
      </c>
      <c r="N149" s="9">
        <f>AVERAGE(H135:H148)+((SUM(K135:K148)-SUM(G135:G148)*SUM(H135:H148)/COUNT(G135:G148))/(SUM(I135:I148)-SUM(G135:G148)^2/COUNT(G135:G148)))*(G149-AVERAGE(G135:G148))</f>
        <v>6.1415768534315056</v>
      </c>
      <c r="O149" s="9">
        <f t="shared" si="36"/>
        <v>3.25</v>
      </c>
      <c r="P149" s="9">
        <f t="shared" si="37"/>
        <v>26.435812539742621</v>
      </c>
      <c r="Q149" s="9">
        <f t="shared" si="38"/>
        <v>5.0625</v>
      </c>
    </row>
    <row r="150" spans="1:17" ht="25" customHeight="1">
      <c r="A150" s="1"/>
      <c r="B150" s="1" t="s">
        <v>45</v>
      </c>
      <c r="C150" s="1" t="s">
        <v>81</v>
      </c>
      <c r="D150" s="1" t="s">
        <v>82</v>
      </c>
      <c r="E150" s="1" t="s">
        <v>77</v>
      </c>
      <c r="F150" s="1" t="s">
        <v>113</v>
      </c>
      <c r="G150" s="9">
        <f>'Quarterly market'!G21</f>
        <v>5.8582795849691616</v>
      </c>
      <c r="H150" s="9">
        <f>'PG history'!F113</f>
        <v>3</v>
      </c>
      <c r="I150" s="9">
        <f t="shared" si="32"/>
        <v>34.319439695666453</v>
      </c>
      <c r="J150" s="9">
        <f t="shared" si="33"/>
        <v>9</v>
      </c>
      <c r="K150" s="9">
        <f t="shared" si="34"/>
        <v>17.574838754907486</v>
      </c>
      <c r="L150" s="9">
        <f>'Model tests'!H14+'Model tests'!G14*G150</f>
        <v>5.4338431128015214</v>
      </c>
      <c r="M150" s="9">
        <f t="shared" si="35"/>
        <v>-2.4338431128015214</v>
      </c>
      <c r="N150" s="9">
        <f>AVERAGE(H135:H149)+((SUM(K135:K149)-SUM(G135:G149)*SUM(H135:H149)/COUNT(G135:G149))/(SUM(I135:I149)-SUM(G135:G149)^2/COUNT(G135:G149)))*(G150-AVERAGE(G135:G149))</f>
        <v>5.7937827308582017</v>
      </c>
      <c r="O150" s="9">
        <f t="shared" si="36"/>
        <v>2.5</v>
      </c>
      <c r="P150" s="9">
        <f t="shared" si="37"/>
        <v>7.8052219472415114</v>
      </c>
      <c r="Q150" s="9">
        <f t="shared" si="38"/>
        <v>0.25</v>
      </c>
    </row>
    <row r="151" spans="1:17" ht="25" customHeight="1">
      <c r="A151" s="1"/>
      <c r="B151" s="1" t="s">
        <v>45</v>
      </c>
      <c r="C151" s="1" t="s">
        <v>81</v>
      </c>
      <c r="D151" s="1" t="s">
        <v>82</v>
      </c>
      <c r="E151" s="1" t="s">
        <v>77</v>
      </c>
      <c r="F151" s="1" t="s">
        <v>114</v>
      </c>
      <c r="G151" s="9">
        <f>'Quarterly market'!G22</f>
        <v>2.2175244833685603</v>
      </c>
      <c r="H151" s="9">
        <f>'PG history'!F120</f>
        <v>2</v>
      </c>
      <c r="I151" s="9">
        <f t="shared" si="32"/>
        <v>4.9174148343390005</v>
      </c>
      <c r="J151" s="9">
        <f t="shared" si="33"/>
        <v>4</v>
      </c>
      <c r="K151" s="9">
        <f t="shared" si="34"/>
        <v>4.4350489667371207</v>
      </c>
      <c r="L151" s="9">
        <f>'Model tests'!H14+'Model tests'!G14*G151</f>
        <v>5.2057412236846199</v>
      </c>
      <c r="M151" s="9">
        <f t="shared" si="35"/>
        <v>-3.2057412236846199</v>
      </c>
      <c r="N151" s="9">
        <f>AVERAGE(H135:H150)+((SUM(K135:K150)-SUM(G135:G150)*SUM(H135:H150)/COUNT(G135:G150))/(SUM(I135:I150)-SUM(G135:G150)^2/COUNT(G135:G150)))*(G151-AVERAGE(G135:G150))</f>
        <v>5.7772527778640832</v>
      </c>
      <c r="O151" s="9">
        <f t="shared" si="36"/>
        <v>2.5</v>
      </c>
      <c r="P151" s="9">
        <f t="shared" si="37"/>
        <v>14.267638547881933</v>
      </c>
      <c r="Q151" s="9">
        <f t="shared" si="38"/>
        <v>0.25</v>
      </c>
    </row>
    <row r="152" spans="1:17" ht="25" customHeight="1">
      <c r="A152" s="1"/>
      <c r="B152" s="1" t="s">
        <v>34</v>
      </c>
      <c r="C152" s="1" t="s">
        <v>75</v>
      </c>
      <c r="D152" s="1" t="s">
        <v>76</v>
      </c>
      <c r="E152" s="1" t="s">
        <v>83</v>
      </c>
      <c r="F152" s="1" t="s">
        <v>98</v>
      </c>
      <c r="G152" s="9">
        <f>'Quarterly market'!G56</f>
        <v>3.5989104881054557</v>
      </c>
      <c r="H152" s="9">
        <f>'PG history'!G6</f>
        <v>-1</v>
      </c>
      <c r="I152" s="9">
        <f t="shared" si="32"/>
        <v>12.952156701395449</v>
      </c>
      <c r="J152" s="9">
        <f t="shared" si="33"/>
        <v>1</v>
      </c>
      <c r="K152" s="9">
        <f t="shared" si="34"/>
        <v>-3.5989104881054557</v>
      </c>
      <c r="L152" s="9">
        <f>'Model tests'!H15+'Model tests'!G15*G152</f>
        <v>1.7052751114862275</v>
      </c>
      <c r="M152" s="9">
        <f t="shared" si="35"/>
        <v>-2.7052751114862277</v>
      </c>
      <c r="N152" s="9"/>
      <c r="O152" s="9"/>
      <c r="P152" s="9"/>
      <c r="Q152" s="9"/>
    </row>
    <row r="153" spans="1:17" ht="25" customHeight="1">
      <c r="A153" s="1"/>
      <c r="B153" s="1" t="s">
        <v>34</v>
      </c>
      <c r="C153" s="1" t="s">
        <v>75</v>
      </c>
      <c r="D153" s="1" t="s">
        <v>76</v>
      </c>
      <c r="E153" s="1" t="s">
        <v>83</v>
      </c>
      <c r="F153" s="1" t="s">
        <v>99</v>
      </c>
      <c r="G153" s="9">
        <f>'Quarterly market'!G57</f>
        <v>-3.7966210073037132E-2</v>
      </c>
      <c r="H153" s="9">
        <f>'PG history'!G13</f>
        <v>-2</v>
      </c>
      <c r="I153" s="9">
        <f t="shared" si="32"/>
        <v>1.4414331073099862E-3</v>
      </c>
      <c r="J153" s="9">
        <f t="shared" si="33"/>
        <v>4</v>
      </c>
      <c r="K153" s="9">
        <f t="shared" si="34"/>
        <v>7.5932420146074264E-2</v>
      </c>
      <c r="L153" s="9">
        <f>'Model tests'!H15+'Model tests'!G15*G153</f>
        <v>-0.6822427440669161</v>
      </c>
      <c r="M153" s="9">
        <f t="shared" si="35"/>
        <v>-1.3177572559330839</v>
      </c>
      <c r="N153" s="9"/>
      <c r="O153" s="9"/>
      <c r="P153" s="9"/>
      <c r="Q153" s="9"/>
    </row>
    <row r="154" spans="1:17" ht="25" customHeight="1">
      <c r="A154" s="1"/>
      <c r="B154" s="1" t="s">
        <v>34</v>
      </c>
      <c r="C154" s="1" t="s">
        <v>75</v>
      </c>
      <c r="D154" s="1" t="s">
        <v>76</v>
      </c>
      <c r="E154" s="1" t="s">
        <v>83</v>
      </c>
      <c r="F154" s="1" t="s">
        <v>100</v>
      </c>
      <c r="G154" s="9">
        <f>'Quarterly market'!G58</f>
        <v>-0.97428175390660288</v>
      </c>
      <c r="H154" s="9">
        <f>'PG history'!G20</f>
        <v>-1</v>
      </c>
      <c r="I154" s="9">
        <f t="shared" si="32"/>
        <v>0.94922493599532631</v>
      </c>
      <c r="J154" s="9">
        <f t="shared" si="33"/>
        <v>1</v>
      </c>
      <c r="K154" s="9">
        <f t="shared" si="34"/>
        <v>0.97428175390660288</v>
      </c>
      <c r="L154" s="9">
        <f>'Model tests'!H15+'Model tests'!G15*G154</f>
        <v>-1.2969102912109289</v>
      </c>
      <c r="M154" s="9">
        <f t="shared" si="35"/>
        <v>0.29691029121092893</v>
      </c>
      <c r="N154" s="9"/>
      <c r="O154" s="9"/>
      <c r="P154" s="9"/>
      <c r="Q154" s="9"/>
    </row>
    <row r="155" spans="1:17" ht="25" customHeight="1">
      <c r="A155" s="1"/>
      <c r="B155" s="1" t="s">
        <v>34</v>
      </c>
      <c r="C155" s="1" t="s">
        <v>75</v>
      </c>
      <c r="D155" s="1" t="s">
        <v>76</v>
      </c>
      <c r="E155" s="1" t="s">
        <v>83</v>
      </c>
      <c r="F155" s="1" t="s">
        <v>101</v>
      </c>
      <c r="G155" s="9">
        <f>'Quarterly market'!G59</f>
        <v>-1.7083333333333339</v>
      </c>
      <c r="H155" s="9">
        <f>'PG history'!G27</f>
        <v>-4</v>
      </c>
      <c r="I155" s="9">
        <f t="shared" si="32"/>
        <v>2.9184027777777799</v>
      </c>
      <c r="J155" s="9">
        <f t="shared" si="33"/>
        <v>16</v>
      </c>
      <c r="K155" s="9">
        <f t="shared" si="34"/>
        <v>6.8333333333333357</v>
      </c>
      <c r="L155" s="9">
        <f>'Model tests'!H15+'Model tests'!G15*G155</f>
        <v>-1.7787966454159165</v>
      </c>
      <c r="M155" s="9">
        <f t="shared" si="35"/>
        <v>-2.2212033545840835</v>
      </c>
      <c r="N155" s="9"/>
      <c r="O155" s="9"/>
      <c r="P155" s="9"/>
      <c r="Q155" s="9"/>
    </row>
    <row r="156" spans="1:17" ht="25" customHeight="1">
      <c r="A156" s="1"/>
      <c r="B156" s="1" t="s">
        <v>34</v>
      </c>
      <c r="C156" s="1" t="s">
        <v>75</v>
      </c>
      <c r="D156" s="1" t="s">
        <v>76</v>
      </c>
      <c r="E156" s="1" t="s">
        <v>83</v>
      </c>
      <c r="F156" s="1" t="s">
        <v>102</v>
      </c>
      <c r="G156" s="9">
        <f>'Quarterly market'!G60</f>
        <v>-0.51383557261676094</v>
      </c>
      <c r="H156" s="9">
        <f>'PG history'!G34</f>
        <v>0</v>
      </c>
      <c r="I156" s="9">
        <f t="shared" si="32"/>
        <v>0.26402699568639459</v>
      </c>
      <c r="J156" s="9">
        <f t="shared" si="33"/>
        <v>0</v>
      </c>
      <c r="K156" s="9">
        <f t="shared" si="34"/>
        <v>0</v>
      </c>
      <c r="L156" s="9">
        <f>'Model tests'!H15+'Model tests'!G15*G156</f>
        <v>-0.99463898245268956</v>
      </c>
      <c r="M156" s="9">
        <f t="shared" si="35"/>
        <v>0.99463898245268956</v>
      </c>
      <c r="N156" s="9"/>
      <c r="O156" s="9"/>
      <c r="P156" s="9"/>
      <c r="Q156" s="9"/>
    </row>
    <row r="157" spans="1:17" ht="25" customHeight="1">
      <c r="A157" s="1"/>
      <c r="B157" s="1" t="s">
        <v>34</v>
      </c>
      <c r="C157" s="1" t="s">
        <v>75</v>
      </c>
      <c r="D157" s="1" t="s">
        <v>76</v>
      </c>
      <c r="E157" s="1" t="s">
        <v>83</v>
      </c>
      <c r="F157" s="1" t="s">
        <v>103</v>
      </c>
      <c r="G157" s="9">
        <f>'Quarterly market'!G61</f>
        <v>-0.38380425982746935</v>
      </c>
      <c r="H157" s="9">
        <f>'PG history'!G41</f>
        <v>-1</v>
      </c>
      <c r="I157" s="9">
        <f t="shared" si="32"/>
        <v>0.1473057098617116</v>
      </c>
      <c r="J157" s="9">
        <f t="shared" si="33"/>
        <v>1</v>
      </c>
      <c r="K157" s="9">
        <f t="shared" si="34"/>
        <v>0.38380425982746935</v>
      </c>
      <c r="L157" s="9">
        <f>'Model tests'!H15+'Model tests'!G15*G157</f>
        <v>-0.90927670409419092</v>
      </c>
      <c r="M157" s="9">
        <f t="shared" si="35"/>
        <v>-9.0723295905809076E-2</v>
      </c>
      <c r="N157" s="9"/>
      <c r="O157" s="9"/>
      <c r="P157" s="9"/>
      <c r="Q157" s="9"/>
    </row>
    <row r="158" spans="1:17" ht="25" customHeight="1">
      <c r="A158" s="1"/>
      <c r="B158" s="1" t="s">
        <v>34</v>
      </c>
      <c r="C158" s="1" t="s">
        <v>75</v>
      </c>
      <c r="D158" s="1" t="s">
        <v>76</v>
      </c>
      <c r="E158" s="1" t="s">
        <v>83</v>
      </c>
      <c r="F158" s="1" t="s">
        <v>104</v>
      </c>
      <c r="G158" s="9">
        <f>'Quarterly market'!G62</f>
        <v>1.1893013232361582</v>
      </c>
      <c r="H158" s="9">
        <f>'PG history'!G48</f>
        <v>0</v>
      </c>
      <c r="I158" s="9">
        <f t="shared" si="32"/>
        <v>1.4144376374512768</v>
      </c>
      <c r="J158" s="9">
        <f t="shared" si="33"/>
        <v>0</v>
      </c>
      <c r="K158" s="9">
        <f t="shared" si="34"/>
        <v>0</v>
      </c>
      <c r="L158" s="9">
        <f>'Model tests'!H15+'Model tests'!G15*G158</f>
        <v>0.12342744837702901</v>
      </c>
      <c r="M158" s="9">
        <f t="shared" si="35"/>
        <v>-0.12342744837702901</v>
      </c>
      <c r="N158" s="9"/>
      <c r="O158" s="9"/>
      <c r="P158" s="9"/>
      <c r="Q158" s="9"/>
    </row>
    <row r="159" spans="1:17" ht="25" customHeight="1">
      <c r="A159" s="1"/>
      <c r="B159" s="1" t="s">
        <v>34</v>
      </c>
      <c r="C159" s="1" t="s">
        <v>75</v>
      </c>
      <c r="D159" s="1" t="s">
        <v>76</v>
      </c>
      <c r="E159" s="1" t="s">
        <v>83</v>
      </c>
      <c r="F159" s="1" t="s">
        <v>105</v>
      </c>
      <c r="G159" s="9">
        <f>'Quarterly market'!G63</f>
        <v>2.2255192878338326</v>
      </c>
      <c r="H159" s="9">
        <f>'PG history'!G55</f>
        <v>-1</v>
      </c>
      <c r="I159" s="9">
        <f t="shared" si="32"/>
        <v>4.9529361005204091</v>
      </c>
      <c r="J159" s="9">
        <f t="shared" si="33"/>
        <v>1</v>
      </c>
      <c r="K159" s="9">
        <f t="shared" si="34"/>
        <v>-2.2255192878338326</v>
      </c>
      <c r="L159" s="9">
        <f>'Model tests'!H15+'Model tests'!G15*G159</f>
        <v>0.80367841590665812</v>
      </c>
      <c r="M159" s="9">
        <f t="shared" si="35"/>
        <v>-1.8036784159066581</v>
      </c>
      <c r="N159" s="9"/>
      <c r="O159" s="9"/>
      <c r="P159" s="9"/>
      <c r="Q159" s="9"/>
    </row>
    <row r="160" spans="1:17" ht="25" customHeight="1">
      <c r="A160" s="1"/>
      <c r="B160" s="1" t="s">
        <v>34</v>
      </c>
      <c r="C160" s="1" t="s">
        <v>75</v>
      </c>
      <c r="D160" s="1" t="s">
        <v>76</v>
      </c>
      <c r="E160" s="1" t="s">
        <v>83</v>
      </c>
      <c r="F160" s="1" t="s">
        <v>106</v>
      </c>
      <c r="G160" s="9">
        <f>'Quarterly market'!G64</f>
        <v>1.3726160091641626</v>
      </c>
      <c r="H160" s="9">
        <f>'PG history'!G62</f>
        <v>1</v>
      </c>
      <c r="I160" s="9">
        <f t="shared" si="32"/>
        <v>1.8840747086137526</v>
      </c>
      <c r="J160" s="9">
        <f t="shared" si="33"/>
        <v>1</v>
      </c>
      <c r="K160" s="9">
        <f t="shared" si="34"/>
        <v>1.3726160091641626</v>
      </c>
      <c r="L160" s="9">
        <f>'Model tests'!H15+'Model tests'!G15*G160</f>
        <v>0.24376891776405274</v>
      </c>
      <c r="M160" s="9">
        <f t="shared" si="35"/>
        <v>0.75623108223594726</v>
      </c>
      <c r="N160" s="9">
        <f>AVERAGE(H152:H159)+((SUM(K152:K159)-SUM(G152:G159)*SUM(H152:H159)/COUNT(G152:G159))/(SUM(I152:I159)-SUM(G152:G159)^2/COUNT(G152:G159)))*(G160-AVERAGE(G152:G159))</f>
        <v>-0.96384866775688671</v>
      </c>
      <c r="O160" s="9">
        <f t="shared" ref="O160:O168" si="39">AVERAGE(H156:H159)</f>
        <v>-0.5</v>
      </c>
      <c r="P160" s="9">
        <f t="shared" ref="P160:P168" si="40">(H160-N160)^2</f>
        <v>3.8567015898504988</v>
      </c>
      <c r="Q160" s="9">
        <f t="shared" ref="Q160:Q168" si="41">(H160-O160)^2</f>
        <v>2.25</v>
      </c>
    </row>
    <row r="161" spans="1:17" ht="25" customHeight="1">
      <c r="A161" s="1"/>
      <c r="B161" s="1" t="s">
        <v>34</v>
      </c>
      <c r="C161" s="1" t="s">
        <v>75</v>
      </c>
      <c r="D161" s="1" t="s">
        <v>76</v>
      </c>
      <c r="E161" s="1" t="s">
        <v>83</v>
      </c>
      <c r="F161" s="1" t="s">
        <v>107</v>
      </c>
      <c r="G161" s="9">
        <f>'Quarterly market'!G65</f>
        <v>2.2805943792830075</v>
      </c>
      <c r="H161" s="9">
        <f>'PG history'!G69</f>
        <v>1</v>
      </c>
      <c r="I161" s="9">
        <f t="shared" si="32"/>
        <v>5.201110722817246</v>
      </c>
      <c r="J161" s="9">
        <f t="shared" si="33"/>
        <v>1</v>
      </c>
      <c r="K161" s="9">
        <f t="shared" si="34"/>
        <v>2.2805943792830075</v>
      </c>
      <c r="L161" s="9">
        <f>'Model tests'!H15+'Model tests'!G15*G161</f>
        <v>0.83983382483129532</v>
      </c>
      <c r="M161" s="9">
        <f t="shared" si="35"/>
        <v>0.16016617516870468</v>
      </c>
      <c r="N161" s="9">
        <f>AVERAGE(H152:H160)+((SUM(K152:K160)-SUM(G152:G160)*SUM(H152:H160)/COUNT(G152:G160))/(SUM(I152:I160)-SUM(G152:G160)^2/COUNT(G152:G160)))*(G161-AVERAGE(G152:G160))</f>
        <v>-0.34539719312978601</v>
      </c>
      <c r="O161" s="9">
        <f t="shared" si="39"/>
        <v>-0.25</v>
      </c>
      <c r="P161" s="9">
        <f t="shared" si="40"/>
        <v>1.810093607281507</v>
      </c>
      <c r="Q161" s="9">
        <f t="shared" si="41"/>
        <v>1.5625</v>
      </c>
    </row>
    <row r="162" spans="1:17" ht="25" customHeight="1">
      <c r="A162" s="1"/>
      <c r="B162" s="1" t="s">
        <v>34</v>
      </c>
      <c r="C162" s="1" t="s">
        <v>75</v>
      </c>
      <c r="D162" s="1" t="s">
        <v>76</v>
      </c>
      <c r="E162" s="1" t="s">
        <v>83</v>
      </c>
      <c r="F162" s="1" t="s">
        <v>108</v>
      </c>
      <c r="G162" s="9">
        <f>'Quarterly market'!G66</f>
        <v>2.6501995362399722</v>
      </c>
      <c r="H162" s="9">
        <f>'PG history'!G76</f>
        <v>0</v>
      </c>
      <c r="I162" s="9">
        <f t="shared" si="32"/>
        <v>7.0235575818865632</v>
      </c>
      <c r="J162" s="9">
        <f t="shared" si="33"/>
        <v>0</v>
      </c>
      <c r="K162" s="9">
        <f t="shared" si="34"/>
        <v>0</v>
      </c>
      <c r="L162" s="9">
        <f>'Model tests'!H15+'Model tests'!G15*G162</f>
        <v>1.0824702914954634</v>
      </c>
      <c r="M162" s="9">
        <f t="shared" si="35"/>
        <v>-1.0824702914954634</v>
      </c>
      <c r="N162" s="9">
        <f>AVERAGE(H152:H161)+((SUM(K152:K161)-SUM(G152:G161)*SUM(H152:H161)/COUNT(G152:G161))/(SUM(I152:I161)-SUM(G152:G161)^2/COUNT(G152:G161)))*(G162-AVERAGE(G152:G161))</f>
        <v>8.7697667008444058E-2</v>
      </c>
      <c r="O162" s="9">
        <f t="shared" si="39"/>
        <v>0.25</v>
      </c>
      <c r="P162" s="9">
        <f t="shared" si="40"/>
        <v>7.6908807987239374E-3</v>
      </c>
      <c r="Q162" s="9">
        <f t="shared" si="41"/>
        <v>6.25E-2</v>
      </c>
    </row>
    <row r="163" spans="1:17" ht="25" customHeight="1">
      <c r="A163" s="1"/>
      <c r="B163" s="1" t="s">
        <v>34</v>
      </c>
      <c r="C163" s="1" t="s">
        <v>75</v>
      </c>
      <c r="D163" s="1" t="s">
        <v>76</v>
      </c>
      <c r="E163" s="1" t="s">
        <v>83</v>
      </c>
      <c r="F163" s="1" t="s">
        <v>109</v>
      </c>
      <c r="G163" s="9">
        <f>'Quarterly market'!G67</f>
        <v>2.7872397144634187</v>
      </c>
      <c r="H163" s="9">
        <f>'PG history'!G83</f>
        <v>0</v>
      </c>
      <c r="I163" s="9">
        <f t="shared" si="32"/>
        <v>7.7687052258821199</v>
      </c>
      <c r="J163" s="9">
        <f t="shared" si="33"/>
        <v>0</v>
      </c>
      <c r="K163" s="9">
        <f t="shared" si="34"/>
        <v>0</v>
      </c>
      <c r="L163" s="9">
        <f>'Model tests'!H15+'Model tests'!G15*G163</f>
        <v>1.1724337132965192</v>
      </c>
      <c r="M163" s="9">
        <f t="shared" si="35"/>
        <v>-1.1724337132965192</v>
      </c>
      <c r="N163" s="9">
        <f>AVERAGE(H152:H162)+((SUM(K152:K162)-SUM(G152:G162)*SUM(H152:H162)/COUNT(G152:G162))/(SUM(I152:I162)-SUM(G152:G162)^2/COUNT(G152:G162)))*(G163-AVERAGE(G152:G162))</f>
        <v>0.13212390111845085</v>
      </c>
      <c r="O163" s="9">
        <f t="shared" si="39"/>
        <v>0.25</v>
      </c>
      <c r="P163" s="9">
        <f t="shared" si="40"/>
        <v>1.7456725246758176E-2</v>
      </c>
      <c r="Q163" s="9">
        <f t="shared" si="41"/>
        <v>6.25E-2</v>
      </c>
    </row>
    <row r="164" spans="1:17" ht="25" customHeight="1">
      <c r="A164" s="1"/>
      <c r="B164" s="1" t="s">
        <v>34</v>
      </c>
      <c r="C164" s="1" t="s">
        <v>75</v>
      </c>
      <c r="D164" s="1" t="s">
        <v>76</v>
      </c>
      <c r="E164" s="1" t="s">
        <v>83</v>
      </c>
      <c r="F164" s="1" t="s">
        <v>110</v>
      </c>
      <c r="G164" s="9">
        <f>'Quarterly market'!G68</f>
        <v>3.7498513143808809</v>
      </c>
      <c r="H164" s="9">
        <f>'PG history'!G90</f>
        <v>1</v>
      </c>
      <c r="I164" s="9">
        <f t="shared" si="32"/>
        <v>14.06138487996402</v>
      </c>
      <c r="J164" s="9">
        <f t="shared" si="33"/>
        <v>1</v>
      </c>
      <c r="K164" s="9">
        <f t="shared" si="34"/>
        <v>3.7498513143808809</v>
      </c>
      <c r="L164" s="9">
        <f>'Model tests'!H15+'Model tests'!G15*G164</f>
        <v>1.8043639582554933</v>
      </c>
      <c r="M164" s="9">
        <f t="shared" si="35"/>
        <v>-0.80436395825549334</v>
      </c>
      <c r="N164" s="9">
        <f>AVERAGE(H152:H163)+((SUM(K152:K163)-SUM(G152:G163)*SUM(H152:H163)/COUNT(G152:G163))/(SUM(I152:I163)-SUM(G152:G163)^2/COUNT(G152:G163)))*(G164-AVERAGE(G152:G163))</f>
        <v>0.53600723422299368</v>
      </c>
      <c r="O164" s="9">
        <f t="shared" si="39"/>
        <v>0.5</v>
      </c>
      <c r="P164" s="9">
        <f t="shared" si="40"/>
        <v>0.21528928669339584</v>
      </c>
      <c r="Q164" s="9">
        <f t="shared" si="41"/>
        <v>0.25</v>
      </c>
    </row>
    <row r="165" spans="1:17" ht="25" customHeight="1">
      <c r="A165" s="1"/>
      <c r="B165" s="1" t="s">
        <v>34</v>
      </c>
      <c r="C165" s="1" t="s">
        <v>75</v>
      </c>
      <c r="D165" s="1" t="s">
        <v>76</v>
      </c>
      <c r="E165" s="1" t="s">
        <v>83</v>
      </c>
      <c r="F165" s="1" t="s">
        <v>111</v>
      </c>
      <c r="G165" s="9">
        <f>'Quarterly market'!G69</f>
        <v>3.2332744751814912</v>
      </c>
      <c r="H165" s="9">
        <f>'PG history'!G97</f>
        <v>1</v>
      </c>
      <c r="I165" s="9">
        <f t="shared" si="32"/>
        <v>10.454063831860148</v>
      </c>
      <c r="J165" s="9">
        <f t="shared" si="33"/>
        <v>1</v>
      </c>
      <c r="K165" s="9">
        <f t="shared" si="34"/>
        <v>3.2332744751814912</v>
      </c>
      <c r="L165" s="9">
        <f>'Model tests'!H15+'Model tests'!G15*G165</f>
        <v>1.4652442878054457</v>
      </c>
      <c r="M165" s="9">
        <f t="shared" si="35"/>
        <v>-0.46524428780544569</v>
      </c>
      <c r="N165" s="9">
        <f>AVERAGE(H152:H164)+((SUM(K152:K164)-SUM(G152:G164)*SUM(H152:H164)/COUNT(G152:G164))/(SUM(I152:I164)-SUM(G152:G164)^2/COUNT(G152:G164)))*(G165-AVERAGE(G152:G164))</f>
        <v>0.40104060833011135</v>
      </c>
      <c r="O165" s="9">
        <f t="shared" si="39"/>
        <v>0.5</v>
      </c>
      <c r="P165" s="9">
        <f t="shared" si="40"/>
        <v>0.35875235286956308</v>
      </c>
      <c r="Q165" s="9">
        <f t="shared" si="41"/>
        <v>0.25</v>
      </c>
    </row>
    <row r="166" spans="1:17" ht="25" customHeight="1">
      <c r="A166" s="1"/>
      <c r="B166" s="1" t="s">
        <v>34</v>
      </c>
      <c r="C166" s="1" t="s">
        <v>75</v>
      </c>
      <c r="D166" s="1" t="s">
        <v>76</v>
      </c>
      <c r="E166" s="1" t="s">
        <v>83</v>
      </c>
      <c r="F166" s="1" t="s">
        <v>112</v>
      </c>
      <c r="G166" s="9">
        <f>'Quarterly market'!G70</f>
        <v>2.9967230915401322</v>
      </c>
      <c r="H166" s="9">
        <f>'PG history'!G104</f>
        <v>4</v>
      </c>
      <c r="I166" s="9">
        <f t="shared" si="32"/>
        <v>8.9803492873698474</v>
      </c>
      <c r="J166" s="9">
        <f t="shared" si="33"/>
        <v>16</v>
      </c>
      <c r="K166" s="9">
        <f t="shared" si="34"/>
        <v>11.986892366160529</v>
      </c>
      <c r="L166" s="9">
        <f>'Model tests'!H15+'Model tests'!G15*G166</f>
        <v>1.309954268629814</v>
      </c>
      <c r="M166" s="9">
        <f t="shared" si="35"/>
        <v>2.6900457313701862</v>
      </c>
      <c r="N166" s="9">
        <f>AVERAGE(H152:H165)+((SUM(K152:K165)-SUM(G152:G165)*SUM(H152:H165)/COUNT(G152:G165))/(SUM(I152:I165)-SUM(G152:G165)^2/COUNT(G152:G165)))*(G166-AVERAGE(G152:G165))</f>
        <v>0.37312750202340123</v>
      </c>
      <c r="O166" s="9">
        <f t="shared" si="39"/>
        <v>0.5</v>
      </c>
      <c r="P166" s="9">
        <f t="shared" si="40"/>
        <v>13.154204116579013</v>
      </c>
      <c r="Q166" s="9">
        <f t="shared" si="41"/>
        <v>12.25</v>
      </c>
    </row>
    <row r="167" spans="1:17" ht="25" customHeight="1">
      <c r="A167" s="1"/>
      <c r="B167" s="1" t="s">
        <v>34</v>
      </c>
      <c r="C167" s="1" t="s">
        <v>75</v>
      </c>
      <c r="D167" s="1" t="s">
        <v>76</v>
      </c>
      <c r="E167" s="1" t="s">
        <v>83</v>
      </c>
      <c r="F167" s="1" t="s">
        <v>113</v>
      </c>
      <c r="G167" s="9">
        <f>'Quarterly market'!G71</f>
        <v>2.1478108850594868</v>
      </c>
      <c r="H167" s="9">
        <f>'PG history'!G111</f>
        <v>3</v>
      </c>
      <c r="I167" s="9">
        <f t="shared" si="32"/>
        <v>4.6130915979800164</v>
      </c>
      <c r="J167" s="9">
        <f t="shared" si="33"/>
        <v>9</v>
      </c>
      <c r="K167" s="9">
        <f t="shared" si="34"/>
        <v>6.4434326551784604</v>
      </c>
      <c r="L167" s="9">
        <f>'Model tests'!H15+'Model tests'!G15*G167</f>
        <v>0.75266480875214903</v>
      </c>
      <c r="M167" s="9">
        <f t="shared" si="35"/>
        <v>2.247335191247851</v>
      </c>
      <c r="N167" s="9">
        <f>AVERAGE(H152:H166)+((SUM(K152:K166)-SUM(G152:G166)*SUM(H152:H166)/COUNT(G152:G166))/(SUM(I152:I166)-SUM(G152:G166)^2/COUNT(G152:G166)))*(G167-AVERAGE(G152:G166))</f>
        <v>0.26914171709008294</v>
      </c>
      <c r="O167" s="9">
        <f t="shared" si="39"/>
        <v>1.5</v>
      </c>
      <c r="P167" s="9">
        <f t="shared" si="40"/>
        <v>7.4575869613377019</v>
      </c>
      <c r="Q167" s="9">
        <f t="shared" si="41"/>
        <v>2.25</v>
      </c>
    </row>
    <row r="168" spans="1:17" ht="25" customHeight="1">
      <c r="A168" s="1"/>
      <c r="B168" s="1" t="s">
        <v>34</v>
      </c>
      <c r="C168" s="1" t="s">
        <v>75</v>
      </c>
      <c r="D168" s="1" t="s">
        <v>76</v>
      </c>
      <c r="E168" s="1" t="s">
        <v>83</v>
      </c>
      <c r="F168" s="1" t="s">
        <v>114</v>
      </c>
      <c r="G168" s="9">
        <f>'Quarterly market'!G72</f>
        <v>1.5477657714465964</v>
      </c>
      <c r="H168" s="9">
        <f>'PG history'!G118</f>
        <v>5</v>
      </c>
      <c r="I168" s="9">
        <f t="shared" si="32"/>
        <v>2.395578883261678</v>
      </c>
      <c r="J168" s="9">
        <f t="shared" si="33"/>
        <v>25</v>
      </c>
      <c r="K168" s="9">
        <f t="shared" si="34"/>
        <v>7.7388288572329822</v>
      </c>
      <c r="L168" s="9">
        <f>'Model tests'!H15+'Model tests'!G15*G168</f>
        <v>0.35875032064049317</v>
      </c>
      <c r="M168" s="9">
        <f t="shared" si="35"/>
        <v>4.6412496793595066</v>
      </c>
      <c r="N168" s="9">
        <f>AVERAGE(H152:H167)+((SUM(K152:K167)-SUM(G152:G167)*SUM(H152:H167)/COUNT(G152:G167))/(SUM(I152:I167)-SUM(G152:G167)^2/COUNT(G152:G167)))*(G168-AVERAGE(G152:G167))</f>
        <v>6.8663242161396493E-2</v>
      </c>
      <c r="O168" s="9">
        <f t="shared" si="39"/>
        <v>2.25</v>
      </c>
      <c r="P168" s="9">
        <f t="shared" si="40"/>
        <v>24.318082219210147</v>
      </c>
      <c r="Q168" s="9">
        <f t="shared" si="41"/>
        <v>7.5625</v>
      </c>
    </row>
    <row r="169" spans="1:17" ht="25" customHeight="1">
      <c r="A169" s="1"/>
      <c r="B169" s="1" t="s">
        <v>43</v>
      </c>
      <c r="C169" s="1" t="s">
        <v>75</v>
      </c>
      <c r="D169" s="1" t="s">
        <v>76</v>
      </c>
      <c r="E169" s="1" t="s">
        <v>83</v>
      </c>
      <c r="F169" s="1" t="s">
        <v>98</v>
      </c>
      <c r="G169" s="9">
        <f>'Quarterly market'!G56</f>
        <v>3.5989104881054557</v>
      </c>
      <c r="H169" s="9">
        <f>'PG history'!G7</f>
        <v>1</v>
      </c>
      <c r="I169" s="9">
        <f t="shared" si="32"/>
        <v>12.952156701395449</v>
      </c>
      <c r="J169" s="9">
        <f t="shared" si="33"/>
        <v>1</v>
      </c>
      <c r="K169" s="9">
        <f t="shared" si="34"/>
        <v>3.5989104881054557</v>
      </c>
      <c r="L169" s="9">
        <f>'Model tests'!H16+'Model tests'!G16*G169</f>
        <v>1.8051822470575254</v>
      </c>
      <c r="M169" s="9">
        <f t="shared" si="35"/>
        <v>-0.80518224705752539</v>
      </c>
      <c r="N169" s="9"/>
      <c r="O169" s="9"/>
      <c r="P169" s="9"/>
      <c r="Q169" s="9"/>
    </row>
    <row r="170" spans="1:17" ht="25" customHeight="1">
      <c r="A170" s="1"/>
      <c r="B170" s="1" t="s">
        <v>43</v>
      </c>
      <c r="C170" s="1" t="s">
        <v>75</v>
      </c>
      <c r="D170" s="1" t="s">
        <v>76</v>
      </c>
      <c r="E170" s="1" t="s">
        <v>83</v>
      </c>
      <c r="F170" s="1" t="s">
        <v>99</v>
      </c>
      <c r="G170" s="9">
        <f>'Quarterly market'!G57</f>
        <v>-3.7966210073037132E-2</v>
      </c>
      <c r="H170" s="9">
        <f>'PG history'!G14</f>
        <v>-2</v>
      </c>
      <c r="I170" s="9">
        <f t="shared" si="32"/>
        <v>1.4414331073099862E-3</v>
      </c>
      <c r="J170" s="9">
        <f t="shared" si="33"/>
        <v>4</v>
      </c>
      <c r="K170" s="9">
        <f t="shared" si="34"/>
        <v>7.5932420146074264E-2</v>
      </c>
      <c r="L170" s="9">
        <f>'Model tests'!H16+'Model tests'!G16*G170</f>
        <v>-1.6933852334031376</v>
      </c>
      <c r="M170" s="9">
        <f t="shared" si="35"/>
        <v>-0.30661476659686238</v>
      </c>
      <c r="N170" s="9"/>
      <c r="O170" s="9"/>
      <c r="P170" s="9"/>
      <c r="Q170" s="9"/>
    </row>
    <row r="171" spans="1:17" ht="25" customHeight="1">
      <c r="A171" s="1"/>
      <c r="B171" s="1" t="s">
        <v>43</v>
      </c>
      <c r="C171" s="1" t="s">
        <v>75</v>
      </c>
      <c r="D171" s="1" t="s">
        <v>76</v>
      </c>
      <c r="E171" s="1" t="s">
        <v>83</v>
      </c>
      <c r="F171" s="1" t="s">
        <v>100</v>
      </c>
      <c r="G171" s="9">
        <f>'Quarterly market'!G58</f>
        <v>-0.97428175390660288</v>
      </c>
      <c r="H171" s="9">
        <f>'PG history'!G21</f>
        <v>1</v>
      </c>
      <c r="I171" s="9">
        <f t="shared" si="32"/>
        <v>0.94922493599532631</v>
      </c>
      <c r="J171" s="9">
        <f t="shared" si="33"/>
        <v>1</v>
      </c>
      <c r="K171" s="9">
        <f t="shared" si="34"/>
        <v>-0.97428175390660288</v>
      </c>
      <c r="L171" s="9">
        <f>'Model tests'!H16+'Model tests'!G16*G171</f>
        <v>-2.5940930068469279</v>
      </c>
      <c r="M171" s="9">
        <f t="shared" si="35"/>
        <v>3.5940930068469279</v>
      </c>
      <c r="N171" s="9"/>
      <c r="O171" s="9"/>
      <c r="P171" s="9"/>
      <c r="Q171" s="9"/>
    </row>
    <row r="172" spans="1:17" ht="25" customHeight="1">
      <c r="A172" s="1"/>
      <c r="B172" s="1" t="s">
        <v>43</v>
      </c>
      <c r="C172" s="1" t="s">
        <v>75</v>
      </c>
      <c r="D172" s="1" t="s">
        <v>76</v>
      </c>
      <c r="E172" s="1" t="s">
        <v>83</v>
      </c>
      <c r="F172" s="1" t="s">
        <v>101</v>
      </c>
      <c r="G172" s="9">
        <f>'Quarterly market'!G59</f>
        <v>-1.7083333333333339</v>
      </c>
      <c r="H172" s="9">
        <f>'PG history'!G28</f>
        <v>-8</v>
      </c>
      <c r="I172" s="9">
        <f t="shared" si="32"/>
        <v>2.9184027777777799</v>
      </c>
      <c r="J172" s="9">
        <f t="shared" si="33"/>
        <v>64</v>
      </c>
      <c r="K172" s="9">
        <f t="shared" si="34"/>
        <v>13.666666666666671</v>
      </c>
      <c r="L172" s="9">
        <f>'Model tests'!H16+'Model tests'!G16*G172</f>
        <v>-3.3002288475394046</v>
      </c>
      <c r="M172" s="9">
        <f t="shared" si="35"/>
        <v>-4.6997711524605954</v>
      </c>
      <c r="N172" s="9"/>
      <c r="O172" s="9"/>
      <c r="P172" s="9"/>
      <c r="Q172" s="9"/>
    </row>
    <row r="173" spans="1:17" ht="25" customHeight="1">
      <c r="A173" s="1"/>
      <c r="B173" s="1" t="s">
        <v>43</v>
      </c>
      <c r="C173" s="1" t="s">
        <v>75</v>
      </c>
      <c r="D173" s="1" t="s">
        <v>76</v>
      </c>
      <c r="E173" s="1" t="s">
        <v>83</v>
      </c>
      <c r="F173" s="1" t="s">
        <v>102</v>
      </c>
      <c r="G173" s="9">
        <f>'Quarterly market'!G60</f>
        <v>-0.51383557261676094</v>
      </c>
      <c r="H173" s="9">
        <f>'PG history'!G35</f>
        <v>-1</v>
      </c>
      <c r="I173" s="9">
        <f t="shared" si="32"/>
        <v>0.26402699568639459</v>
      </c>
      <c r="J173" s="9">
        <f t="shared" si="33"/>
        <v>1</v>
      </c>
      <c r="K173" s="9">
        <f t="shared" si="34"/>
        <v>0.51383557261676094</v>
      </c>
      <c r="L173" s="9">
        <f>'Model tests'!H16+'Model tests'!G16*G173</f>
        <v>-2.1511574415114998</v>
      </c>
      <c r="M173" s="9">
        <f t="shared" si="35"/>
        <v>1.1511574415114998</v>
      </c>
      <c r="N173" s="9"/>
      <c r="O173" s="9"/>
      <c r="P173" s="9"/>
      <c r="Q173" s="9"/>
    </row>
    <row r="174" spans="1:17" ht="25" customHeight="1">
      <c r="A174" s="1"/>
      <c r="B174" s="1" t="s">
        <v>43</v>
      </c>
      <c r="C174" s="1" t="s">
        <v>75</v>
      </c>
      <c r="D174" s="1" t="s">
        <v>76</v>
      </c>
      <c r="E174" s="1" t="s">
        <v>83</v>
      </c>
      <c r="F174" s="1" t="s">
        <v>103</v>
      </c>
      <c r="G174" s="9">
        <f>'Quarterly market'!G61</f>
        <v>-0.38380425982746935</v>
      </c>
      <c r="H174" s="9">
        <f>'PG history'!G42</f>
        <v>-1</v>
      </c>
      <c r="I174" s="9">
        <f t="shared" si="32"/>
        <v>0.1473057098617116</v>
      </c>
      <c r="J174" s="9">
        <f t="shared" si="33"/>
        <v>1</v>
      </c>
      <c r="K174" s="9">
        <f t="shared" si="34"/>
        <v>0.38380425982746935</v>
      </c>
      <c r="L174" s="9">
        <f>'Model tests'!H16+'Model tests'!G16*G174</f>
        <v>-2.0260711765319721</v>
      </c>
      <c r="M174" s="9">
        <f t="shared" si="35"/>
        <v>1.0260711765319721</v>
      </c>
      <c r="N174" s="9"/>
      <c r="O174" s="9"/>
      <c r="P174" s="9"/>
      <c r="Q174" s="9"/>
    </row>
    <row r="175" spans="1:17" ht="25" customHeight="1">
      <c r="A175" s="1"/>
      <c r="B175" s="1" t="s">
        <v>43</v>
      </c>
      <c r="C175" s="1" t="s">
        <v>75</v>
      </c>
      <c r="D175" s="1" t="s">
        <v>76</v>
      </c>
      <c r="E175" s="1" t="s">
        <v>83</v>
      </c>
      <c r="F175" s="1" t="s">
        <v>104</v>
      </c>
      <c r="G175" s="9">
        <f>'Quarterly market'!G62</f>
        <v>1.1893013232361582</v>
      </c>
      <c r="H175" s="9">
        <f>'PG history'!G49</f>
        <v>-2</v>
      </c>
      <c r="I175" s="9">
        <f t="shared" si="32"/>
        <v>1.4144376374512768</v>
      </c>
      <c r="J175" s="9">
        <f t="shared" si="33"/>
        <v>4</v>
      </c>
      <c r="K175" s="9">
        <f t="shared" si="34"/>
        <v>-2.3786026464723165</v>
      </c>
      <c r="L175" s="9">
        <f>'Model tests'!H16+'Model tests'!G16*G175</f>
        <v>-0.51279027839375102</v>
      </c>
      <c r="M175" s="9">
        <f t="shared" si="35"/>
        <v>-1.487209721606249</v>
      </c>
      <c r="N175" s="9"/>
      <c r="O175" s="9"/>
      <c r="P175" s="9"/>
      <c r="Q175" s="9"/>
    </row>
    <row r="176" spans="1:17" ht="25" customHeight="1">
      <c r="A176" s="1"/>
      <c r="B176" s="1" t="s">
        <v>43</v>
      </c>
      <c r="C176" s="1" t="s">
        <v>75</v>
      </c>
      <c r="D176" s="1" t="s">
        <v>76</v>
      </c>
      <c r="E176" s="1" t="s">
        <v>83</v>
      </c>
      <c r="F176" s="1" t="s">
        <v>105</v>
      </c>
      <c r="G176" s="9">
        <f>'Quarterly market'!G63</f>
        <v>2.2255192878338326</v>
      </c>
      <c r="H176" s="9">
        <f>'PG history'!G56</f>
        <v>1</v>
      </c>
      <c r="I176" s="9">
        <f t="shared" si="32"/>
        <v>4.9529361005204091</v>
      </c>
      <c r="J176" s="9">
        <f t="shared" si="33"/>
        <v>1</v>
      </c>
      <c r="K176" s="9">
        <f t="shared" si="34"/>
        <v>2.2255192878338326</v>
      </c>
      <c r="L176" s="9">
        <f>'Model tests'!H16+'Model tests'!G16*G176</f>
        <v>0.48402065980117337</v>
      </c>
      <c r="M176" s="9">
        <f t="shared" si="35"/>
        <v>0.51597934019882663</v>
      </c>
      <c r="N176" s="9"/>
      <c r="O176" s="9"/>
      <c r="P176" s="9"/>
      <c r="Q176" s="9"/>
    </row>
    <row r="177" spans="1:17" ht="25" customHeight="1">
      <c r="A177" s="1"/>
      <c r="B177" s="1" t="s">
        <v>43</v>
      </c>
      <c r="C177" s="1" t="s">
        <v>75</v>
      </c>
      <c r="D177" s="1" t="s">
        <v>76</v>
      </c>
      <c r="E177" s="1" t="s">
        <v>83</v>
      </c>
      <c r="F177" s="1" t="s">
        <v>106</v>
      </c>
      <c r="G177" s="9">
        <f>'Quarterly market'!G64</f>
        <v>1.3726160091641626</v>
      </c>
      <c r="H177" s="9">
        <f>'PG history'!G63</f>
        <v>2</v>
      </c>
      <c r="I177" s="9">
        <f t="shared" si="32"/>
        <v>1.8840747086137526</v>
      </c>
      <c r="J177" s="9">
        <f t="shared" si="33"/>
        <v>4</v>
      </c>
      <c r="K177" s="9">
        <f t="shared" si="34"/>
        <v>2.7452320183283252</v>
      </c>
      <c r="L177" s="9">
        <f>'Model tests'!H16+'Model tests'!G16*G177</f>
        <v>-0.33644698932932204</v>
      </c>
      <c r="M177" s="9">
        <f t="shared" si="35"/>
        <v>2.336446989329322</v>
      </c>
      <c r="N177" s="9">
        <f>AVERAGE(H169:H176)+((SUM(K169:K176)-SUM(G169:G176)*SUM(H169:H176)/COUNT(G169:G176))/(SUM(I169:I176)-SUM(G169:G176)^2/COUNT(G169:G176)))*(G177-AVERAGE(G169:G176))</f>
        <v>-0.44300324462397112</v>
      </c>
      <c r="O177" s="9">
        <f t="shared" ref="O177:O185" si="42">AVERAGE(H173:H176)</f>
        <v>-0.75</v>
      </c>
      <c r="P177" s="9">
        <f t="shared" ref="P177:P185" si="43">(H177-N177)^2</f>
        <v>5.968264853243249</v>
      </c>
      <c r="Q177" s="9">
        <f t="shared" ref="Q177:Q185" si="44">(H177-O177)^2</f>
        <v>7.5625</v>
      </c>
    </row>
    <row r="178" spans="1:17" ht="25" customHeight="1">
      <c r="A178" s="1"/>
      <c r="B178" s="1" t="s">
        <v>43</v>
      </c>
      <c r="C178" s="1" t="s">
        <v>75</v>
      </c>
      <c r="D178" s="1" t="s">
        <v>76</v>
      </c>
      <c r="E178" s="1" t="s">
        <v>83</v>
      </c>
      <c r="F178" s="1" t="s">
        <v>107</v>
      </c>
      <c r="G178" s="9">
        <f>'Quarterly market'!G65</f>
        <v>2.2805943792830075</v>
      </c>
      <c r="H178" s="9">
        <f>'PG history'!G70</f>
        <v>2</v>
      </c>
      <c r="I178" s="9">
        <f t="shared" si="32"/>
        <v>5.201110722817246</v>
      </c>
      <c r="J178" s="9">
        <f t="shared" si="33"/>
        <v>4</v>
      </c>
      <c r="K178" s="9">
        <f t="shared" si="34"/>
        <v>4.5611887585660149</v>
      </c>
      <c r="L178" s="9">
        <f>'Model tests'!H16+'Model tests'!G16*G178</f>
        <v>0.53700126374190749</v>
      </c>
      <c r="M178" s="9">
        <f t="shared" si="35"/>
        <v>1.4629987362580925</v>
      </c>
      <c r="N178" s="9">
        <f>AVERAGE(H169:H177)+((SUM(K169:K177)-SUM(G169:G177)*SUM(H169:H177)/COUNT(G169:G177))/(SUM(I169:I177)-SUM(G169:G177)^2/COUNT(G169:G177)))*(G178-AVERAGE(G169:G177))</f>
        <v>0.87794947508914167</v>
      </c>
      <c r="O178" s="9">
        <f t="shared" si="42"/>
        <v>0</v>
      </c>
      <c r="P178" s="9">
        <f t="shared" si="43"/>
        <v>1.2589973804527328</v>
      </c>
      <c r="Q178" s="9">
        <f t="shared" si="44"/>
        <v>4</v>
      </c>
    </row>
    <row r="179" spans="1:17" ht="25" customHeight="1">
      <c r="A179" s="1"/>
      <c r="B179" s="1" t="s">
        <v>43</v>
      </c>
      <c r="C179" s="1" t="s">
        <v>75</v>
      </c>
      <c r="D179" s="1" t="s">
        <v>76</v>
      </c>
      <c r="E179" s="1" t="s">
        <v>83</v>
      </c>
      <c r="F179" s="1" t="s">
        <v>108</v>
      </c>
      <c r="G179" s="9">
        <f>'Quarterly market'!G66</f>
        <v>2.6501995362399722</v>
      </c>
      <c r="H179" s="9">
        <f>'PG history'!G77</f>
        <v>5</v>
      </c>
      <c r="I179" s="9">
        <f t="shared" si="32"/>
        <v>7.0235575818865632</v>
      </c>
      <c r="J179" s="9">
        <f t="shared" si="33"/>
        <v>25</v>
      </c>
      <c r="K179" s="9">
        <f t="shared" si="34"/>
        <v>13.250997681199861</v>
      </c>
      <c r="L179" s="9">
        <f>'Model tests'!H16+'Model tests'!G16*G179</f>
        <v>0.89255045884875051</v>
      </c>
      <c r="M179" s="9">
        <f t="shared" si="35"/>
        <v>4.1074495411512491</v>
      </c>
      <c r="N179" s="9">
        <f>AVERAGE(H169:H178)+((SUM(K169:K178)-SUM(G169:G178)*SUM(H169:H178)/COUNT(G169:G178))/(SUM(I169:I178)-SUM(G169:G178)^2/COUNT(G169:G178)))*(G179-AVERAGE(G169:G178))</f>
        <v>1.5203438628654495</v>
      </c>
      <c r="O179" s="9">
        <f t="shared" si="42"/>
        <v>0.75</v>
      </c>
      <c r="P179" s="9">
        <f t="shared" si="43"/>
        <v>12.108006832698139</v>
      </c>
      <c r="Q179" s="9">
        <f t="shared" si="44"/>
        <v>18.0625</v>
      </c>
    </row>
    <row r="180" spans="1:17" ht="25" customHeight="1">
      <c r="A180" s="1"/>
      <c r="B180" s="1" t="s">
        <v>43</v>
      </c>
      <c r="C180" s="1" t="s">
        <v>75</v>
      </c>
      <c r="D180" s="1" t="s">
        <v>76</v>
      </c>
      <c r="E180" s="1" t="s">
        <v>83</v>
      </c>
      <c r="F180" s="1" t="s">
        <v>109</v>
      </c>
      <c r="G180" s="9">
        <f>'Quarterly market'!G67</f>
        <v>2.7872397144634187</v>
      </c>
      <c r="H180" s="9">
        <f>'PG history'!G84</f>
        <v>2</v>
      </c>
      <c r="I180" s="9">
        <f t="shared" si="32"/>
        <v>7.7687052258821199</v>
      </c>
      <c r="J180" s="9">
        <f t="shared" si="33"/>
        <v>4</v>
      </c>
      <c r="K180" s="9">
        <f t="shared" si="34"/>
        <v>5.5744794289268373</v>
      </c>
      <c r="L180" s="9">
        <f>'Model tests'!H16+'Model tests'!G16*G180</f>
        <v>1.0243790444285725</v>
      </c>
      <c r="M180" s="9">
        <f t="shared" si="35"/>
        <v>0.97562095557142747</v>
      </c>
      <c r="N180" s="9">
        <f>AVERAGE(H169:H179)+((SUM(K169:K179)-SUM(G169:G179)*SUM(H169:H179)/COUNT(G169:G179))/(SUM(I169:I179)-SUM(G169:G179)^2/COUNT(G169:G179)))*(G180-AVERAGE(G169:G179))</f>
        <v>2.395258453773971</v>
      </c>
      <c r="O180" s="9">
        <f t="shared" si="42"/>
        <v>2.5</v>
      </c>
      <c r="P180" s="9">
        <f t="shared" si="43"/>
        <v>0.15622924527979032</v>
      </c>
      <c r="Q180" s="9">
        <f t="shared" si="44"/>
        <v>0.25</v>
      </c>
    </row>
    <row r="181" spans="1:17" ht="25" customHeight="1">
      <c r="A181" s="1"/>
      <c r="B181" s="1" t="s">
        <v>43</v>
      </c>
      <c r="C181" s="1" t="s">
        <v>75</v>
      </c>
      <c r="D181" s="1" t="s">
        <v>76</v>
      </c>
      <c r="E181" s="1" t="s">
        <v>83</v>
      </c>
      <c r="F181" s="1" t="s">
        <v>110</v>
      </c>
      <c r="G181" s="9">
        <f>'Quarterly market'!G68</f>
        <v>3.7498513143808809</v>
      </c>
      <c r="H181" s="9">
        <f>'PG history'!G91</f>
        <v>1</v>
      </c>
      <c r="I181" s="9">
        <f t="shared" si="32"/>
        <v>14.06138487996402</v>
      </c>
      <c r="J181" s="9">
        <f t="shared" si="33"/>
        <v>1</v>
      </c>
      <c r="K181" s="9">
        <f t="shared" si="34"/>
        <v>3.7498513143808809</v>
      </c>
      <c r="L181" s="9">
        <f>'Model tests'!H16+'Model tests'!G16*G181</f>
        <v>1.9503828436423776</v>
      </c>
      <c r="M181" s="9">
        <f t="shared" si="35"/>
        <v>-0.95038284364237757</v>
      </c>
      <c r="N181" s="9">
        <f>AVERAGE(H169:H180)+((SUM(K169:K180)-SUM(G169:G180)*SUM(H169:H180)/COUNT(G169:G180))/(SUM(I169:I180)-SUM(G169:G180)^2/COUNT(G169:G180)))*(G181-AVERAGE(G169:G180))</f>
        <v>3.6066010218220783</v>
      </c>
      <c r="O181" s="9">
        <f t="shared" si="42"/>
        <v>2.75</v>
      </c>
      <c r="P181" s="9">
        <f t="shared" si="43"/>
        <v>6.7943688869639027</v>
      </c>
      <c r="Q181" s="9">
        <f t="shared" si="44"/>
        <v>3.0625</v>
      </c>
    </row>
    <row r="182" spans="1:17" ht="25" customHeight="1">
      <c r="A182" s="1"/>
      <c r="B182" s="1" t="s">
        <v>43</v>
      </c>
      <c r="C182" s="1" t="s">
        <v>75</v>
      </c>
      <c r="D182" s="1" t="s">
        <v>76</v>
      </c>
      <c r="E182" s="1" t="s">
        <v>83</v>
      </c>
      <c r="F182" s="1" t="s">
        <v>111</v>
      </c>
      <c r="G182" s="9">
        <f>'Quarterly market'!G69</f>
        <v>3.2332744751814912</v>
      </c>
      <c r="H182" s="9">
        <f>'PG history'!G98</f>
        <v>-1</v>
      </c>
      <c r="I182" s="9">
        <f t="shared" si="32"/>
        <v>10.454063831860148</v>
      </c>
      <c r="J182" s="9">
        <f t="shared" si="33"/>
        <v>1</v>
      </c>
      <c r="K182" s="9">
        <f t="shared" si="34"/>
        <v>-3.2332744751814912</v>
      </c>
      <c r="L182" s="9">
        <f>'Model tests'!H16+'Model tests'!G16*G182</f>
        <v>1.4534512507491386</v>
      </c>
      <c r="M182" s="9">
        <f t="shared" si="35"/>
        <v>-2.4534512507491386</v>
      </c>
      <c r="N182" s="9">
        <f>AVERAGE(H169:H181)+((SUM(K169:K181)-SUM(G169:G181)*SUM(H169:H181)/COUNT(G169:G181))/(SUM(I169:I181)-SUM(G169:G181)^2/COUNT(G169:G181)))*(G182-AVERAGE(G169:G181))</f>
        <v>2.3889585789537637</v>
      </c>
      <c r="O182" s="9">
        <f t="shared" si="42"/>
        <v>2.5</v>
      </c>
      <c r="P182" s="9">
        <f t="shared" si="43"/>
        <v>11.485040249864314</v>
      </c>
      <c r="Q182" s="9">
        <f t="shared" si="44"/>
        <v>12.25</v>
      </c>
    </row>
    <row r="183" spans="1:17" ht="25" customHeight="1">
      <c r="A183" s="1"/>
      <c r="B183" s="1" t="s">
        <v>43</v>
      </c>
      <c r="C183" s="1" t="s">
        <v>75</v>
      </c>
      <c r="D183" s="1" t="s">
        <v>76</v>
      </c>
      <c r="E183" s="1" t="s">
        <v>83</v>
      </c>
      <c r="F183" s="1" t="s">
        <v>112</v>
      </c>
      <c r="G183" s="9">
        <f>'Quarterly market'!G70</f>
        <v>2.9967230915401322</v>
      </c>
      <c r="H183" s="9">
        <f>'PG history'!G105</f>
        <v>1</v>
      </c>
      <c r="I183" s="9">
        <f t="shared" si="32"/>
        <v>8.9803492873698474</v>
      </c>
      <c r="J183" s="9">
        <f t="shared" si="33"/>
        <v>1</v>
      </c>
      <c r="K183" s="9">
        <f t="shared" si="34"/>
        <v>2.9967230915401322</v>
      </c>
      <c r="L183" s="9">
        <f>'Model tests'!H16+'Model tests'!G16*G183</f>
        <v>1.2258958379741807</v>
      </c>
      <c r="M183" s="9">
        <f t="shared" si="35"/>
        <v>-0.22589583797418067</v>
      </c>
      <c r="N183" s="9">
        <f>AVERAGE(H169:H182)+((SUM(K169:K182)-SUM(G169:G182)*SUM(H169:H182)/COUNT(G169:G182))/(SUM(I169:I182)-SUM(G169:G182)^2/COUNT(G169:G182)))*(G183-AVERAGE(G169:G182))</f>
        <v>1.6375934148139362</v>
      </c>
      <c r="O183" s="9">
        <f t="shared" si="42"/>
        <v>1.75</v>
      </c>
      <c r="P183" s="9">
        <f t="shared" si="43"/>
        <v>0.40652536261409605</v>
      </c>
      <c r="Q183" s="9">
        <f t="shared" si="44"/>
        <v>0.5625</v>
      </c>
    </row>
    <row r="184" spans="1:17" ht="25" customHeight="1">
      <c r="A184" s="1"/>
      <c r="B184" s="1" t="s">
        <v>43</v>
      </c>
      <c r="C184" s="1" t="s">
        <v>75</v>
      </c>
      <c r="D184" s="1" t="s">
        <v>76</v>
      </c>
      <c r="E184" s="1" t="s">
        <v>83</v>
      </c>
      <c r="F184" s="1" t="s">
        <v>113</v>
      </c>
      <c r="G184" s="9">
        <f>'Quarterly market'!G71</f>
        <v>2.1478108850594868</v>
      </c>
      <c r="H184" s="9">
        <f>'PG history'!G112</f>
        <v>-2</v>
      </c>
      <c r="I184" s="9">
        <f t="shared" si="32"/>
        <v>4.6130915979800164</v>
      </c>
      <c r="J184" s="9">
        <f t="shared" si="33"/>
        <v>4</v>
      </c>
      <c r="K184" s="9">
        <f t="shared" si="34"/>
        <v>-4.2956217701189736</v>
      </c>
      <c r="L184" s="9">
        <f>'Model tests'!H16+'Model tests'!G16*G184</f>
        <v>0.4092674818776465</v>
      </c>
      <c r="M184" s="9">
        <f t="shared" si="35"/>
        <v>-2.4092674818776465</v>
      </c>
      <c r="N184" s="9">
        <f>AVERAGE(H169:H183)+((SUM(K169:K183)-SUM(G169:G183)*SUM(H169:H183)/COUNT(G169:G183))/(SUM(I169:I183)-SUM(G169:G183)^2/COUNT(G169:G183)))*(G184-AVERAGE(G169:G183))</f>
        <v>0.7157995138854697</v>
      </c>
      <c r="O184" s="9">
        <f t="shared" si="42"/>
        <v>0.75</v>
      </c>
      <c r="P184" s="9">
        <f t="shared" si="43"/>
        <v>7.3755669996205544</v>
      </c>
      <c r="Q184" s="9">
        <f t="shared" si="44"/>
        <v>7.5625</v>
      </c>
    </row>
    <row r="185" spans="1:17" ht="25" customHeight="1">
      <c r="A185" s="1"/>
      <c r="B185" s="1" t="s">
        <v>43</v>
      </c>
      <c r="C185" s="1" t="s">
        <v>75</v>
      </c>
      <c r="D185" s="1" t="s">
        <v>76</v>
      </c>
      <c r="E185" s="1" t="s">
        <v>83</v>
      </c>
      <c r="F185" s="1" t="s">
        <v>114</v>
      </c>
      <c r="G185" s="9">
        <f>'Quarterly market'!G72</f>
        <v>1.5477657714465964</v>
      </c>
      <c r="H185" s="9">
        <f>'PG history'!G119</f>
        <v>-2</v>
      </c>
      <c r="I185" s="9">
        <f t="shared" si="32"/>
        <v>2.395578883261678</v>
      </c>
      <c r="J185" s="9">
        <f t="shared" si="33"/>
        <v>4</v>
      </c>
      <c r="K185" s="9">
        <f t="shared" si="34"/>
        <v>-3.0955315428931929</v>
      </c>
      <c r="L185" s="9">
        <f>'Model tests'!H16+'Model tests'!G16*G185</f>
        <v>-0.167958114565258</v>
      </c>
      <c r="M185" s="9">
        <f t="shared" si="35"/>
        <v>-1.832041885434742</v>
      </c>
      <c r="N185" s="9">
        <f>AVERAGE(H169:H184)+((SUM(K169:K184)-SUM(G169:G184)*SUM(H169:H184)/COUNT(G169:G184))/(SUM(I169:I184)-SUM(G169:G184)^2/COUNT(G169:G184)))*(G185-AVERAGE(G169:G184))</f>
        <v>-5.3451954605675714E-2</v>
      </c>
      <c r="O185" s="9">
        <f t="shared" si="42"/>
        <v>-0.25</v>
      </c>
      <c r="P185" s="9">
        <f t="shared" si="43"/>
        <v>3.789049293028464</v>
      </c>
      <c r="Q185" s="9">
        <f t="shared" si="44"/>
        <v>3.0625</v>
      </c>
    </row>
    <row r="186" spans="1:17" ht="25" customHeight="1">
      <c r="A186" s="1"/>
      <c r="B186" s="1" t="s">
        <v>45</v>
      </c>
      <c r="C186" s="1" t="s">
        <v>75</v>
      </c>
      <c r="D186" s="1" t="s">
        <v>76</v>
      </c>
      <c r="E186" s="1" t="s">
        <v>83</v>
      </c>
      <c r="F186" s="1" t="s">
        <v>98</v>
      </c>
      <c r="G186" s="9">
        <f>'Quarterly market'!G56</f>
        <v>3.5989104881054557</v>
      </c>
      <c r="H186" s="9">
        <f>'PG history'!G8</f>
        <v>8</v>
      </c>
      <c r="I186" s="9">
        <f t="shared" si="32"/>
        <v>12.952156701395449</v>
      </c>
      <c r="J186" s="9">
        <f t="shared" si="33"/>
        <v>64</v>
      </c>
      <c r="K186" s="9">
        <f t="shared" si="34"/>
        <v>28.791283904843645</v>
      </c>
      <c r="L186" s="9">
        <f>'Model tests'!H17+'Model tests'!G17*G186</f>
        <v>8.180738468623372E-2</v>
      </c>
      <c r="M186" s="9">
        <f t="shared" si="35"/>
        <v>7.9181926153137665</v>
      </c>
      <c r="N186" s="9"/>
      <c r="O186" s="9"/>
      <c r="P186" s="9"/>
      <c r="Q186" s="9"/>
    </row>
    <row r="187" spans="1:17" ht="25" customHeight="1">
      <c r="A187" s="1"/>
      <c r="B187" s="1" t="s">
        <v>45</v>
      </c>
      <c r="C187" s="1" t="s">
        <v>75</v>
      </c>
      <c r="D187" s="1" t="s">
        <v>76</v>
      </c>
      <c r="E187" s="1" t="s">
        <v>83</v>
      </c>
      <c r="F187" s="1" t="s">
        <v>99</v>
      </c>
      <c r="G187" s="9">
        <f>'Quarterly market'!G57</f>
        <v>-3.7966210073037132E-2</v>
      </c>
      <c r="H187" s="9">
        <f>'PG history'!G15</f>
        <v>0</v>
      </c>
      <c r="I187" s="9">
        <f t="shared" si="32"/>
        <v>1.4414331073099862E-3</v>
      </c>
      <c r="J187" s="9">
        <f t="shared" si="33"/>
        <v>0</v>
      </c>
      <c r="K187" s="9">
        <f t="shared" si="34"/>
        <v>0</v>
      </c>
      <c r="L187" s="9">
        <f>'Model tests'!H17+'Model tests'!G17*G187</f>
        <v>-1.2049909728540911</v>
      </c>
      <c r="M187" s="9">
        <f t="shared" si="35"/>
        <v>1.2049909728540911</v>
      </c>
      <c r="N187" s="9"/>
      <c r="O187" s="9"/>
      <c r="P187" s="9"/>
      <c r="Q187" s="9"/>
    </row>
    <row r="188" spans="1:17" ht="25" customHeight="1">
      <c r="A188" s="1"/>
      <c r="B188" s="1" t="s">
        <v>45</v>
      </c>
      <c r="C188" s="1" t="s">
        <v>75</v>
      </c>
      <c r="D188" s="1" t="s">
        <v>76</v>
      </c>
      <c r="E188" s="1" t="s">
        <v>83</v>
      </c>
      <c r="F188" s="1" t="s">
        <v>100</v>
      </c>
      <c r="G188" s="9">
        <f>'Quarterly market'!G58</f>
        <v>-0.97428175390660288</v>
      </c>
      <c r="H188" s="9">
        <f>'PG history'!G22</f>
        <v>-2</v>
      </c>
      <c r="I188" s="9">
        <f t="shared" si="32"/>
        <v>0.94922493599532631</v>
      </c>
      <c r="J188" s="9">
        <f t="shared" si="33"/>
        <v>4</v>
      </c>
      <c r="K188" s="9">
        <f t="shared" si="34"/>
        <v>1.9485635078132058</v>
      </c>
      <c r="L188" s="9">
        <f>'Model tests'!H17+'Model tests'!G17*G188</f>
        <v>-1.5362777895195969</v>
      </c>
      <c r="M188" s="9">
        <f t="shared" si="35"/>
        <v>-0.46372221048040307</v>
      </c>
      <c r="N188" s="9"/>
      <c r="O188" s="9"/>
      <c r="P188" s="9"/>
      <c r="Q188" s="9"/>
    </row>
    <row r="189" spans="1:17" ht="25" customHeight="1">
      <c r="A189" s="1"/>
      <c r="B189" s="1" t="s">
        <v>45</v>
      </c>
      <c r="C189" s="1" t="s">
        <v>75</v>
      </c>
      <c r="D189" s="1" t="s">
        <v>76</v>
      </c>
      <c r="E189" s="1" t="s">
        <v>83</v>
      </c>
      <c r="F189" s="1" t="s">
        <v>101</v>
      </c>
      <c r="G189" s="9">
        <f>'Quarterly market'!G59</f>
        <v>-1.7083333333333339</v>
      </c>
      <c r="H189" s="9">
        <f>'PG history'!G29</f>
        <v>-1</v>
      </c>
      <c r="I189" s="9">
        <f t="shared" si="32"/>
        <v>2.9184027777777799</v>
      </c>
      <c r="J189" s="9">
        <f t="shared" si="33"/>
        <v>1</v>
      </c>
      <c r="K189" s="9">
        <f t="shared" si="34"/>
        <v>1.7083333333333339</v>
      </c>
      <c r="L189" s="9">
        <f>'Model tests'!H17+'Model tests'!G17*G189</f>
        <v>-1.7959996457016567</v>
      </c>
      <c r="M189" s="9">
        <f t="shared" si="35"/>
        <v>0.79599964570165671</v>
      </c>
      <c r="N189" s="9"/>
      <c r="O189" s="9"/>
      <c r="P189" s="9"/>
      <c r="Q189" s="9"/>
    </row>
    <row r="190" spans="1:17" ht="25" customHeight="1">
      <c r="A190" s="1"/>
      <c r="B190" s="1" t="s">
        <v>45</v>
      </c>
      <c r="C190" s="1" t="s">
        <v>75</v>
      </c>
      <c r="D190" s="1" t="s">
        <v>76</v>
      </c>
      <c r="E190" s="1" t="s">
        <v>83</v>
      </c>
      <c r="F190" s="1" t="s">
        <v>102</v>
      </c>
      <c r="G190" s="9">
        <f>'Quarterly market'!G60</f>
        <v>-0.51383557261676094</v>
      </c>
      <c r="H190" s="9">
        <f>'PG history'!G36</f>
        <v>1</v>
      </c>
      <c r="I190" s="9">
        <f t="shared" si="32"/>
        <v>0.26402699568639459</v>
      </c>
      <c r="J190" s="9">
        <f t="shared" si="33"/>
        <v>1</v>
      </c>
      <c r="K190" s="9">
        <f t="shared" si="34"/>
        <v>-0.51383557261676094</v>
      </c>
      <c r="L190" s="9">
        <f>'Model tests'!H17+'Model tests'!G17*G190</f>
        <v>-1.3733628933076263</v>
      </c>
      <c r="M190" s="9">
        <f t="shared" si="35"/>
        <v>2.3733628933076263</v>
      </c>
      <c r="N190" s="9"/>
      <c r="O190" s="9"/>
      <c r="P190" s="9"/>
      <c r="Q190" s="9"/>
    </row>
    <row r="191" spans="1:17" ht="25" customHeight="1">
      <c r="A191" s="1"/>
      <c r="B191" s="1" t="s">
        <v>45</v>
      </c>
      <c r="C191" s="1" t="s">
        <v>75</v>
      </c>
      <c r="D191" s="1" t="s">
        <v>76</v>
      </c>
      <c r="E191" s="1" t="s">
        <v>83</v>
      </c>
      <c r="F191" s="1" t="s">
        <v>103</v>
      </c>
      <c r="G191" s="9">
        <f>'Quarterly market'!G61</f>
        <v>-0.38380425982746935</v>
      </c>
      <c r="H191" s="9">
        <f>'PG history'!G43</f>
        <v>-3</v>
      </c>
      <c r="I191" s="9">
        <f t="shared" si="32"/>
        <v>0.1473057098617116</v>
      </c>
      <c r="J191" s="9">
        <f t="shared" si="33"/>
        <v>9</v>
      </c>
      <c r="K191" s="9">
        <f t="shared" si="34"/>
        <v>1.1514127794824081</v>
      </c>
      <c r="L191" s="9">
        <f>'Model tests'!H17+'Model tests'!G17*G191</f>
        <v>-1.3273552626915333</v>
      </c>
      <c r="M191" s="9">
        <f t="shared" si="35"/>
        <v>-1.6726447373084667</v>
      </c>
      <c r="N191" s="9"/>
      <c r="O191" s="9"/>
      <c r="P191" s="9"/>
      <c r="Q191" s="9"/>
    </row>
    <row r="192" spans="1:17" ht="25" customHeight="1">
      <c r="A192" s="1"/>
      <c r="B192" s="1" t="s">
        <v>45</v>
      </c>
      <c r="C192" s="1" t="s">
        <v>75</v>
      </c>
      <c r="D192" s="1" t="s">
        <v>76</v>
      </c>
      <c r="E192" s="1" t="s">
        <v>83</v>
      </c>
      <c r="F192" s="1" t="s">
        <v>104</v>
      </c>
      <c r="G192" s="9">
        <f>'Quarterly market'!G62</f>
        <v>1.1893013232361582</v>
      </c>
      <c r="H192" s="9">
        <f>'PG history'!G50</f>
        <v>2</v>
      </c>
      <c r="I192" s="9">
        <f t="shared" si="32"/>
        <v>1.4144376374512768</v>
      </c>
      <c r="J192" s="9">
        <f t="shared" si="33"/>
        <v>4</v>
      </c>
      <c r="K192" s="9">
        <f t="shared" si="34"/>
        <v>2.3786026464723165</v>
      </c>
      <c r="L192" s="9">
        <f>'Model tests'!H17+'Model tests'!G17*G192</f>
        <v>-0.77075963173774431</v>
      </c>
      <c r="M192" s="9">
        <f t="shared" si="35"/>
        <v>2.7707596317377443</v>
      </c>
      <c r="N192" s="9"/>
      <c r="O192" s="9"/>
      <c r="P192" s="9"/>
      <c r="Q192" s="9"/>
    </row>
    <row r="193" spans="1:17" ht="25" customHeight="1">
      <c r="A193" s="1"/>
      <c r="B193" s="1" t="s">
        <v>45</v>
      </c>
      <c r="C193" s="1" t="s">
        <v>75</v>
      </c>
      <c r="D193" s="1" t="s">
        <v>76</v>
      </c>
      <c r="E193" s="1" t="s">
        <v>83</v>
      </c>
      <c r="F193" s="1" t="s">
        <v>105</v>
      </c>
      <c r="G193" s="9">
        <f>'Quarterly market'!G63</f>
        <v>2.2255192878338326</v>
      </c>
      <c r="H193" s="9">
        <f>'PG history'!G57</f>
        <v>-4</v>
      </c>
      <c r="I193" s="9">
        <f t="shared" si="32"/>
        <v>4.9529361005204091</v>
      </c>
      <c r="J193" s="9">
        <f t="shared" si="33"/>
        <v>16</v>
      </c>
      <c r="K193" s="9">
        <f t="shared" si="34"/>
        <v>-8.9020771513353303</v>
      </c>
      <c r="L193" s="9">
        <f>'Model tests'!H17+'Model tests'!G17*G193</f>
        <v>-0.40412537780059743</v>
      </c>
      <c r="M193" s="9">
        <f t="shared" si="35"/>
        <v>-3.5958746221994025</v>
      </c>
      <c r="N193" s="9"/>
      <c r="O193" s="9"/>
      <c r="P193" s="9"/>
      <c r="Q193" s="9"/>
    </row>
    <row r="194" spans="1:17" ht="25" customHeight="1">
      <c r="A194" s="1"/>
      <c r="B194" s="1" t="s">
        <v>45</v>
      </c>
      <c r="C194" s="1" t="s">
        <v>75</v>
      </c>
      <c r="D194" s="1" t="s">
        <v>76</v>
      </c>
      <c r="E194" s="1" t="s">
        <v>83</v>
      </c>
      <c r="F194" s="1" t="s">
        <v>106</v>
      </c>
      <c r="G194" s="9">
        <f>'Quarterly market'!G64</f>
        <v>1.3726160091641626</v>
      </c>
      <c r="H194" s="9">
        <f>'PG history'!G64</f>
        <v>-4</v>
      </c>
      <c r="I194" s="9">
        <f t="shared" si="32"/>
        <v>1.8840747086137526</v>
      </c>
      <c r="J194" s="9">
        <f t="shared" si="33"/>
        <v>16</v>
      </c>
      <c r="K194" s="9">
        <f t="shared" si="34"/>
        <v>-5.4904640366566504</v>
      </c>
      <c r="L194" s="9">
        <f>'Model tests'!H17+'Model tests'!G17*G194</f>
        <v>-0.70589929790148309</v>
      </c>
      <c r="M194" s="9">
        <f t="shared" si="35"/>
        <v>-3.2941007020985169</v>
      </c>
      <c r="N194" s="9">
        <f>AVERAGE(H186:H193)+((SUM(K186:K193)-SUM(G186:G193)*SUM(H186:H193)/COUNT(G186:G193))/(SUM(I186:I193)-SUM(G186:G193)^2/COUNT(G186:G193)))*(G194-AVERAGE(G186:G193))</f>
        <v>1.2434436933721116</v>
      </c>
      <c r="O194" s="9">
        <f t="shared" ref="O194:O202" si="45">AVERAGE(H190:H193)</f>
        <v>-1</v>
      </c>
      <c r="P194" s="9">
        <f t="shared" ref="P194:P202" si="46">(H194-N194)^2</f>
        <v>27.493701765563774</v>
      </c>
      <c r="Q194" s="9">
        <f t="shared" ref="Q194:Q202" si="47">(H194-O194)^2</f>
        <v>9</v>
      </c>
    </row>
    <row r="195" spans="1:17" ht="25" customHeight="1">
      <c r="A195" s="1"/>
      <c r="B195" s="1" t="s">
        <v>45</v>
      </c>
      <c r="C195" s="1" t="s">
        <v>75</v>
      </c>
      <c r="D195" s="1" t="s">
        <v>76</v>
      </c>
      <c r="E195" s="1" t="s">
        <v>83</v>
      </c>
      <c r="F195" s="1" t="s">
        <v>107</v>
      </c>
      <c r="G195" s="9">
        <f>'Quarterly market'!G65</f>
        <v>2.2805943792830075</v>
      </c>
      <c r="H195" s="9">
        <f>'PG history'!G71</f>
        <v>1</v>
      </c>
      <c r="I195" s="9">
        <f t="shared" si="32"/>
        <v>5.201110722817246</v>
      </c>
      <c r="J195" s="9">
        <f t="shared" si="33"/>
        <v>1</v>
      </c>
      <c r="K195" s="9">
        <f t="shared" si="34"/>
        <v>2.2805943792830075</v>
      </c>
      <c r="L195" s="9">
        <f>'Model tests'!H17+'Model tests'!G17*G195</f>
        <v>-0.38463872947576516</v>
      </c>
      <c r="M195" s="9">
        <f t="shared" si="35"/>
        <v>1.3846387294757652</v>
      </c>
      <c r="N195" s="9">
        <f>AVERAGE(H186:H194)+((SUM(K186:K194)-SUM(G186:G194)*SUM(H186:H194)/COUNT(G186:G194))/(SUM(I186:I194)-SUM(G186:G194)^2/COUNT(G186:G194)))*(G195-AVERAGE(G186:G194))</f>
        <v>1.394842620254281</v>
      </c>
      <c r="O195" s="9">
        <f t="shared" si="45"/>
        <v>-2.25</v>
      </c>
      <c r="P195" s="9">
        <f t="shared" si="46"/>
        <v>0.15590069476926632</v>
      </c>
      <c r="Q195" s="9">
        <f t="shared" si="47"/>
        <v>10.5625</v>
      </c>
    </row>
    <row r="196" spans="1:17" ht="25" customHeight="1">
      <c r="A196" s="1"/>
      <c r="B196" s="1" t="s">
        <v>45</v>
      </c>
      <c r="C196" s="1" t="s">
        <v>75</v>
      </c>
      <c r="D196" s="1" t="s">
        <v>76</v>
      </c>
      <c r="E196" s="1" t="s">
        <v>83</v>
      </c>
      <c r="F196" s="1" t="s">
        <v>108</v>
      </c>
      <c r="G196" s="9">
        <f>'Quarterly market'!G66</f>
        <v>2.6501995362399722</v>
      </c>
      <c r="H196" s="9">
        <f>'PG history'!G78</f>
        <v>-1</v>
      </c>
      <c r="I196" s="9">
        <f t="shared" si="32"/>
        <v>7.0235575818865632</v>
      </c>
      <c r="J196" s="9">
        <f t="shared" si="33"/>
        <v>1</v>
      </c>
      <c r="K196" s="9">
        <f t="shared" si="34"/>
        <v>-2.6501995362399722</v>
      </c>
      <c r="L196" s="9">
        <f>'Model tests'!H17+'Model tests'!G17*G196</f>
        <v>-0.25386517062818004</v>
      </c>
      <c r="M196" s="9">
        <f t="shared" si="35"/>
        <v>-0.74613482937181996</v>
      </c>
      <c r="N196" s="9">
        <f>AVERAGE(H186:H195)+((SUM(K186:K195)-SUM(G186:G195)*SUM(H186:H195)/COUNT(G186:G195))/(SUM(I186:I195)-SUM(G186:G195)^2/COUNT(G186:G195)))*(G196-AVERAGE(G186:G195))</f>
        <v>1.673123665912309</v>
      </c>
      <c r="O196" s="9">
        <f t="shared" si="45"/>
        <v>-1.25</v>
      </c>
      <c r="P196" s="9">
        <f t="shared" si="46"/>
        <v>7.1455901332604608</v>
      </c>
      <c r="Q196" s="9">
        <f t="shared" si="47"/>
        <v>6.25E-2</v>
      </c>
    </row>
    <row r="197" spans="1:17" ht="25" customHeight="1">
      <c r="A197" s="1"/>
      <c r="B197" s="1" t="s">
        <v>45</v>
      </c>
      <c r="C197" s="1" t="s">
        <v>75</v>
      </c>
      <c r="D197" s="1" t="s">
        <v>76</v>
      </c>
      <c r="E197" s="1" t="s">
        <v>83</v>
      </c>
      <c r="F197" s="1" t="s">
        <v>109</v>
      </c>
      <c r="G197" s="9">
        <f>'Quarterly market'!G67</f>
        <v>2.7872397144634187</v>
      </c>
      <c r="H197" s="9">
        <f>'PG history'!G85</f>
        <v>0</v>
      </c>
      <c r="I197" s="9">
        <f t="shared" si="32"/>
        <v>7.7687052258821199</v>
      </c>
      <c r="J197" s="9">
        <f t="shared" si="33"/>
        <v>0</v>
      </c>
      <c r="K197" s="9">
        <f t="shared" si="34"/>
        <v>0</v>
      </c>
      <c r="L197" s="9">
        <f>'Model tests'!H17+'Model tests'!G17*G197</f>
        <v>-0.20537766585704365</v>
      </c>
      <c r="M197" s="9">
        <f t="shared" si="35"/>
        <v>0.20537766585704365</v>
      </c>
      <c r="N197" s="9">
        <f>AVERAGE(H186:H196)+((SUM(K186:K196)-SUM(G186:G196)*SUM(H186:H196)/COUNT(G186:G196))/(SUM(I186:I196)-SUM(G186:G196)^2/COUNT(G186:G196)))*(G197-AVERAGE(G186:G196))</f>
        <v>1.2531144778587917</v>
      </c>
      <c r="O197" s="9">
        <f t="shared" si="45"/>
        <v>-2</v>
      </c>
      <c r="P197" s="9">
        <f t="shared" si="46"/>
        <v>1.5702958946193122</v>
      </c>
      <c r="Q197" s="9">
        <f t="shared" si="47"/>
        <v>4</v>
      </c>
    </row>
    <row r="198" spans="1:17" ht="25" customHeight="1">
      <c r="A198" s="1"/>
      <c r="B198" s="1" t="s">
        <v>45</v>
      </c>
      <c r="C198" s="1" t="s">
        <v>75</v>
      </c>
      <c r="D198" s="1" t="s">
        <v>76</v>
      </c>
      <c r="E198" s="1" t="s">
        <v>83</v>
      </c>
      <c r="F198" s="1" t="s">
        <v>110</v>
      </c>
      <c r="G198" s="9">
        <f>'Quarterly market'!G68</f>
        <v>3.7498513143808809</v>
      </c>
      <c r="H198" s="9">
        <f>'PG history'!G92</f>
        <v>-1</v>
      </c>
      <c r="I198" s="9">
        <f t="shared" ref="I198:I261" si="48">G198*G198</f>
        <v>14.06138487996402</v>
      </c>
      <c r="J198" s="9">
        <f t="shared" ref="J198:J261" si="49">H198*H198</f>
        <v>1</v>
      </c>
      <c r="K198" s="9">
        <f t="shared" ref="K198:K261" si="50">G198*H198</f>
        <v>-3.7498513143808809</v>
      </c>
      <c r="L198" s="9">
        <f>'Model tests'!H17+'Model tests'!G17*G198</f>
        <v>0.1352132115690301</v>
      </c>
      <c r="M198" s="9">
        <f t="shared" ref="M198:M261" si="51">H198-L198</f>
        <v>-1.1352132115690301</v>
      </c>
      <c r="N198" s="9">
        <f>AVERAGE(H186:H197)+((SUM(K186:K197)-SUM(G186:G197)*SUM(H186:H197)/COUNT(G186:G197))/(SUM(I186:I197)-SUM(G186:G197)^2/COUNT(G186:G197)))*(G198-AVERAGE(G186:G197))</f>
        <v>1.7369440285691999</v>
      </c>
      <c r="O198" s="9">
        <f t="shared" si="45"/>
        <v>-1</v>
      </c>
      <c r="P198" s="9">
        <f t="shared" si="46"/>
        <v>7.4908626155206006</v>
      </c>
      <c r="Q198" s="9">
        <f t="shared" si="47"/>
        <v>0</v>
      </c>
    </row>
    <row r="199" spans="1:17" ht="25" customHeight="1">
      <c r="A199" s="1"/>
      <c r="B199" s="1" t="s">
        <v>45</v>
      </c>
      <c r="C199" s="1" t="s">
        <v>75</v>
      </c>
      <c r="D199" s="1" t="s">
        <v>76</v>
      </c>
      <c r="E199" s="1" t="s">
        <v>83</v>
      </c>
      <c r="F199" s="1" t="s">
        <v>111</v>
      </c>
      <c r="G199" s="9">
        <f>'Quarterly market'!G69</f>
        <v>3.2332744751814912</v>
      </c>
      <c r="H199" s="9">
        <f>'PG history'!G99</f>
        <v>-2</v>
      </c>
      <c r="I199" s="9">
        <f t="shared" si="48"/>
        <v>10.454063831860148</v>
      </c>
      <c r="J199" s="9">
        <f t="shared" si="49"/>
        <v>4</v>
      </c>
      <c r="K199" s="9">
        <f t="shared" si="50"/>
        <v>-6.4665489503629825</v>
      </c>
      <c r="L199" s="9">
        <f>'Model tests'!H17+'Model tests'!G17*G199</f>
        <v>-4.7561813099272099E-2</v>
      </c>
      <c r="M199" s="9">
        <f t="shared" si="51"/>
        <v>-1.9524381869007279</v>
      </c>
      <c r="N199" s="9">
        <f>AVERAGE(H186:H198)+((SUM(K186:K198)-SUM(G186:G198)*SUM(H186:H198)/COUNT(G186:G198))/(SUM(I186:I198)-SUM(G186:G198)^2/COUNT(G186:G198)))*(G199-AVERAGE(G186:G198))</f>
        <v>0.80161196161219794</v>
      </c>
      <c r="O199" s="9">
        <f t="shared" si="45"/>
        <v>-0.25</v>
      </c>
      <c r="P199" s="9">
        <f t="shared" si="46"/>
        <v>7.8490295834485488</v>
      </c>
      <c r="Q199" s="9">
        <f t="shared" si="47"/>
        <v>3.0625</v>
      </c>
    </row>
    <row r="200" spans="1:17" ht="25" customHeight="1">
      <c r="A200" s="1"/>
      <c r="B200" s="1" t="s">
        <v>45</v>
      </c>
      <c r="C200" s="1" t="s">
        <v>75</v>
      </c>
      <c r="D200" s="1" t="s">
        <v>76</v>
      </c>
      <c r="E200" s="1" t="s">
        <v>83</v>
      </c>
      <c r="F200" s="1" t="s">
        <v>112</v>
      </c>
      <c r="G200" s="9">
        <f>'Quarterly market'!G70</f>
        <v>2.9967230915401322</v>
      </c>
      <c r="H200" s="9">
        <f>'PG history'!G106</f>
        <v>-2</v>
      </c>
      <c r="I200" s="9">
        <f t="shared" si="48"/>
        <v>8.9803492873698474</v>
      </c>
      <c r="J200" s="9">
        <f t="shared" si="49"/>
        <v>4</v>
      </c>
      <c r="K200" s="9">
        <f t="shared" si="50"/>
        <v>-5.9934461830802643</v>
      </c>
      <c r="L200" s="9">
        <f>'Model tests'!H17+'Model tests'!G17*G200</f>
        <v>-0.13125833547410148</v>
      </c>
      <c r="M200" s="9">
        <f t="shared" si="51"/>
        <v>-1.8687416645258985</v>
      </c>
      <c r="N200" s="9">
        <f>AVERAGE(H186:H199)+((SUM(K186:K199)-SUM(G186:G199)*SUM(H186:H199)/COUNT(G186:G199))/(SUM(I186:I199)-SUM(G186:G199)^2/COUNT(G186:G199)))*(G200-AVERAGE(G186:G199))</f>
        <v>0.2760758116246313</v>
      </c>
      <c r="O200" s="9">
        <f t="shared" si="45"/>
        <v>-1</v>
      </c>
      <c r="P200" s="9">
        <f t="shared" si="46"/>
        <v>5.1805211002627232</v>
      </c>
      <c r="Q200" s="9">
        <f t="shared" si="47"/>
        <v>1</v>
      </c>
    </row>
    <row r="201" spans="1:17" ht="25" customHeight="1">
      <c r="A201" s="1"/>
      <c r="B201" s="1" t="s">
        <v>45</v>
      </c>
      <c r="C201" s="1" t="s">
        <v>75</v>
      </c>
      <c r="D201" s="1" t="s">
        <v>76</v>
      </c>
      <c r="E201" s="1" t="s">
        <v>83</v>
      </c>
      <c r="F201" s="1" t="s">
        <v>113</v>
      </c>
      <c r="G201" s="9">
        <f>'Quarterly market'!G71</f>
        <v>2.1478108850594868</v>
      </c>
      <c r="H201" s="9">
        <f>'PG history'!G113</f>
        <v>-1</v>
      </c>
      <c r="I201" s="9">
        <f t="shared" si="48"/>
        <v>4.6130915979800164</v>
      </c>
      <c r="J201" s="9">
        <f t="shared" si="49"/>
        <v>1</v>
      </c>
      <c r="K201" s="9">
        <f t="shared" si="50"/>
        <v>-2.1478108850594868</v>
      </c>
      <c r="L201" s="9">
        <f>'Model tests'!H17+'Model tests'!G17*G201</f>
        <v>-0.43162013590091797</v>
      </c>
      <c r="M201" s="9">
        <f t="shared" si="51"/>
        <v>-0.56837986409908203</v>
      </c>
      <c r="N201" s="9">
        <f>AVERAGE(H186:H200)+((SUM(K186:K200)-SUM(G186:G200)*SUM(H186:H200)/COUNT(G186:G200))/(SUM(I186:I200)-SUM(G186:G200)^2/COUNT(G186:G200)))*(G201-AVERAGE(G186:G200))</f>
        <v>-0.2970508034485862</v>
      </c>
      <c r="O201" s="9">
        <f t="shared" si="45"/>
        <v>-1.25</v>
      </c>
      <c r="P201" s="9">
        <f t="shared" si="46"/>
        <v>0.49413757293227828</v>
      </c>
      <c r="Q201" s="9">
        <f t="shared" si="47"/>
        <v>6.25E-2</v>
      </c>
    </row>
    <row r="202" spans="1:17" ht="25" customHeight="1">
      <c r="A202" s="1"/>
      <c r="B202" s="1" t="s">
        <v>45</v>
      </c>
      <c r="C202" s="1" t="s">
        <v>75</v>
      </c>
      <c r="D202" s="1" t="s">
        <v>76</v>
      </c>
      <c r="E202" s="1" t="s">
        <v>83</v>
      </c>
      <c r="F202" s="1" t="s">
        <v>114</v>
      </c>
      <c r="G202" s="9">
        <f>'Quarterly market'!G72</f>
        <v>1.5477657714465964</v>
      </c>
      <c r="H202" s="9">
        <f>'PG history'!G120</f>
        <v>-2</v>
      </c>
      <c r="I202" s="9">
        <f t="shared" si="48"/>
        <v>2.395578883261678</v>
      </c>
      <c r="J202" s="9">
        <f t="shared" si="49"/>
        <v>4</v>
      </c>
      <c r="K202" s="9">
        <f t="shared" si="50"/>
        <v>-3.0955315428931929</v>
      </c>
      <c r="L202" s="9">
        <f>'Model tests'!H17+'Model tests'!G17*G202</f>
        <v>-0.64392787430565546</v>
      </c>
      <c r="M202" s="9">
        <f t="shared" si="51"/>
        <v>-1.3560721256943444</v>
      </c>
      <c r="N202" s="9">
        <f>AVERAGE(H186:H201)+((SUM(K186:K201)-SUM(G186:G201)*SUM(H186:H201)/COUNT(G186:G201))/(SUM(I186:I201)-SUM(G186:G201)^2/COUNT(G186:G201)))*(G202-AVERAGE(G186:G201))</f>
        <v>-0.55917074458280513</v>
      </c>
      <c r="O202" s="9">
        <f t="shared" si="45"/>
        <v>-1.5</v>
      </c>
      <c r="P202" s="9">
        <f t="shared" si="46"/>
        <v>2.0759889432660681</v>
      </c>
      <c r="Q202" s="9">
        <f t="shared" si="47"/>
        <v>0.25</v>
      </c>
    </row>
    <row r="203" spans="1:17" ht="25" customHeight="1">
      <c r="A203" s="1"/>
      <c r="B203" s="1" t="s">
        <v>50</v>
      </c>
      <c r="C203" s="1" t="s">
        <v>75</v>
      </c>
      <c r="D203" s="1" t="s">
        <v>76</v>
      </c>
      <c r="E203" s="1" t="s">
        <v>83</v>
      </c>
      <c r="F203" s="1" t="s">
        <v>98</v>
      </c>
      <c r="G203" s="9">
        <f>'Quarterly market'!G56</f>
        <v>3.5989104881054557</v>
      </c>
      <c r="H203" s="9">
        <f>'PG history'!G9</f>
        <v>5</v>
      </c>
      <c r="I203" s="9">
        <f t="shared" si="48"/>
        <v>12.952156701395449</v>
      </c>
      <c r="J203" s="9">
        <f t="shared" si="49"/>
        <v>25</v>
      </c>
      <c r="K203" s="9">
        <f t="shared" si="50"/>
        <v>17.994552440527279</v>
      </c>
      <c r="L203" s="9">
        <f>'Model tests'!H18+'Model tests'!G18*G203</f>
        <v>2.4506289789934304</v>
      </c>
      <c r="M203" s="9">
        <f t="shared" si="51"/>
        <v>2.5493710210065696</v>
      </c>
      <c r="N203" s="9"/>
      <c r="O203" s="9"/>
      <c r="P203" s="9"/>
      <c r="Q203" s="9"/>
    </row>
    <row r="204" spans="1:17" ht="25" customHeight="1">
      <c r="A204" s="1"/>
      <c r="B204" s="1" t="s">
        <v>50</v>
      </c>
      <c r="C204" s="1" t="s">
        <v>75</v>
      </c>
      <c r="D204" s="1" t="s">
        <v>76</v>
      </c>
      <c r="E204" s="1" t="s">
        <v>83</v>
      </c>
      <c r="F204" s="1" t="s">
        <v>99</v>
      </c>
      <c r="G204" s="9">
        <f>'Quarterly market'!G57</f>
        <v>-3.7966210073037132E-2</v>
      </c>
      <c r="H204" s="9">
        <f>'PG history'!G16</f>
        <v>-1</v>
      </c>
      <c r="I204" s="9">
        <f t="shared" si="48"/>
        <v>1.4414331073099862E-3</v>
      </c>
      <c r="J204" s="9">
        <f t="shared" si="49"/>
        <v>1</v>
      </c>
      <c r="K204" s="9">
        <f t="shared" si="50"/>
        <v>3.7966210073037132E-2</v>
      </c>
      <c r="L204" s="9">
        <f>'Model tests'!H18+'Model tests'!G18*G204</f>
        <v>-2.499016690727073</v>
      </c>
      <c r="M204" s="9">
        <f t="shared" si="51"/>
        <v>1.499016690727073</v>
      </c>
      <c r="N204" s="9"/>
      <c r="O204" s="9"/>
      <c r="P204" s="9"/>
      <c r="Q204" s="9"/>
    </row>
    <row r="205" spans="1:17" ht="25" customHeight="1">
      <c r="A205" s="1"/>
      <c r="B205" s="1" t="s">
        <v>50</v>
      </c>
      <c r="C205" s="1" t="s">
        <v>75</v>
      </c>
      <c r="D205" s="1" t="s">
        <v>76</v>
      </c>
      <c r="E205" s="1" t="s">
        <v>83</v>
      </c>
      <c r="F205" s="1" t="s">
        <v>100</v>
      </c>
      <c r="G205" s="9">
        <f>'Quarterly market'!G58</f>
        <v>-0.97428175390660288</v>
      </c>
      <c r="H205" s="9">
        <f>'PG history'!G23</f>
        <v>-4</v>
      </c>
      <c r="I205" s="9">
        <f t="shared" si="48"/>
        <v>0.94922493599532631</v>
      </c>
      <c r="J205" s="9">
        <f t="shared" si="49"/>
        <v>16</v>
      </c>
      <c r="K205" s="9">
        <f t="shared" si="50"/>
        <v>3.8971270156264115</v>
      </c>
      <c r="L205" s="9">
        <f>'Model tests'!H18+'Model tests'!G18*G205</f>
        <v>-3.7733051974968879</v>
      </c>
      <c r="M205" s="9">
        <f t="shared" si="51"/>
        <v>-0.22669480250311214</v>
      </c>
      <c r="N205" s="9"/>
      <c r="O205" s="9"/>
      <c r="P205" s="9"/>
      <c r="Q205" s="9"/>
    </row>
    <row r="206" spans="1:17" ht="25" customHeight="1">
      <c r="A206" s="1"/>
      <c r="B206" s="1" t="s">
        <v>50</v>
      </c>
      <c r="C206" s="1" t="s">
        <v>75</v>
      </c>
      <c r="D206" s="1" t="s">
        <v>76</v>
      </c>
      <c r="E206" s="1" t="s">
        <v>83</v>
      </c>
      <c r="F206" s="1" t="s">
        <v>101</v>
      </c>
      <c r="G206" s="9">
        <f>'Quarterly market'!G59</f>
        <v>-1.7083333333333339</v>
      </c>
      <c r="H206" s="9">
        <f>'PG history'!G30</f>
        <v>-7</v>
      </c>
      <c r="I206" s="9">
        <f t="shared" si="48"/>
        <v>2.9184027777777799</v>
      </c>
      <c r="J206" s="9">
        <f t="shared" si="49"/>
        <v>49</v>
      </c>
      <c r="K206" s="9">
        <f t="shared" si="50"/>
        <v>11.958333333333337</v>
      </c>
      <c r="L206" s="9">
        <f>'Model tests'!H18+'Model tests'!G18*G206</f>
        <v>-4.7723204303423481</v>
      </c>
      <c r="M206" s="9">
        <f t="shared" si="51"/>
        <v>-2.2276795696576519</v>
      </c>
      <c r="N206" s="9"/>
      <c r="O206" s="9"/>
      <c r="P206" s="9"/>
      <c r="Q206" s="9"/>
    </row>
    <row r="207" spans="1:17" ht="25" customHeight="1">
      <c r="A207" s="1"/>
      <c r="B207" s="1" t="s">
        <v>50</v>
      </c>
      <c r="C207" s="1" t="s">
        <v>75</v>
      </c>
      <c r="D207" s="1" t="s">
        <v>76</v>
      </c>
      <c r="E207" s="1" t="s">
        <v>83</v>
      </c>
      <c r="F207" s="1" t="s">
        <v>102</v>
      </c>
      <c r="G207" s="9">
        <f>'Quarterly market'!G60</f>
        <v>-0.51383557261676094</v>
      </c>
      <c r="H207" s="9">
        <f>'PG history'!G37</f>
        <v>-5</v>
      </c>
      <c r="I207" s="9">
        <f t="shared" si="48"/>
        <v>0.26402699568639459</v>
      </c>
      <c r="J207" s="9">
        <f t="shared" si="49"/>
        <v>25</v>
      </c>
      <c r="K207" s="9">
        <f t="shared" si="50"/>
        <v>2.5691778630838047</v>
      </c>
      <c r="L207" s="9">
        <f>'Model tests'!H18+'Model tests'!G18*G207</f>
        <v>-3.1466561146445455</v>
      </c>
      <c r="M207" s="9">
        <f t="shared" si="51"/>
        <v>-1.8533438853554545</v>
      </c>
      <c r="N207" s="9"/>
      <c r="O207" s="9"/>
      <c r="P207" s="9"/>
      <c r="Q207" s="9"/>
    </row>
    <row r="208" spans="1:17" ht="25" customHeight="1">
      <c r="A208" s="1"/>
      <c r="B208" s="1" t="s">
        <v>50</v>
      </c>
      <c r="C208" s="1" t="s">
        <v>75</v>
      </c>
      <c r="D208" s="1" t="s">
        <v>76</v>
      </c>
      <c r="E208" s="1" t="s">
        <v>83</v>
      </c>
      <c r="F208" s="1" t="s">
        <v>103</v>
      </c>
      <c r="G208" s="9">
        <f>'Quarterly market'!G61</f>
        <v>-0.38380425982746935</v>
      </c>
      <c r="H208" s="9">
        <f>'PG history'!G44</f>
        <v>-2</v>
      </c>
      <c r="I208" s="9">
        <f t="shared" si="48"/>
        <v>0.1473057098617116</v>
      </c>
      <c r="J208" s="9">
        <f t="shared" si="49"/>
        <v>4</v>
      </c>
      <c r="K208" s="9">
        <f t="shared" si="50"/>
        <v>0.7676085196549387</v>
      </c>
      <c r="L208" s="9">
        <f>'Model tests'!H18+'Model tests'!G18*G208</f>
        <v>-2.9696886291650579</v>
      </c>
      <c r="M208" s="9">
        <f t="shared" si="51"/>
        <v>0.96968862916505794</v>
      </c>
      <c r="N208" s="9"/>
      <c r="O208" s="9"/>
      <c r="P208" s="9"/>
      <c r="Q208" s="9"/>
    </row>
    <row r="209" spans="1:17" ht="25" customHeight="1">
      <c r="A209" s="1"/>
      <c r="B209" s="1" t="s">
        <v>50</v>
      </c>
      <c r="C209" s="1" t="s">
        <v>75</v>
      </c>
      <c r="D209" s="1" t="s">
        <v>76</v>
      </c>
      <c r="E209" s="1" t="s">
        <v>83</v>
      </c>
      <c r="F209" s="1" t="s">
        <v>104</v>
      </c>
      <c r="G209" s="9">
        <f>'Quarterly market'!G62</f>
        <v>1.1893013232361582</v>
      </c>
      <c r="H209" s="9">
        <f>'PG history'!G51</f>
        <v>0</v>
      </c>
      <c r="I209" s="9">
        <f t="shared" si="48"/>
        <v>1.4144376374512768</v>
      </c>
      <c r="J209" s="9">
        <f t="shared" si="49"/>
        <v>0</v>
      </c>
      <c r="K209" s="9">
        <f t="shared" si="50"/>
        <v>0</v>
      </c>
      <c r="L209" s="9">
        <f>'Model tests'!H18+'Model tests'!G18*G209</f>
        <v>-0.82875400767410667</v>
      </c>
      <c r="M209" s="9">
        <f t="shared" si="51"/>
        <v>0.82875400767410667</v>
      </c>
      <c r="N209" s="9"/>
      <c r="O209" s="9"/>
      <c r="P209" s="9"/>
      <c r="Q209" s="9"/>
    </row>
    <row r="210" spans="1:17" ht="25" customHeight="1">
      <c r="A210" s="1"/>
      <c r="B210" s="1" t="s">
        <v>50</v>
      </c>
      <c r="C210" s="1" t="s">
        <v>75</v>
      </c>
      <c r="D210" s="1" t="s">
        <v>76</v>
      </c>
      <c r="E210" s="1" t="s">
        <v>83</v>
      </c>
      <c r="F210" s="1" t="s">
        <v>105</v>
      </c>
      <c r="G210" s="9">
        <f>'Quarterly market'!G63</f>
        <v>2.2255192878338326</v>
      </c>
      <c r="H210" s="9">
        <f>'PG history'!G58</f>
        <v>1</v>
      </c>
      <c r="I210" s="9">
        <f t="shared" si="48"/>
        <v>4.9529361005204091</v>
      </c>
      <c r="J210" s="9">
        <f t="shared" si="49"/>
        <v>1</v>
      </c>
      <c r="K210" s="9">
        <f t="shared" si="50"/>
        <v>2.2255192878338326</v>
      </c>
      <c r="L210" s="9">
        <f>'Model tests'!H18+'Model tests'!G18*G210</f>
        <v>0.58149775145928828</v>
      </c>
      <c r="M210" s="9">
        <f t="shared" si="51"/>
        <v>0.41850224854071172</v>
      </c>
      <c r="N210" s="9"/>
      <c r="O210" s="9"/>
      <c r="P210" s="9"/>
      <c r="Q210" s="9"/>
    </row>
    <row r="211" spans="1:17" ht="25" customHeight="1">
      <c r="A211" s="1"/>
      <c r="B211" s="1" t="s">
        <v>50</v>
      </c>
      <c r="C211" s="1" t="s">
        <v>75</v>
      </c>
      <c r="D211" s="1" t="s">
        <v>76</v>
      </c>
      <c r="E211" s="1" t="s">
        <v>83</v>
      </c>
      <c r="F211" s="1" t="s">
        <v>106</v>
      </c>
      <c r="G211" s="9">
        <f>'Quarterly market'!G64</f>
        <v>1.3726160091641626</v>
      </c>
      <c r="H211" s="9">
        <f>'PG history'!G65</f>
        <v>1</v>
      </c>
      <c r="I211" s="9">
        <f t="shared" si="48"/>
        <v>1.8840747086137526</v>
      </c>
      <c r="J211" s="9">
        <f t="shared" si="49"/>
        <v>1</v>
      </c>
      <c r="K211" s="9">
        <f t="shared" si="50"/>
        <v>1.3726160091641626</v>
      </c>
      <c r="L211" s="9">
        <f>'Model tests'!H18+'Model tests'!G18*G211</f>
        <v>-0.57926995399305725</v>
      </c>
      <c r="M211" s="9">
        <f t="shared" si="51"/>
        <v>1.5792699539930573</v>
      </c>
      <c r="N211" s="9">
        <f>AVERAGE(H203:H210)+((SUM(K203:K210)-SUM(G203:G210)*SUM(H203:H210)/COUNT(G203:G210))/(SUM(I203:I210)-SUM(G203:G210)^2/COUNT(G203:G210)))*(G211-AVERAGE(G203:G210))</f>
        <v>0.29918937254809608</v>
      </c>
      <c r="O211" s="9">
        <f t="shared" ref="O211:O219" si="52">AVERAGE(H207:H210)</f>
        <v>-1.5</v>
      </c>
      <c r="P211" s="9">
        <f t="shared" ref="P211:P219" si="53">(H211-N211)^2</f>
        <v>0.49113553554953127</v>
      </c>
      <c r="Q211" s="9">
        <f t="shared" ref="Q211:Q219" si="54">(H211-O211)^2</f>
        <v>6.25</v>
      </c>
    </row>
    <row r="212" spans="1:17" ht="25" customHeight="1">
      <c r="A212" s="1"/>
      <c r="B212" s="1" t="s">
        <v>50</v>
      </c>
      <c r="C212" s="1" t="s">
        <v>75</v>
      </c>
      <c r="D212" s="1" t="s">
        <v>76</v>
      </c>
      <c r="E212" s="1" t="s">
        <v>83</v>
      </c>
      <c r="F212" s="1" t="s">
        <v>107</v>
      </c>
      <c r="G212" s="9">
        <f>'Quarterly market'!G65</f>
        <v>2.2805943792830075</v>
      </c>
      <c r="H212" s="9">
        <f>'PG history'!G72</f>
        <v>3</v>
      </c>
      <c r="I212" s="9">
        <f t="shared" si="48"/>
        <v>5.201110722817246</v>
      </c>
      <c r="J212" s="9">
        <f t="shared" si="49"/>
        <v>9</v>
      </c>
      <c r="K212" s="9">
        <f t="shared" si="50"/>
        <v>6.8417831378490224</v>
      </c>
      <c r="L212" s="9">
        <f>'Model tests'!H18+'Model tests'!G18*G212</f>
        <v>0.65645277757755061</v>
      </c>
      <c r="M212" s="9">
        <f t="shared" si="51"/>
        <v>2.3435472224224494</v>
      </c>
      <c r="N212" s="9">
        <f>AVERAGE(H203:H211)+((SUM(K203:K211)-SUM(G203:G211)*SUM(H203:H211)/COUNT(G203:G211))/(SUM(I203:I211)-SUM(G203:G211)^2/COUNT(G203:G211)))*(G212-AVERAGE(G203:G211))</f>
        <v>2.264713333395898</v>
      </c>
      <c r="O212" s="9">
        <f t="shared" si="52"/>
        <v>0</v>
      </c>
      <c r="P212" s="9">
        <f t="shared" si="53"/>
        <v>0.54064648208577193</v>
      </c>
      <c r="Q212" s="9">
        <f t="shared" si="54"/>
        <v>9</v>
      </c>
    </row>
    <row r="213" spans="1:17" ht="25" customHeight="1">
      <c r="A213" s="1"/>
      <c r="B213" s="1" t="s">
        <v>50</v>
      </c>
      <c r="C213" s="1" t="s">
        <v>75</v>
      </c>
      <c r="D213" s="1" t="s">
        <v>76</v>
      </c>
      <c r="E213" s="1" t="s">
        <v>83</v>
      </c>
      <c r="F213" s="1" t="s">
        <v>108</v>
      </c>
      <c r="G213" s="9">
        <f>'Quarterly market'!G66</f>
        <v>2.6501995362399722</v>
      </c>
      <c r="H213" s="9">
        <f>'PG history'!G79</f>
        <v>1</v>
      </c>
      <c r="I213" s="9">
        <f t="shared" si="48"/>
        <v>7.0235575818865632</v>
      </c>
      <c r="J213" s="9">
        <f t="shared" si="49"/>
        <v>1</v>
      </c>
      <c r="K213" s="9">
        <f t="shared" si="50"/>
        <v>2.6501995362399722</v>
      </c>
      <c r="L213" s="9">
        <f>'Model tests'!H18+'Model tests'!G18*G213</f>
        <v>1.1594708110331964</v>
      </c>
      <c r="M213" s="9">
        <f t="shared" si="51"/>
        <v>-0.15947081103319638</v>
      </c>
      <c r="N213" s="9">
        <f>AVERAGE(H203:H212)+((SUM(K203:K212)-SUM(G203:G212)*SUM(H203:H212)/COUNT(G203:G212))/(SUM(I203:I212)-SUM(G203:G212)^2/COUNT(G203:G212)))*(G213-AVERAGE(G203:G212))</f>
        <v>3.1854541140628574</v>
      </c>
      <c r="O213" s="9">
        <f t="shared" si="52"/>
        <v>1.25</v>
      </c>
      <c r="P213" s="9">
        <f t="shared" si="53"/>
        <v>4.776209684674269</v>
      </c>
      <c r="Q213" s="9">
        <f t="shared" si="54"/>
        <v>6.25E-2</v>
      </c>
    </row>
    <row r="214" spans="1:17" ht="25" customHeight="1">
      <c r="A214" s="1"/>
      <c r="B214" s="1" t="s">
        <v>50</v>
      </c>
      <c r="C214" s="1" t="s">
        <v>75</v>
      </c>
      <c r="D214" s="1" t="s">
        <v>76</v>
      </c>
      <c r="E214" s="1" t="s">
        <v>83</v>
      </c>
      <c r="F214" s="1" t="s">
        <v>109</v>
      </c>
      <c r="G214" s="9">
        <f>'Quarterly market'!G67</f>
        <v>2.7872397144634187</v>
      </c>
      <c r="H214" s="9">
        <f>'PG history'!G86</f>
        <v>2</v>
      </c>
      <c r="I214" s="9">
        <f t="shared" si="48"/>
        <v>7.7687052258821199</v>
      </c>
      <c r="J214" s="9">
        <f t="shared" si="49"/>
        <v>4</v>
      </c>
      <c r="K214" s="9">
        <f t="shared" si="50"/>
        <v>5.5744794289268373</v>
      </c>
      <c r="L214" s="9">
        <f>'Model tests'!H18+'Model tests'!G18*G214</f>
        <v>1.3459770857884363</v>
      </c>
      <c r="M214" s="9">
        <f t="shared" si="51"/>
        <v>0.65402291421156367</v>
      </c>
      <c r="N214" s="9">
        <f>AVERAGE(H203:H213)+((SUM(K203:K213)-SUM(G203:G213)*SUM(H203:H213)/COUNT(G203:G213))/(SUM(I203:I213)-SUM(G203:G213)^2/COUNT(G203:G213)))*(G214-AVERAGE(G203:G213))</f>
        <v>3.0219913330070893</v>
      </c>
      <c r="O214" s="9">
        <f t="shared" si="52"/>
        <v>1.5</v>
      </c>
      <c r="P214" s="9">
        <f t="shared" si="53"/>
        <v>1.0444662847416073</v>
      </c>
      <c r="Q214" s="9">
        <f t="shared" si="54"/>
        <v>0.25</v>
      </c>
    </row>
    <row r="215" spans="1:17" ht="25" customHeight="1">
      <c r="A215" s="1"/>
      <c r="B215" s="1" t="s">
        <v>50</v>
      </c>
      <c r="C215" s="1" t="s">
        <v>75</v>
      </c>
      <c r="D215" s="1" t="s">
        <v>76</v>
      </c>
      <c r="E215" s="1" t="s">
        <v>83</v>
      </c>
      <c r="F215" s="1" t="s">
        <v>110</v>
      </c>
      <c r="G215" s="9">
        <f>'Quarterly market'!G68</f>
        <v>3.7498513143808809</v>
      </c>
      <c r="H215" s="9">
        <f>'PG history'!G93</f>
        <v>0</v>
      </c>
      <c r="I215" s="9">
        <f t="shared" si="48"/>
        <v>14.06138487996402</v>
      </c>
      <c r="J215" s="9">
        <f t="shared" si="49"/>
        <v>0</v>
      </c>
      <c r="K215" s="9">
        <f t="shared" si="50"/>
        <v>0</v>
      </c>
      <c r="L215" s="9">
        <f>'Model tests'!H18+'Model tests'!G18*G215</f>
        <v>2.6560534872074086</v>
      </c>
      <c r="M215" s="9">
        <f t="shared" si="51"/>
        <v>-2.6560534872074086</v>
      </c>
      <c r="N215" s="9">
        <f>AVERAGE(H203:H214)+((SUM(K203:K214)-SUM(G203:G214)*SUM(H203:H214)/COUNT(G203:G214))/(SUM(I203:I214)-SUM(G203:G214)^2/COUNT(G203:G214)))*(G215-AVERAGE(G203:G214))</f>
        <v>4.6819576783226653</v>
      </c>
      <c r="O215" s="9">
        <f t="shared" si="52"/>
        <v>1.75</v>
      </c>
      <c r="P215" s="9">
        <f t="shared" si="53"/>
        <v>21.920727701604562</v>
      </c>
      <c r="Q215" s="9">
        <f t="shared" si="54"/>
        <v>3.0625</v>
      </c>
    </row>
    <row r="216" spans="1:17" ht="25" customHeight="1">
      <c r="A216" s="1"/>
      <c r="B216" s="1" t="s">
        <v>50</v>
      </c>
      <c r="C216" s="1" t="s">
        <v>75</v>
      </c>
      <c r="D216" s="1" t="s">
        <v>76</v>
      </c>
      <c r="E216" s="1" t="s">
        <v>83</v>
      </c>
      <c r="F216" s="1" t="s">
        <v>111</v>
      </c>
      <c r="G216" s="9">
        <f>'Quarterly market'!G69</f>
        <v>3.2332744751814912</v>
      </c>
      <c r="H216" s="9">
        <f>'PG history'!G100</f>
        <v>0</v>
      </c>
      <c r="I216" s="9">
        <f t="shared" si="48"/>
        <v>10.454063831860148</v>
      </c>
      <c r="J216" s="9">
        <f t="shared" si="49"/>
        <v>0</v>
      </c>
      <c r="K216" s="9">
        <f t="shared" si="50"/>
        <v>0</v>
      </c>
      <c r="L216" s="9">
        <f>'Model tests'!H18+'Model tests'!G18*G216</f>
        <v>1.9530127939384405</v>
      </c>
      <c r="M216" s="9">
        <f t="shared" si="51"/>
        <v>-1.9530127939384405</v>
      </c>
      <c r="N216" s="9">
        <f>AVERAGE(H203:H215)+((SUM(K203:K215)-SUM(G203:G215)*SUM(H203:H215)/COUNT(G203:G215))/(SUM(I203:I215)-SUM(G203:G215)^2/COUNT(G203:G215)))*(G216-AVERAGE(G203:G215))</f>
        <v>2.7419762454784506</v>
      </c>
      <c r="O216" s="9">
        <f t="shared" si="52"/>
        <v>1.5</v>
      </c>
      <c r="P216" s="9">
        <f t="shared" si="53"/>
        <v>7.5184337307681011</v>
      </c>
      <c r="Q216" s="9">
        <f t="shared" si="54"/>
        <v>2.25</v>
      </c>
    </row>
    <row r="217" spans="1:17" ht="25" customHeight="1">
      <c r="A217" s="1"/>
      <c r="B217" s="1" t="s">
        <v>50</v>
      </c>
      <c r="C217" s="1" t="s">
        <v>75</v>
      </c>
      <c r="D217" s="1" t="s">
        <v>76</v>
      </c>
      <c r="E217" s="1" t="s">
        <v>83</v>
      </c>
      <c r="F217" s="1" t="s">
        <v>112</v>
      </c>
      <c r="G217" s="9">
        <f>'Quarterly market'!G70</f>
        <v>2.9967230915401322</v>
      </c>
      <c r="H217" s="9">
        <f>'PG history'!G107</f>
        <v>-2</v>
      </c>
      <c r="I217" s="9">
        <f t="shared" si="48"/>
        <v>8.9803492873698474</v>
      </c>
      <c r="J217" s="9">
        <f t="shared" si="49"/>
        <v>4</v>
      </c>
      <c r="K217" s="9">
        <f t="shared" si="50"/>
        <v>-5.9934461830802643</v>
      </c>
      <c r="L217" s="9">
        <f>'Model tests'!H18+'Model tests'!G18*G217</f>
        <v>1.6310756954678602</v>
      </c>
      <c r="M217" s="9">
        <f t="shared" si="51"/>
        <v>-3.6310756954678602</v>
      </c>
      <c r="N217" s="9">
        <f>AVERAGE(H203:H216)+((SUM(K203:K216)-SUM(G203:G216)*SUM(H203:H216)/COUNT(G203:G216))/(SUM(I203:I216)-SUM(G203:G216)^2/COUNT(G203:G216)))*(G217-AVERAGE(G203:G216))</f>
        <v>1.9751643036814659</v>
      </c>
      <c r="O217" s="9">
        <f t="shared" si="52"/>
        <v>0.75</v>
      </c>
      <c r="P217" s="9">
        <f t="shared" si="53"/>
        <v>15.801931241263356</v>
      </c>
      <c r="Q217" s="9">
        <f t="shared" si="54"/>
        <v>7.5625</v>
      </c>
    </row>
    <row r="218" spans="1:17" ht="25" customHeight="1">
      <c r="A218" s="1"/>
      <c r="B218" s="1" t="s">
        <v>50</v>
      </c>
      <c r="C218" s="1" t="s">
        <v>75</v>
      </c>
      <c r="D218" s="1" t="s">
        <v>76</v>
      </c>
      <c r="E218" s="1" t="s">
        <v>83</v>
      </c>
      <c r="F218" s="1" t="s">
        <v>113</v>
      </c>
      <c r="G218" s="9">
        <f>'Quarterly market'!G71</f>
        <v>2.1478108850594868</v>
      </c>
      <c r="H218" s="9">
        <f>'PG history'!G114</f>
        <v>0</v>
      </c>
      <c r="I218" s="9">
        <f t="shared" si="48"/>
        <v>4.6130915979800164</v>
      </c>
      <c r="J218" s="9">
        <f t="shared" si="49"/>
        <v>0</v>
      </c>
      <c r="K218" s="9">
        <f t="shared" si="50"/>
        <v>0</v>
      </c>
      <c r="L218" s="9">
        <f>'Model tests'!H18+'Model tests'!G18*G218</f>
        <v>0.47573968177120207</v>
      </c>
      <c r="M218" s="9">
        <f t="shared" si="51"/>
        <v>-0.47573968177120207</v>
      </c>
      <c r="N218" s="9">
        <f>AVERAGE(H203:H217)+((SUM(K203:K217)-SUM(G203:G217)*SUM(H203:H217)/COUNT(G203:G217))/(SUM(I203:I217)-SUM(G203:G217)^2/COUNT(G203:G217)))*(G218-AVERAGE(G203:G217))</f>
        <v>0.35415168146121123</v>
      </c>
      <c r="O218" s="9">
        <f t="shared" si="52"/>
        <v>0</v>
      </c>
      <c r="P218" s="9">
        <f t="shared" si="53"/>
        <v>0.12542341348180322</v>
      </c>
      <c r="Q218" s="9">
        <f t="shared" si="54"/>
        <v>0</v>
      </c>
    </row>
    <row r="219" spans="1:17" ht="25" customHeight="1">
      <c r="A219" s="1"/>
      <c r="B219" s="1" t="s">
        <v>50</v>
      </c>
      <c r="C219" s="1" t="s">
        <v>75</v>
      </c>
      <c r="D219" s="1" t="s">
        <v>76</v>
      </c>
      <c r="E219" s="1" t="s">
        <v>83</v>
      </c>
      <c r="F219" s="1" t="s">
        <v>114</v>
      </c>
      <c r="G219" s="9">
        <f>'Quarterly market'!G72</f>
        <v>1.5477657714465964</v>
      </c>
      <c r="H219" s="9">
        <f>'PG history'!G121</f>
        <v>2</v>
      </c>
      <c r="I219" s="9">
        <f t="shared" si="48"/>
        <v>2.395578883261678</v>
      </c>
      <c r="J219" s="9">
        <f t="shared" si="49"/>
        <v>4</v>
      </c>
      <c r="K219" s="9">
        <f t="shared" si="50"/>
        <v>3.0955315428931929</v>
      </c>
      <c r="L219" s="9">
        <f>'Model tests'!H18+'Model tests'!G18*G219</f>
        <v>-0.3408980391937404</v>
      </c>
      <c r="M219" s="9">
        <f t="shared" si="51"/>
        <v>2.3408980391937404</v>
      </c>
      <c r="N219" s="9">
        <f>AVERAGE(H203:H218)+((SUM(K203:K218)-SUM(G203:G218)*SUM(H203:H218)/COUNT(G203:G218))/(SUM(I203:I218)-SUM(G203:G218)^2/COUNT(G203:G218)))*(G219-AVERAGE(G203:G218))</f>
        <v>-0.48720869259967153</v>
      </c>
      <c r="O219" s="9">
        <f t="shared" si="52"/>
        <v>-0.5</v>
      </c>
      <c r="P219" s="9">
        <f t="shared" si="53"/>
        <v>6.186207080543368</v>
      </c>
      <c r="Q219" s="9">
        <f t="shared" si="54"/>
        <v>6.25</v>
      </c>
    </row>
    <row r="220" spans="1:17" ht="25" customHeight="1">
      <c r="A220" s="1"/>
      <c r="B220" s="1" t="s">
        <v>55</v>
      </c>
      <c r="C220" s="1" t="s">
        <v>75</v>
      </c>
      <c r="D220" s="1" t="s">
        <v>76</v>
      </c>
      <c r="E220" s="1" t="s">
        <v>83</v>
      </c>
      <c r="F220" s="1" t="s">
        <v>98</v>
      </c>
      <c r="G220" s="9">
        <f>'Quarterly market'!G56</f>
        <v>3.5989104881054557</v>
      </c>
      <c r="H220" s="9">
        <f>'PG history'!G10</f>
        <v>2</v>
      </c>
      <c r="I220" s="9">
        <f t="shared" si="48"/>
        <v>12.952156701395449</v>
      </c>
      <c r="J220" s="9">
        <f t="shared" si="49"/>
        <v>4</v>
      </c>
      <c r="K220" s="9">
        <f t="shared" si="50"/>
        <v>7.1978209762109113</v>
      </c>
      <c r="L220" s="9">
        <f>'Model tests'!H19+'Model tests'!G19*G220</f>
        <v>0.35197058372276935</v>
      </c>
      <c r="M220" s="9">
        <f t="shared" si="51"/>
        <v>1.6480294162772307</v>
      </c>
      <c r="N220" s="9"/>
      <c r="O220" s="9"/>
      <c r="P220" s="9"/>
      <c r="Q220" s="9"/>
    </row>
    <row r="221" spans="1:17" ht="25" customHeight="1">
      <c r="A221" s="1"/>
      <c r="B221" s="1" t="s">
        <v>55</v>
      </c>
      <c r="C221" s="1" t="s">
        <v>75</v>
      </c>
      <c r="D221" s="1" t="s">
        <v>76</v>
      </c>
      <c r="E221" s="1" t="s">
        <v>83</v>
      </c>
      <c r="F221" s="1" t="s">
        <v>99</v>
      </c>
      <c r="G221" s="9">
        <f>'Quarterly market'!G57</f>
        <v>-3.7966210073037132E-2</v>
      </c>
      <c r="H221" s="9">
        <f>'PG history'!G17</f>
        <v>0</v>
      </c>
      <c r="I221" s="9">
        <f t="shared" si="48"/>
        <v>1.4414331073099862E-3</v>
      </c>
      <c r="J221" s="9">
        <f t="shared" si="49"/>
        <v>0</v>
      </c>
      <c r="K221" s="9">
        <f t="shared" si="50"/>
        <v>0</v>
      </c>
      <c r="L221" s="9">
        <f>'Model tests'!H19+'Model tests'!G19*G221</f>
        <v>-2.4503127265499018</v>
      </c>
      <c r="M221" s="9">
        <f t="shared" si="51"/>
        <v>2.4503127265499018</v>
      </c>
      <c r="N221" s="9"/>
      <c r="O221" s="9"/>
      <c r="P221" s="9"/>
      <c r="Q221" s="9"/>
    </row>
    <row r="222" spans="1:17" ht="25" customHeight="1">
      <c r="A222" s="1"/>
      <c r="B222" s="1" t="s">
        <v>55</v>
      </c>
      <c r="C222" s="1" t="s">
        <v>75</v>
      </c>
      <c r="D222" s="1" t="s">
        <v>76</v>
      </c>
      <c r="E222" s="1" t="s">
        <v>83</v>
      </c>
      <c r="F222" s="1" t="s">
        <v>100</v>
      </c>
      <c r="G222" s="9">
        <f>'Quarterly market'!G58</f>
        <v>-0.97428175390660288</v>
      </c>
      <c r="H222" s="9">
        <f>'PG history'!G24</f>
        <v>-3</v>
      </c>
      <c r="I222" s="9">
        <f t="shared" si="48"/>
        <v>0.94922493599532631</v>
      </c>
      <c r="J222" s="9">
        <f t="shared" si="49"/>
        <v>9</v>
      </c>
      <c r="K222" s="9">
        <f t="shared" si="50"/>
        <v>2.9228452617198086</v>
      </c>
      <c r="L222" s="9">
        <f>'Model tests'!H19+'Model tests'!G19*G222</f>
        <v>-3.1717618268033712</v>
      </c>
      <c r="M222" s="9">
        <f t="shared" si="51"/>
        <v>0.17176182680337115</v>
      </c>
      <c r="N222" s="9"/>
      <c r="O222" s="9"/>
      <c r="P222" s="9"/>
      <c r="Q222" s="9"/>
    </row>
    <row r="223" spans="1:17" ht="25" customHeight="1">
      <c r="A223" s="1"/>
      <c r="B223" s="1" t="s">
        <v>55</v>
      </c>
      <c r="C223" s="1" t="s">
        <v>75</v>
      </c>
      <c r="D223" s="1" t="s">
        <v>76</v>
      </c>
      <c r="E223" s="1" t="s">
        <v>83</v>
      </c>
      <c r="F223" s="1" t="s">
        <v>101</v>
      </c>
      <c r="G223" s="9">
        <f>'Quarterly market'!G59</f>
        <v>-1.7083333333333339</v>
      </c>
      <c r="H223" s="9">
        <f>'PG history'!G31</f>
        <v>-6</v>
      </c>
      <c r="I223" s="9">
        <f t="shared" si="48"/>
        <v>2.9184027777777799</v>
      </c>
      <c r="J223" s="9">
        <f t="shared" si="49"/>
        <v>36</v>
      </c>
      <c r="K223" s="9">
        <f t="shared" si="50"/>
        <v>10.250000000000004</v>
      </c>
      <c r="L223" s="9">
        <f>'Model tests'!H19+'Model tests'!G19*G223</f>
        <v>-3.7373626597755387</v>
      </c>
      <c r="M223" s="9">
        <f t="shared" si="51"/>
        <v>-2.2626373402244613</v>
      </c>
      <c r="N223" s="9"/>
      <c r="O223" s="9"/>
      <c r="P223" s="9"/>
      <c r="Q223" s="9"/>
    </row>
    <row r="224" spans="1:17" ht="25" customHeight="1">
      <c r="A224" s="1"/>
      <c r="B224" s="1" t="s">
        <v>55</v>
      </c>
      <c r="C224" s="1" t="s">
        <v>75</v>
      </c>
      <c r="D224" s="1" t="s">
        <v>76</v>
      </c>
      <c r="E224" s="1" t="s">
        <v>83</v>
      </c>
      <c r="F224" s="1" t="s">
        <v>102</v>
      </c>
      <c r="G224" s="9">
        <f>'Quarterly market'!G60</f>
        <v>-0.51383557261676094</v>
      </c>
      <c r="H224" s="9">
        <f>'PG history'!G38</f>
        <v>-4</v>
      </c>
      <c r="I224" s="9">
        <f t="shared" si="48"/>
        <v>0.26402699568639459</v>
      </c>
      <c r="J224" s="9">
        <f t="shared" si="49"/>
        <v>16</v>
      </c>
      <c r="K224" s="9">
        <f t="shared" si="50"/>
        <v>2.0553422904670438</v>
      </c>
      <c r="L224" s="9">
        <f>'Model tests'!H19+'Model tests'!G19*G224</f>
        <v>-2.8169792052881713</v>
      </c>
      <c r="M224" s="9">
        <f t="shared" si="51"/>
        <v>-1.1830207947118287</v>
      </c>
      <c r="N224" s="9"/>
      <c r="O224" s="9"/>
      <c r="P224" s="9"/>
      <c r="Q224" s="9"/>
    </row>
    <row r="225" spans="1:17" ht="25" customHeight="1">
      <c r="A225" s="1"/>
      <c r="B225" s="1" t="s">
        <v>55</v>
      </c>
      <c r="C225" s="1" t="s">
        <v>75</v>
      </c>
      <c r="D225" s="1" t="s">
        <v>76</v>
      </c>
      <c r="E225" s="1" t="s">
        <v>83</v>
      </c>
      <c r="F225" s="1" t="s">
        <v>103</v>
      </c>
      <c r="G225" s="9">
        <f>'Quarterly market'!G61</f>
        <v>-0.38380425982746935</v>
      </c>
      <c r="H225" s="9">
        <f>'PG history'!G45</f>
        <v>0</v>
      </c>
      <c r="I225" s="9">
        <f t="shared" si="48"/>
        <v>0.1473057098617116</v>
      </c>
      <c r="J225" s="9">
        <f t="shared" si="49"/>
        <v>0</v>
      </c>
      <c r="K225" s="9">
        <f t="shared" si="50"/>
        <v>0</v>
      </c>
      <c r="L225" s="9">
        <f>'Model tests'!H19+'Model tests'!G19*G225</f>
        <v>-2.7167875826728718</v>
      </c>
      <c r="M225" s="9">
        <f t="shared" si="51"/>
        <v>2.7167875826728718</v>
      </c>
      <c r="N225" s="9"/>
      <c r="O225" s="9"/>
      <c r="P225" s="9"/>
      <c r="Q225" s="9"/>
    </row>
    <row r="226" spans="1:17" ht="25" customHeight="1">
      <c r="A226" s="1"/>
      <c r="B226" s="1" t="s">
        <v>55</v>
      </c>
      <c r="C226" s="1" t="s">
        <v>75</v>
      </c>
      <c r="D226" s="1" t="s">
        <v>76</v>
      </c>
      <c r="E226" s="1" t="s">
        <v>83</v>
      </c>
      <c r="F226" s="1" t="s">
        <v>104</v>
      </c>
      <c r="G226" s="9">
        <f>'Quarterly market'!G62</f>
        <v>1.1893013232361582</v>
      </c>
      <c r="H226" s="9">
        <f>'PG history'!G52</f>
        <v>-3</v>
      </c>
      <c r="I226" s="9">
        <f t="shared" si="48"/>
        <v>1.4144376374512768</v>
      </c>
      <c r="J226" s="9">
        <f t="shared" si="49"/>
        <v>9</v>
      </c>
      <c r="K226" s="9">
        <f t="shared" si="50"/>
        <v>-3.5679039697084747</v>
      </c>
      <c r="L226" s="9">
        <f>'Model tests'!H19+'Model tests'!G19*G226</f>
        <v>-1.5046795332237863</v>
      </c>
      <c r="M226" s="9">
        <f t="shared" si="51"/>
        <v>-1.4953204667762137</v>
      </c>
      <c r="N226" s="9"/>
      <c r="O226" s="9"/>
      <c r="P226" s="9"/>
      <c r="Q226" s="9"/>
    </row>
    <row r="227" spans="1:17" ht="25" customHeight="1">
      <c r="A227" s="1"/>
      <c r="B227" s="1" t="s">
        <v>55</v>
      </c>
      <c r="C227" s="1" t="s">
        <v>75</v>
      </c>
      <c r="D227" s="1" t="s">
        <v>76</v>
      </c>
      <c r="E227" s="1" t="s">
        <v>83</v>
      </c>
      <c r="F227" s="1" t="s">
        <v>105</v>
      </c>
      <c r="G227" s="9">
        <f>'Quarterly market'!G63</f>
        <v>2.2255192878338326</v>
      </c>
      <c r="H227" s="9">
        <f>'PG history'!G59</f>
        <v>-2</v>
      </c>
      <c r="I227" s="9">
        <f t="shared" si="48"/>
        <v>4.9529361005204091</v>
      </c>
      <c r="J227" s="9">
        <f t="shared" si="49"/>
        <v>4</v>
      </c>
      <c r="K227" s="9">
        <f t="shared" si="50"/>
        <v>-4.4510385756676651</v>
      </c>
      <c r="L227" s="9">
        <f>'Model tests'!H19+'Model tests'!G19*G227</f>
        <v>-0.70625370002159982</v>
      </c>
      <c r="M227" s="9">
        <f t="shared" si="51"/>
        <v>-1.2937462999784002</v>
      </c>
      <c r="N227" s="9"/>
      <c r="O227" s="9"/>
      <c r="P227" s="9"/>
      <c r="Q227" s="9"/>
    </row>
    <row r="228" spans="1:17" ht="25" customHeight="1">
      <c r="A228" s="1"/>
      <c r="B228" s="1" t="s">
        <v>55</v>
      </c>
      <c r="C228" s="1" t="s">
        <v>75</v>
      </c>
      <c r="D228" s="1" t="s">
        <v>76</v>
      </c>
      <c r="E228" s="1" t="s">
        <v>83</v>
      </c>
      <c r="F228" s="1" t="s">
        <v>106</v>
      </c>
      <c r="G228" s="9">
        <f>'Quarterly market'!G64</f>
        <v>1.3726160091641626</v>
      </c>
      <c r="H228" s="9">
        <f>'PG history'!G66</f>
        <v>-3</v>
      </c>
      <c r="I228" s="9">
        <f t="shared" si="48"/>
        <v>1.8840747086137526</v>
      </c>
      <c r="J228" s="9">
        <f t="shared" si="49"/>
        <v>9</v>
      </c>
      <c r="K228" s="9">
        <f t="shared" si="50"/>
        <v>-4.1178480274924878</v>
      </c>
      <c r="L228" s="9">
        <f>'Model tests'!H19+'Model tests'!G19*G228</f>
        <v>-1.3634320487651554</v>
      </c>
      <c r="M228" s="9">
        <f t="shared" si="51"/>
        <v>-1.6365679512348446</v>
      </c>
      <c r="N228" s="9">
        <f>AVERAGE(H220:H227)+((SUM(K220:K227)-SUM(G220:G227)*SUM(H220:H227)/COUNT(G220:G227))/(SUM(I220:I227)-SUM(G220:G227)^2/COUNT(G220:G227)))*(G228-AVERAGE(G220:G227))</f>
        <v>-1.0929295899743592</v>
      </c>
      <c r="O228" s="9">
        <f t="shared" ref="O228:O236" si="55">AVERAGE(H224:H227)</f>
        <v>-2.25</v>
      </c>
      <c r="P228" s="9">
        <f t="shared" ref="P228:P236" si="56">(H228-N228)^2</f>
        <v>3.636917548795366</v>
      </c>
      <c r="Q228" s="9">
        <f t="shared" ref="Q228:Q236" si="57">(H228-O228)^2</f>
        <v>0.5625</v>
      </c>
    </row>
    <row r="229" spans="1:17" ht="25" customHeight="1">
      <c r="A229" s="1"/>
      <c r="B229" s="1" t="s">
        <v>55</v>
      </c>
      <c r="C229" s="1" t="s">
        <v>75</v>
      </c>
      <c r="D229" s="1" t="s">
        <v>76</v>
      </c>
      <c r="E229" s="1" t="s">
        <v>83</v>
      </c>
      <c r="F229" s="1" t="s">
        <v>107</v>
      </c>
      <c r="G229" s="9">
        <f>'Quarterly market'!G65</f>
        <v>2.2805943792830075</v>
      </c>
      <c r="H229" s="9">
        <f>'PG history'!G73</f>
        <v>-1</v>
      </c>
      <c r="I229" s="9">
        <f t="shared" si="48"/>
        <v>5.201110722817246</v>
      </c>
      <c r="J229" s="9">
        <f t="shared" si="49"/>
        <v>1</v>
      </c>
      <c r="K229" s="9">
        <f t="shared" si="50"/>
        <v>-2.2805943792830075</v>
      </c>
      <c r="L229" s="9">
        <f>'Model tests'!H19+'Model tests'!G19*G229</f>
        <v>-0.66381728482581859</v>
      </c>
      <c r="M229" s="9">
        <f t="shared" si="51"/>
        <v>-0.33618271517418141</v>
      </c>
      <c r="N229" s="9">
        <f>AVERAGE(H220:H228)+((SUM(K220:K228)-SUM(G220:G228)*SUM(H220:H228)/COUNT(G220:G228))/(SUM(I220:I228)-SUM(G220:G228)^2/COUNT(G220:G228)))*(G229-AVERAGE(G220:G228))</f>
        <v>-0.55878899456865505</v>
      </c>
      <c r="O229" s="9">
        <f t="shared" si="55"/>
        <v>-2</v>
      </c>
      <c r="P229" s="9">
        <f t="shared" si="56"/>
        <v>0.1946671513137383</v>
      </c>
      <c r="Q229" s="9">
        <f t="shared" si="57"/>
        <v>1</v>
      </c>
    </row>
    <row r="230" spans="1:17" ht="25" customHeight="1">
      <c r="A230" s="1"/>
      <c r="B230" s="1" t="s">
        <v>55</v>
      </c>
      <c r="C230" s="1" t="s">
        <v>75</v>
      </c>
      <c r="D230" s="1" t="s">
        <v>76</v>
      </c>
      <c r="E230" s="1" t="s">
        <v>83</v>
      </c>
      <c r="F230" s="1" t="s">
        <v>108</v>
      </c>
      <c r="G230" s="9">
        <f>'Quarterly market'!G66</f>
        <v>2.6501995362399722</v>
      </c>
      <c r="H230" s="9">
        <f>'PG history'!G80</f>
        <v>-1</v>
      </c>
      <c r="I230" s="9">
        <f t="shared" si="48"/>
        <v>7.0235575818865632</v>
      </c>
      <c r="J230" s="9">
        <f t="shared" si="49"/>
        <v>1</v>
      </c>
      <c r="K230" s="9">
        <f t="shared" si="50"/>
        <v>-2.6501995362399722</v>
      </c>
      <c r="L230" s="9">
        <f>'Model tests'!H19+'Model tests'!G19*G230</f>
        <v>-0.37902941636441145</v>
      </c>
      <c r="M230" s="9">
        <f t="shared" si="51"/>
        <v>-0.62097058363558855</v>
      </c>
      <c r="N230" s="9">
        <f>AVERAGE(H220:H229)+((SUM(K220:K229)-SUM(G220:G229)*SUM(H220:H229)/COUNT(G220:G229))/(SUM(I220:I229)-SUM(G220:G229)^2/COUNT(G220:G229)))*(G230-AVERAGE(G220:G229))</f>
        <v>-0.32779548471002484</v>
      </c>
      <c r="O230" s="9">
        <f t="shared" si="55"/>
        <v>-2.25</v>
      </c>
      <c r="P230" s="9">
        <f t="shared" si="56"/>
        <v>0.45185891037623044</v>
      </c>
      <c r="Q230" s="9">
        <f t="shared" si="57"/>
        <v>1.5625</v>
      </c>
    </row>
    <row r="231" spans="1:17" ht="25" customHeight="1">
      <c r="A231" s="1"/>
      <c r="B231" s="1" t="s">
        <v>55</v>
      </c>
      <c r="C231" s="1" t="s">
        <v>75</v>
      </c>
      <c r="D231" s="1" t="s">
        <v>76</v>
      </c>
      <c r="E231" s="1" t="s">
        <v>83</v>
      </c>
      <c r="F231" s="1" t="s">
        <v>109</v>
      </c>
      <c r="G231" s="9">
        <f>'Quarterly market'!G67</f>
        <v>2.7872397144634187</v>
      </c>
      <c r="H231" s="9">
        <f>'PG history'!G87</f>
        <v>4</v>
      </c>
      <c r="I231" s="9">
        <f t="shared" si="48"/>
        <v>7.7687052258821199</v>
      </c>
      <c r="J231" s="9">
        <f t="shared" si="49"/>
        <v>16</v>
      </c>
      <c r="K231" s="9">
        <f t="shared" si="50"/>
        <v>11.148958857853675</v>
      </c>
      <c r="L231" s="9">
        <f>'Model tests'!H19+'Model tests'!G19*G231</f>
        <v>-0.27343732838829382</v>
      </c>
      <c r="M231" s="9">
        <f t="shared" si="51"/>
        <v>4.2734373283882938</v>
      </c>
      <c r="N231" s="9">
        <f>AVERAGE(H220:H230)+((SUM(K220:K230)-SUM(G220:G230)*SUM(H220:H230)/COUNT(G220:G230))/(SUM(I220:I230)-SUM(G220:G230)^2/COUNT(G220:G230)))*(G231-AVERAGE(G220:G230))</f>
        <v>-0.34879657311399814</v>
      </c>
      <c r="O231" s="9">
        <f t="shared" si="55"/>
        <v>-1.75</v>
      </c>
      <c r="P231" s="9">
        <f t="shared" si="56"/>
        <v>18.912031634328052</v>
      </c>
      <c r="Q231" s="9">
        <f t="shared" si="57"/>
        <v>33.0625</v>
      </c>
    </row>
    <row r="232" spans="1:17" ht="25" customHeight="1">
      <c r="A232" s="1"/>
      <c r="B232" s="1" t="s">
        <v>55</v>
      </c>
      <c r="C232" s="1" t="s">
        <v>75</v>
      </c>
      <c r="D232" s="1" t="s">
        <v>76</v>
      </c>
      <c r="E232" s="1" t="s">
        <v>83</v>
      </c>
      <c r="F232" s="1" t="s">
        <v>110</v>
      </c>
      <c r="G232" s="9">
        <f>'Quarterly market'!G68</f>
        <v>3.7498513143808809</v>
      </c>
      <c r="H232" s="9">
        <f>'PG history'!G94</f>
        <v>-2</v>
      </c>
      <c r="I232" s="9">
        <f t="shared" si="48"/>
        <v>14.06138487996402</v>
      </c>
      <c r="J232" s="9">
        <f t="shared" si="49"/>
        <v>4</v>
      </c>
      <c r="K232" s="9">
        <f t="shared" si="50"/>
        <v>-7.4997026287617619</v>
      </c>
      <c r="L232" s="9">
        <f>'Model tests'!H19+'Model tests'!G19*G232</f>
        <v>0.46827338786299144</v>
      </c>
      <c r="M232" s="9">
        <f t="shared" si="51"/>
        <v>-2.4682733878629914</v>
      </c>
      <c r="N232" s="9">
        <f>AVERAGE(H220:H231)+((SUM(K220:K231)-SUM(G220:G231)*SUM(H220:H231)/COUNT(G220:G231))/(SUM(I220:I231)-SUM(G220:G231)^2/COUNT(G220:G231)))*(G232-AVERAGE(G220:G231))</f>
        <v>1.4353504483235715</v>
      </c>
      <c r="O232" s="9">
        <f t="shared" si="55"/>
        <v>-0.25</v>
      </c>
      <c r="P232" s="9">
        <f t="shared" si="56"/>
        <v>11.801632702796965</v>
      </c>
      <c r="Q232" s="9">
        <f t="shared" si="57"/>
        <v>3.0625</v>
      </c>
    </row>
    <row r="233" spans="1:17" ht="25" customHeight="1">
      <c r="A233" s="1"/>
      <c r="B233" s="1" t="s">
        <v>55</v>
      </c>
      <c r="C233" s="1" t="s">
        <v>75</v>
      </c>
      <c r="D233" s="1" t="s">
        <v>76</v>
      </c>
      <c r="E233" s="1" t="s">
        <v>83</v>
      </c>
      <c r="F233" s="1" t="s">
        <v>111</v>
      </c>
      <c r="G233" s="9">
        <f>'Quarterly market'!G69</f>
        <v>3.2332744751814912</v>
      </c>
      <c r="H233" s="9">
        <f>'PG history'!G101</f>
        <v>0</v>
      </c>
      <c r="I233" s="9">
        <f t="shared" si="48"/>
        <v>10.454063831860148</v>
      </c>
      <c r="J233" s="9">
        <f t="shared" si="49"/>
        <v>0</v>
      </c>
      <c r="K233" s="9">
        <f t="shared" si="50"/>
        <v>0</v>
      </c>
      <c r="L233" s="9">
        <f>'Model tests'!H19+'Model tests'!G19*G233</f>
        <v>7.0241016931395617E-2</v>
      </c>
      <c r="M233" s="9">
        <f t="shared" si="51"/>
        <v>-7.0241016931395617E-2</v>
      </c>
      <c r="N233" s="9">
        <f>AVERAGE(H220:H232)+((SUM(K220:K232)-SUM(G220:G232)*SUM(H220:H232)/COUNT(G220:G232))/(SUM(I220:I232)-SUM(G220:G232)^2/COUNT(G220:G232)))*(G233-AVERAGE(G220:G232))</f>
        <v>0.19307504482889493</v>
      </c>
      <c r="O233" s="9">
        <f t="shared" si="55"/>
        <v>0</v>
      </c>
      <c r="P233" s="9">
        <f t="shared" si="56"/>
        <v>3.7277972935679783E-2</v>
      </c>
      <c r="Q233" s="9">
        <f t="shared" si="57"/>
        <v>0</v>
      </c>
    </row>
    <row r="234" spans="1:17" ht="25" customHeight="1">
      <c r="A234" s="1"/>
      <c r="B234" s="1" t="s">
        <v>55</v>
      </c>
      <c r="C234" s="1" t="s">
        <v>75</v>
      </c>
      <c r="D234" s="1" t="s">
        <v>76</v>
      </c>
      <c r="E234" s="1" t="s">
        <v>83</v>
      </c>
      <c r="F234" s="1" t="s">
        <v>112</v>
      </c>
      <c r="G234" s="9">
        <f>'Quarterly market'!G70</f>
        <v>2.9967230915401322</v>
      </c>
      <c r="H234" s="9">
        <f>'PG history'!G108</f>
        <v>0</v>
      </c>
      <c r="I234" s="9">
        <f t="shared" si="48"/>
        <v>8.9803492873698474</v>
      </c>
      <c r="J234" s="9">
        <f t="shared" si="49"/>
        <v>0</v>
      </c>
      <c r="K234" s="9">
        <f t="shared" si="50"/>
        <v>0</v>
      </c>
      <c r="L234" s="9">
        <f>'Model tests'!H19+'Model tests'!G19*G234</f>
        <v>-0.11202636505933539</v>
      </c>
      <c r="M234" s="9">
        <f t="shared" si="51"/>
        <v>0.11202636505933539</v>
      </c>
      <c r="N234" s="9">
        <f>AVERAGE(H220:H233)+((SUM(K220:K233)-SUM(G220:G233)*SUM(H220:H233)/COUNT(G220:G233))/(SUM(I220:I233)-SUM(G220:G233)^2/COUNT(G220:G233)))*(G234-AVERAGE(G220:G233))</f>
        <v>-3.1273276133657157E-2</v>
      </c>
      <c r="O234" s="9">
        <f t="shared" si="55"/>
        <v>0.25</v>
      </c>
      <c r="P234" s="9">
        <f t="shared" si="56"/>
        <v>9.7801780013197031E-4</v>
      </c>
      <c r="Q234" s="9">
        <f t="shared" si="57"/>
        <v>6.25E-2</v>
      </c>
    </row>
    <row r="235" spans="1:17" ht="25" customHeight="1">
      <c r="A235" s="1"/>
      <c r="B235" s="1" t="s">
        <v>55</v>
      </c>
      <c r="C235" s="1" t="s">
        <v>75</v>
      </c>
      <c r="D235" s="1" t="s">
        <v>76</v>
      </c>
      <c r="E235" s="1" t="s">
        <v>83</v>
      </c>
      <c r="F235" s="1" t="s">
        <v>113</v>
      </c>
      <c r="G235" s="9">
        <f>'Quarterly market'!G71</f>
        <v>2.1478108850594868</v>
      </c>
      <c r="H235" s="9">
        <f>'PG history'!G115</f>
        <v>-5</v>
      </c>
      <c r="I235" s="9">
        <f t="shared" si="48"/>
        <v>4.6130915979800164</v>
      </c>
      <c r="J235" s="9">
        <f t="shared" si="49"/>
        <v>25</v>
      </c>
      <c r="K235" s="9">
        <f t="shared" si="50"/>
        <v>-10.739054425297434</v>
      </c>
      <c r="L235" s="9">
        <f>'Model tests'!H19+'Model tests'!G19*G235</f>
        <v>-0.7661295160677033</v>
      </c>
      <c r="M235" s="9">
        <f t="shared" si="51"/>
        <v>-4.2338704839322965</v>
      </c>
      <c r="N235" s="9">
        <f>AVERAGE(H220:H234)+((SUM(K220:K234)-SUM(G220:G234)*SUM(H220:H234)/COUNT(G220:G234))/(SUM(I220:I234)-SUM(G220:G234)^2/COUNT(G220:G234)))*(G235-AVERAGE(G220:G234))</f>
        <v>-0.72932857029337372</v>
      </c>
      <c r="O235" s="9">
        <f t="shared" si="55"/>
        <v>0.5</v>
      </c>
      <c r="P235" s="9">
        <f t="shared" si="56"/>
        <v>18.238634460512436</v>
      </c>
      <c r="Q235" s="9">
        <f t="shared" si="57"/>
        <v>30.25</v>
      </c>
    </row>
    <row r="236" spans="1:17" ht="25" customHeight="1">
      <c r="A236" s="1"/>
      <c r="B236" s="1" t="s">
        <v>55</v>
      </c>
      <c r="C236" s="1" t="s">
        <v>75</v>
      </c>
      <c r="D236" s="1" t="s">
        <v>76</v>
      </c>
      <c r="E236" s="1" t="s">
        <v>83</v>
      </c>
      <c r="F236" s="1" t="s">
        <v>114</v>
      </c>
      <c r="G236" s="9">
        <f>'Quarterly market'!G72</f>
        <v>1.5477657714465964</v>
      </c>
      <c r="H236" s="9">
        <f>'PG history'!G122</f>
        <v>3</v>
      </c>
      <c r="I236" s="9">
        <f t="shared" si="48"/>
        <v>2.395578883261678</v>
      </c>
      <c r="J236" s="9">
        <f t="shared" si="49"/>
        <v>9</v>
      </c>
      <c r="K236" s="9">
        <f t="shared" si="50"/>
        <v>4.6432973143397893</v>
      </c>
      <c r="L236" s="9">
        <f>'Model tests'!H19+'Model tests'!G19*G236</f>
        <v>-1.2284757947111993</v>
      </c>
      <c r="M236" s="9">
        <f t="shared" si="51"/>
        <v>4.2284757947111995</v>
      </c>
      <c r="N236" s="9">
        <f>AVERAGE(H220:H235)+((SUM(K220:K235)-SUM(G220:G235)*SUM(H220:H235)/COUNT(G220:G235))/(SUM(I220:I235)-SUM(G220:G235)^2/COUNT(G220:G235)))*(G236-AVERAGE(G220:G235))</f>
        <v>-1.4927637073314535</v>
      </c>
      <c r="O236" s="9">
        <f t="shared" si="55"/>
        <v>-1.75</v>
      </c>
      <c r="P236" s="9">
        <f t="shared" si="56"/>
        <v>20.184925729914671</v>
      </c>
      <c r="Q236" s="9">
        <f t="shared" si="57"/>
        <v>22.5625</v>
      </c>
    </row>
    <row r="237" spans="1:17" ht="25" customHeight="1">
      <c r="A237" s="1"/>
      <c r="B237" s="1" t="s">
        <v>34</v>
      </c>
      <c r="C237" s="1" t="s">
        <v>79</v>
      </c>
      <c r="D237" s="1" t="s">
        <v>80</v>
      </c>
      <c r="E237" s="1" t="s">
        <v>83</v>
      </c>
      <c r="F237" s="1" t="s">
        <v>98</v>
      </c>
      <c r="G237" s="9">
        <f>'Quarterly market'!G89</f>
        <v>1.0280001916822545</v>
      </c>
      <c r="H237" s="9">
        <f>'PG history'!H6</f>
        <v>4</v>
      </c>
      <c r="I237" s="9">
        <f t="shared" si="48"/>
        <v>1.056784394098752</v>
      </c>
      <c r="J237" s="9">
        <f t="shared" si="49"/>
        <v>16</v>
      </c>
      <c r="K237" s="9">
        <f t="shared" si="50"/>
        <v>4.1120007667290182</v>
      </c>
      <c r="L237" s="9">
        <f>'Model tests'!H20+'Model tests'!G20*G237</f>
        <v>2.3374893022601526</v>
      </c>
      <c r="M237" s="9">
        <f t="shared" si="51"/>
        <v>1.6625106977398474</v>
      </c>
      <c r="N237" s="9"/>
      <c r="O237" s="9"/>
      <c r="P237" s="9"/>
      <c r="Q237" s="9"/>
    </row>
    <row r="238" spans="1:17" ht="25" customHeight="1">
      <c r="A238" s="1"/>
      <c r="B238" s="1" t="s">
        <v>34</v>
      </c>
      <c r="C238" s="1" t="s">
        <v>79</v>
      </c>
      <c r="D238" s="1" t="s">
        <v>80</v>
      </c>
      <c r="E238" s="1" t="s">
        <v>83</v>
      </c>
      <c r="F238" s="1" t="s">
        <v>99</v>
      </c>
      <c r="G238" s="9">
        <f>'Quarterly market'!G90</f>
        <v>2.9122729416084958</v>
      </c>
      <c r="H238" s="9">
        <f>'PG history'!H13</f>
        <v>6</v>
      </c>
      <c r="I238" s="9">
        <f t="shared" si="48"/>
        <v>8.4813336864250015</v>
      </c>
      <c r="J238" s="9">
        <f t="shared" si="49"/>
        <v>36</v>
      </c>
      <c r="K238" s="9">
        <f t="shared" si="50"/>
        <v>17.473637649650975</v>
      </c>
      <c r="L238" s="9">
        <f>'Model tests'!H20+'Model tests'!G20*G238</f>
        <v>4.1527243451867086</v>
      </c>
      <c r="M238" s="9">
        <f t="shared" si="51"/>
        <v>1.8472756548132914</v>
      </c>
      <c r="N238" s="9"/>
      <c r="O238" s="9"/>
      <c r="P238" s="9"/>
      <c r="Q238" s="9"/>
    </row>
    <row r="239" spans="1:17" ht="25" customHeight="1">
      <c r="A239" s="1"/>
      <c r="B239" s="1" t="s">
        <v>34</v>
      </c>
      <c r="C239" s="1" t="s">
        <v>79</v>
      </c>
      <c r="D239" s="1" t="s">
        <v>80</v>
      </c>
      <c r="E239" s="1" t="s">
        <v>83</v>
      </c>
      <c r="F239" s="1" t="s">
        <v>100</v>
      </c>
      <c r="G239" s="9">
        <f>'Quarterly market'!G91</f>
        <v>5.8502773415310738</v>
      </c>
      <c r="H239" s="9">
        <f>'PG history'!H20</f>
        <v>7</v>
      </c>
      <c r="I239" s="9">
        <f t="shared" si="48"/>
        <v>34.22574497283189</v>
      </c>
      <c r="J239" s="9">
        <f t="shared" si="49"/>
        <v>49</v>
      </c>
      <c r="K239" s="9">
        <f t="shared" si="50"/>
        <v>40.951941390717515</v>
      </c>
      <c r="L239" s="9">
        <f>'Model tests'!H20+'Model tests'!G20*G239</f>
        <v>6.983083454939071</v>
      </c>
      <c r="M239" s="9">
        <f t="shared" si="51"/>
        <v>1.6916545060928989E-2</v>
      </c>
      <c r="N239" s="9"/>
      <c r="O239" s="9"/>
      <c r="P239" s="9"/>
      <c r="Q239" s="9"/>
    </row>
    <row r="240" spans="1:17" ht="25" customHeight="1">
      <c r="A240" s="1"/>
      <c r="B240" s="1" t="s">
        <v>34</v>
      </c>
      <c r="C240" s="1" t="s">
        <v>79</v>
      </c>
      <c r="D240" s="1" t="s">
        <v>80</v>
      </c>
      <c r="E240" s="1" t="s">
        <v>83</v>
      </c>
      <c r="F240" s="1" t="s">
        <v>101</v>
      </c>
      <c r="G240" s="9">
        <f>'Quarterly market'!G92</f>
        <v>7.2560334575520802</v>
      </c>
      <c r="H240" s="9">
        <f>'PG history'!H27</f>
        <v>9</v>
      </c>
      <c r="I240" s="9">
        <f t="shared" si="48"/>
        <v>52.650021537115194</v>
      </c>
      <c r="J240" s="9">
        <f t="shared" si="49"/>
        <v>81</v>
      </c>
      <c r="K240" s="9">
        <f t="shared" si="50"/>
        <v>65.30430111796872</v>
      </c>
      <c r="L240" s="9">
        <f>'Model tests'!H20+'Model tests'!G20*G240</f>
        <v>8.3373341936973269</v>
      </c>
      <c r="M240" s="9">
        <f t="shared" si="51"/>
        <v>0.66266580630267313</v>
      </c>
      <c r="N240" s="9"/>
      <c r="O240" s="9"/>
      <c r="P240" s="9"/>
      <c r="Q240" s="9"/>
    </row>
    <row r="241" spans="1:17" ht="25" customHeight="1">
      <c r="A241" s="1"/>
      <c r="B241" s="1" t="s">
        <v>34</v>
      </c>
      <c r="C241" s="1" t="s">
        <v>79</v>
      </c>
      <c r="D241" s="1" t="s">
        <v>80</v>
      </c>
      <c r="E241" s="1" t="s">
        <v>83</v>
      </c>
      <c r="F241" s="1" t="s">
        <v>102</v>
      </c>
      <c r="G241" s="9">
        <f>'Quarterly market'!G93</f>
        <v>6.772394023448336</v>
      </c>
      <c r="H241" s="9">
        <f>'PG history'!H34</f>
        <v>8</v>
      </c>
      <c r="I241" s="9">
        <f t="shared" si="48"/>
        <v>45.865320808838739</v>
      </c>
      <c r="J241" s="9">
        <f t="shared" si="49"/>
        <v>64</v>
      </c>
      <c r="K241" s="9">
        <f t="shared" si="50"/>
        <v>54.179152187586688</v>
      </c>
      <c r="L241" s="9">
        <f>'Model tests'!H20+'Model tests'!G20*G241</f>
        <v>7.8714147831657826</v>
      </c>
      <c r="M241" s="9">
        <f t="shared" si="51"/>
        <v>0.12858521683421742</v>
      </c>
      <c r="N241" s="9"/>
      <c r="O241" s="9"/>
      <c r="P241" s="9"/>
      <c r="Q241" s="9"/>
    </row>
    <row r="242" spans="1:17" ht="25" customHeight="1">
      <c r="A242" s="1"/>
      <c r="B242" s="1" t="s">
        <v>34</v>
      </c>
      <c r="C242" s="1" t="s">
        <v>79</v>
      </c>
      <c r="D242" s="1" t="s">
        <v>80</v>
      </c>
      <c r="E242" s="1" t="s">
        <v>83</v>
      </c>
      <c r="F242" s="1" t="s">
        <v>103</v>
      </c>
      <c r="G242" s="9">
        <f>'Quarterly market'!G94</f>
        <v>7.0582272321790596</v>
      </c>
      <c r="H242" s="9">
        <f>'PG history'!H41</f>
        <v>8</v>
      </c>
      <c r="I242" s="9">
        <f t="shared" si="48"/>
        <v>49.818571661074067</v>
      </c>
      <c r="J242" s="9">
        <f t="shared" si="49"/>
        <v>64</v>
      </c>
      <c r="K242" s="9">
        <f t="shared" si="50"/>
        <v>56.465817857432477</v>
      </c>
      <c r="L242" s="9">
        <f>'Model tests'!H20+'Model tests'!G20*G242</f>
        <v>8.1467753735794908</v>
      </c>
      <c r="M242" s="9">
        <f t="shared" si="51"/>
        <v>-0.14677537357949078</v>
      </c>
      <c r="N242" s="9"/>
      <c r="O242" s="9"/>
      <c r="P242" s="9"/>
      <c r="Q242" s="9"/>
    </row>
    <row r="243" spans="1:17" ht="25" customHeight="1">
      <c r="A243" s="1"/>
      <c r="B243" s="1" t="s">
        <v>34</v>
      </c>
      <c r="C243" s="1" t="s">
        <v>79</v>
      </c>
      <c r="D243" s="1" t="s">
        <v>80</v>
      </c>
      <c r="E243" s="1" t="s">
        <v>83</v>
      </c>
      <c r="F243" s="1" t="s">
        <v>104</v>
      </c>
      <c r="G243" s="9">
        <f>'Quarterly market'!G95</f>
        <v>5.4935927157217401</v>
      </c>
      <c r="H243" s="9">
        <f>'PG history'!H48</f>
        <v>7</v>
      </c>
      <c r="I243" s="9">
        <f t="shared" si="48"/>
        <v>30.179560926230963</v>
      </c>
      <c r="J243" s="9">
        <f t="shared" si="49"/>
        <v>49</v>
      </c>
      <c r="K243" s="9">
        <f t="shared" si="50"/>
        <v>38.455149010052182</v>
      </c>
      <c r="L243" s="9">
        <f>'Model tests'!H20+'Model tests'!G20*G243</f>
        <v>6.6394673664149479</v>
      </c>
      <c r="M243" s="9">
        <f t="shared" si="51"/>
        <v>0.36053263358505205</v>
      </c>
      <c r="N243" s="9"/>
      <c r="O243" s="9"/>
      <c r="P243" s="9"/>
      <c r="Q243" s="9"/>
    </row>
    <row r="244" spans="1:17" ht="25" customHeight="1">
      <c r="A244" s="1"/>
      <c r="B244" s="1" t="s">
        <v>34</v>
      </c>
      <c r="C244" s="1" t="s">
        <v>79</v>
      </c>
      <c r="D244" s="1" t="s">
        <v>80</v>
      </c>
      <c r="E244" s="1" t="s">
        <v>83</v>
      </c>
      <c r="F244" s="1" t="s">
        <v>105</v>
      </c>
      <c r="G244" s="9">
        <f>'Quarterly market'!G96</f>
        <v>4.2122165191533556</v>
      </c>
      <c r="H244" s="9">
        <f>'PG history'!H55</f>
        <v>4</v>
      </c>
      <c r="I244" s="9">
        <f t="shared" si="48"/>
        <v>17.742768004228413</v>
      </c>
      <c r="J244" s="9">
        <f t="shared" si="49"/>
        <v>16</v>
      </c>
      <c r="K244" s="9">
        <f t="shared" si="50"/>
        <v>16.848866076613422</v>
      </c>
      <c r="L244" s="9">
        <f>'Model tests'!H20+'Model tests'!G20*G244</f>
        <v>5.4050394019528349</v>
      </c>
      <c r="M244" s="9">
        <f t="shared" si="51"/>
        <v>-1.4050394019528349</v>
      </c>
      <c r="N244" s="9"/>
      <c r="O244" s="9"/>
      <c r="P244" s="9"/>
      <c r="Q244" s="9"/>
    </row>
    <row r="245" spans="1:17" ht="25" customHeight="1">
      <c r="A245" s="1"/>
      <c r="B245" s="1" t="s">
        <v>34</v>
      </c>
      <c r="C245" s="1" t="s">
        <v>79</v>
      </c>
      <c r="D245" s="1" t="s">
        <v>80</v>
      </c>
      <c r="E245" s="1" t="s">
        <v>83</v>
      </c>
      <c r="F245" s="1" t="s">
        <v>106</v>
      </c>
      <c r="G245" s="9">
        <f>'Quarterly market'!G97</f>
        <v>3.636809635836169</v>
      </c>
      <c r="H245" s="9">
        <f>'PG history'!H62</f>
        <v>4</v>
      </c>
      <c r="I245" s="9">
        <f t="shared" si="48"/>
        <v>13.226384327310809</v>
      </c>
      <c r="J245" s="9">
        <f t="shared" si="49"/>
        <v>16</v>
      </c>
      <c r="K245" s="9">
        <f t="shared" si="50"/>
        <v>14.547238543344676</v>
      </c>
      <c r="L245" s="9">
        <f>'Model tests'!H20+'Model tests'!G20*G245</f>
        <v>4.8507148018760171</v>
      </c>
      <c r="M245" s="9">
        <f t="shared" si="51"/>
        <v>-0.85071480187601711</v>
      </c>
      <c r="N245" s="9">
        <f>AVERAGE(H237:H244)+((SUM(K237:K244)-SUM(G237:G244)*SUM(H237:H244)/COUNT(G237:G244))/(SUM(I237:I244)-SUM(G237:G244)^2/COUNT(G237:G244)))*(G245-AVERAGE(G237:G244))</f>
        <v>5.5766398548496978</v>
      </c>
      <c r="O245" s="9">
        <f t="shared" ref="O245:O252" si="58">AVERAGE(H241:H244)</f>
        <v>6.75</v>
      </c>
      <c r="P245" s="9">
        <f t="shared" ref="P245:P252" si="59">(H245-N245)^2</f>
        <v>2.4857932319004763</v>
      </c>
      <c r="Q245" s="9">
        <f t="shared" ref="Q245:Q252" si="60">(H245-O245)^2</f>
        <v>7.5625</v>
      </c>
    </row>
    <row r="246" spans="1:17" ht="25" customHeight="1">
      <c r="A246" s="1"/>
      <c r="B246" s="1" t="s">
        <v>34</v>
      </c>
      <c r="C246" s="1" t="s">
        <v>79</v>
      </c>
      <c r="D246" s="1" t="s">
        <v>80</v>
      </c>
      <c r="E246" s="1" t="s">
        <v>83</v>
      </c>
      <c r="F246" s="1" t="s">
        <v>107</v>
      </c>
      <c r="G246" s="9">
        <f>'Quarterly market'!G98</f>
        <v>1.6547550061168037</v>
      </c>
      <c r="H246" s="9">
        <f>'PG history'!H69</f>
        <v>3</v>
      </c>
      <c r="I246" s="9">
        <f t="shared" si="48"/>
        <v>2.7382141302686231</v>
      </c>
      <c r="J246" s="9">
        <f t="shared" si="49"/>
        <v>9</v>
      </c>
      <c r="K246" s="9">
        <f t="shared" si="50"/>
        <v>4.9642650183504111</v>
      </c>
      <c r="L246" s="9">
        <f>'Model tests'!H20+'Model tests'!G20*G246</f>
        <v>2.9412805010285155</v>
      </c>
      <c r="M246" s="9">
        <f t="shared" si="51"/>
        <v>5.8719498971484541E-2</v>
      </c>
      <c r="N246" s="9">
        <f>AVERAGE(H237:H245)+((SUM(K237:K245)-SUM(G237:G245)*SUM(H237:H245)/COUNT(G237:G245))/(SUM(I237:I245)-SUM(G237:G245)^2/COUNT(G237:G245)))*(G246-AVERAGE(G237:G245))</f>
        <v>3.7722463109458593</v>
      </c>
      <c r="O246" s="9">
        <f t="shared" si="58"/>
        <v>5.75</v>
      </c>
      <c r="P246" s="9">
        <f t="shared" si="59"/>
        <v>0.59636436476948873</v>
      </c>
      <c r="Q246" s="9">
        <f t="shared" si="60"/>
        <v>7.5625</v>
      </c>
    </row>
    <row r="247" spans="1:17" ht="25" customHeight="1">
      <c r="A247" s="1"/>
      <c r="B247" s="1" t="s">
        <v>34</v>
      </c>
      <c r="C247" s="1" t="s">
        <v>79</v>
      </c>
      <c r="D247" s="1" t="s">
        <v>80</v>
      </c>
      <c r="E247" s="1" t="s">
        <v>83</v>
      </c>
      <c r="F247" s="1" t="s">
        <v>108</v>
      </c>
      <c r="G247" s="9">
        <f>'Quarterly market'!G99</f>
        <v>0.37330111522773102</v>
      </c>
      <c r="H247" s="9">
        <f>'PG history'!H76</f>
        <v>1</v>
      </c>
      <c r="I247" s="9">
        <f t="shared" si="48"/>
        <v>0.13935372263026771</v>
      </c>
      <c r="J247" s="9">
        <f t="shared" si="49"/>
        <v>1</v>
      </c>
      <c r="K247" s="9">
        <f t="shared" si="50"/>
        <v>0.37330111522773102</v>
      </c>
      <c r="L247" s="9">
        <f>'Model tests'!H20+'Model tests'!G20*G247</f>
        <v>1.706777688881238</v>
      </c>
      <c r="M247" s="9">
        <f t="shared" si="51"/>
        <v>-0.70677768888123804</v>
      </c>
      <c r="N247" s="9">
        <f>AVERAGE(H237:H246)+((SUM(K237:K246)-SUM(G237:G246)*SUM(H237:H246)/COUNT(G237:G246))/(SUM(I237:I246)-SUM(G237:G246)^2/COUNT(G237:G246)))*(G247-AVERAGE(G237:G246))</f>
        <v>2.4782642456361663</v>
      </c>
      <c r="O247" s="9">
        <f t="shared" si="58"/>
        <v>4.5</v>
      </c>
      <c r="P247" s="9">
        <f t="shared" si="59"/>
        <v>2.1852651799262639</v>
      </c>
      <c r="Q247" s="9">
        <f t="shared" si="60"/>
        <v>12.25</v>
      </c>
    </row>
    <row r="248" spans="1:17" ht="25" customHeight="1">
      <c r="A248" s="1"/>
      <c r="B248" s="1" t="s">
        <v>34</v>
      </c>
      <c r="C248" s="1" t="s">
        <v>79</v>
      </c>
      <c r="D248" s="1" t="s">
        <v>80</v>
      </c>
      <c r="E248" s="1" t="s">
        <v>83</v>
      </c>
      <c r="F248" s="1" t="s">
        <v>109</v>
      </c>
      <c r="G248" s="9">
        <f>'Quarterly market'!G100</f>
        <v>0.34106845677743802</v>
      </c>
      <c r="H248" s="9">
        <f>'PG history'!H83</f>
        <v>2</v>
      </c>
      <c r="I248" s="9">
        <f t="shared" si="48"/>
        <v>0.11632769220854311</v>
      </c>
      <c r="J248" s="9">
        <f t="shared" si="49"/>
        <v>4</v>
      </c>
      <c r="K248" s="9">
        <f t="shared" si="50"/>
        <v>0.68213691355487605</v>
      </c>
      <c r="L248" s="9">
        <f>'Model tests'!H20+'Model tests'!G20*G248</f>
        <v>1.6757260000278356</v>
      </c>
      <c r="M248" s="9">
        <f t="shared" si="51"/>
        <v>0.32427399997216444</v>
      </c>
      <c r="N248" s="9">
        <f>AVERAGE(H237:H247)+((SUM(K237:K247)-SUM(G237:G247)*SUM(H237:H247)/COUNT(G237:G247))/(SUM(I237:I247)-SUM(G237:G247)^2/COUNT(G237:G247)))*(G248-AVERAGE(G237:G247))</f>
        <v>1.9622322389847753</v>
      </c>
      <c r="O248" s="9">
        <f t="shared" si="58"/>
        <v>3</v>
      </c>
      <c r="P248" s="9">
        <f t="shared" si="59"/>
        <v>1.4264037721031283E-3</v>
      </c>
      <c r="Q248" s="9">
        <f t="shared" si="60"/>
        <v>1</v>
      </c>
    </row>
    <row r="249" spans="1:17" ht="25" customHeight="1">
      <c r="A249" s="1"/>
      <c r="B249" s="1" t="s">
        <v>34</v>
      </c>
      <c r="C249" s="1" t="s">
        <v>79</v>
      </c>
      <c r="D249" s="1" t="s">
        <v>80</v>
      </c>
      <c r="E249" s="1" t="s">
        <v>83</v>
      </c>
      <c r="F249" s="1" t="s">
        <v>110</v>
      </c>
      <c r="G249" s="9">
        <f>'Quarterly market'!G101</f>
        <v>0.23594619830289432</v>
      </c>
      <c r="H249" s="9">
        <f>'PG history'!H90</f>
        <v>3</v>
      </c>
      <c r="I249" s="9">
        <f t="shared" si="48"/>
        <v>5.5670608493588729E-2</v>
      </c>
      <c r="J249" s="9">
        <f t="shared" si="49"/>
        <v>9</v>
      </c>
      <c r="K249" s="9">
        <f t="shared" si="50"/>
        <v>0.70783859490868295</v>
      </c>
      <c r="L249" s="9">
        <f>'Model tests'!H20+'Model tests'!G20*G249</f>
        <v>1.5744553069277818</v>
      </c>
      <c r="M249" s="9">
        <f t="shared" si="51"/>
        <v>1.4255446930722182</v>
      </c>
      <c r="N249" s="9">
        <f>AVERAGE(H237:H248)+((SUM(K237:K248)-SUM(G237:G248)*SUM(H237:H248)/COUNT(G237:G248))/(SUM(I237:I248)-SUM(G237:G248)^2/COUNT(G237:G248)))*(G249-AVERAGE(G237:G248))</f>
        <v>1.8743494336186277</v>
      </c>
      <c r="O249" s="9">
        <f t="shared" si="58"/>
        <v>2.5</v>
      </c>
      <c r="P249" s="9">
        <f t="shared" si="59"/>
        <v>1.2670891975947043</v>
      </c>
      <c r="Q249" s="9">
        <f t="shared" si="60"/>
        <v>0.25</v>
      </c>
    </row>
    <row r="250" spans="1:17" ht="25" customHeight="1">
      <c r="A250" s="1"/>
      <c r="B250" s="1" t="s">
        <v>34</v>
      </c>
      <c r="C250" s="1" t="s">
        <v>79</v>
      </c>
      <c r="D250" s="1" t="s">
        <v>80</v>
      </c>
      <c r="E250" s="1" t="s">
        <v>83</v>
      </c>
      <c r="F250" s="1" t="s">
        <v>111</v>
      </c>
      <c r="G250" s="9">
        <f>'Quarterly market'!G102</f>
        <v>0.50578250048438633</v>
      </c>
      <c r="H250" s="9">
        <f>'PG history'!H97</f>
        <v>1</v>
      </c>
      <c r="I250" s="9">
        <f t="shared" si="48"/>
        <v>0.25581593779623824</v>
      </c>
      <c r="J250" s="9">
        <f t="shared" si="49"/>
        <v>1</v>
      </c>
      <c r="K250" s="9">
        <f t="shared" si="50"/>
        <v>0.50578250048438633</v>
      </c>
      <c r="L250" s="9">
        <f>'Model tests'!H20+'Model tests'!G20*G250</f>
        <v>1.8344051000735657</v>
      </c>
      <c r="M250" s="9">
        <f t="shared" si="51"/>
        <v>-0.83440510007356572</v>
      </c>
      <c r="N250" s="9">
        <f>AVERAGE(H237:H249)+((SUM(K237:K249)-SUM(G237:G249)*SUM(H237:H249)/COUNT(G237:G249))/(SUM(I237:I249)-SUM(G237:G249)^2/COUNT(G237:G249)))*(G250-AVERAGE(G237:G249))</f>
        <v>2.3445928310763335</v>
      </c>
      <c r="O250" s="9">
        <f t="shared" si="58"/>
        <v>2.25</v>
      </c>
      <c r="P250" s="9">
        <f t="shared" si="59"/>
        <v>1.8079298813818696</v>
      </c>
      <c r="Q250" s="9">
        <f t="shared" si="60"/>
        <v>1.5625</v>
      </c>
    </row>
    <row r="251" spans="1:17" ht="25" customHeight="1">
      <c r="A251" s="1"/>
      <c r="B251" s="1" t="s">
        <v>34</v>
      </c>
      <c r="C251" s="1" t="s">
        <v>79</v>
      </c>
      <c r="D251" s="1" t="s">
        <v>80</v>
      </c>
      <c r="E251" s="1" t="s">
        <v>83</v>
      </c>
      <c r="F251" s="1" t="s">
        <v>112</v>
      </c>
      <c r="G251" s="9">
        <f>'Quarterly market'!G103</f>
        <v>1.0082264270475427</v>
      </c>
      <c r="H251" s="9">
        <f>'PG history'!H104</f>
        <v>2</v>
      </c>
      <c r="I251" s="9">
        <f t="shared" si="48"/>
        <v>1.016520528197054</v>
      </c>
      <c r="J251" s="9">
        <f t="shared" si="49"/>
        <v>4</v>
      </c>
      <c r="K251" s="9">
        <f t="shared" si="50"/>
        <v>2.0164528540950855</v>
      </c>
      <c r="L251" s="9">
        <f>'Model tests'!H20+'Model tests'!G20*G251</f>
        <v>2.3184400268848568</v>
      </c>
      <c r="M251" s="9">
        <f t="shared" si="51"/>
        <v>-0.31844002688485684</v>
      </c>
      <c r="N251" s="9">
        <f>AVERAGE(H237:H250)+((SUM(K237:K250)-SUM(G237:G250)*SUM(H237:H250)/COUNT(G237:G250))/(SUM(I237:I250)-SUM(G237:G250)^2/COUNT(G237:G250)))*(G251-AVERAGE(G237:G250))</f>
        <v>2.5969526217441588</v>
      </c>
      <c r="O251" s="9">
        <f t="shared" si="58"/>
        <v>1.75</v>
      </c>
      <c r="P251" s="9">
        <f t="shared" si="59"/>
        <v>0.35635243260722466</v>
      </c>
      <c r="Q251" s="9">
        <f t="shared" si="60"/>
        <v>6.25E-2</v>
      </c>
    </row>
    <row r="252" spans="1:17" ht="25" customHeight="1">
      <c r="A252" s="1"/>
      <c r="B252" s="1" t="s">
        <v>34</v>
      </c>
      <c r="C252" s="1" t="s">
        <v>79</v>
      </c>
      <c r="D252" s="1" t="s">
        <v>80</v>
      </c>
      <c r="E252" s="1" t="s">
        <v>83</v>
      </c>
      <c r="F252" s="1" t="s">
        <v>114</v>
      </c>
      <c r="G252" s="9">
        <f>'Quarterly market'!G104</f>
        <v>1.9491325309717533</v>
      </c>
      <c r="H252" s="9">
        <f>'PG history'!H118</f>
        <v>1</v>
      </c>
      <c r="I252" s="9">
        <f t="shared" si="48"/>
        <v>3.7991176232923527</v>
      </c>
      <c r="J252" s="9">
        <f t="shared" si="49"/>
        <v>1</v>
      </c>
      <c r="K252" s="9">
        <f t="shared" si="50"/>
        <v>1.9491325309717533</v>
      </c>
      <c r="L252" s="9">
        <f>'Model tests'!H20+'Model tests'!G20*G252</f>
        <v>3.2248723531038612</v>
      </c>
      <c r="M252" s="9">
        <f t="shared" si="51"/>
        <v>-2.2248723531038612</v>
      </c>
      <c r="N252" s="9">
        <f>AVERAGE(H237:H251)+((SUM(K237:K251)-SUM(G237:G251)*SUM(H237:H251)/COUNT(G237:G251))/(SUM(I237:I251)-SUM(G237:G251)^2/COUNT(G237:G251)))*(G252-AVERAGE(G237:G251))</f>
        <v>3.4086429001516541</v>
      </c>
      <c r="O252" s="9">
        <f t="shared" si="58"/>
        <v>2</v>
      </c>
      <c r="P252" s="9">
        <f t="shared" si="59"/>
        <v>5.8015606204509709</v>
      </c>
      <c r="Q252" s="9">
        <f t="shared" si="60"/>
        <v>1</v>
      </c>
    </row>
    <row r="253" spans="1:17" ht="25" customHeight="1">
      <c r="A253" s="1"/>
      <c r="B253" s="1" t="s">
        <v>43</v>
      </c>
      <c r="C253" s="1" t="s">
        <v>79</v>
      </c>
      <c r="D253" s="1" t="s">
        <v>80</v>
      </c>
      <c r="E253" s="1" t="s">
        <v>83</v>
      </c>
      <c r="F253" s="1" t="s">
        <v>98</v>
      </c>
      <c r="G253" s="9">
        <f>'Quarterly market'!G89</f>
        <v>1.0280001916822545</v>
      </c>
      <c r="H253" s="9">
        <f>'PG history'!H7</f>
        <v>6</v>
      </c>
      <c r="I253" s="9">
        <f t="shared" si="48"/>
        <v>1.056784394098752</v>
      </c>
      <c r="J253" s="9">
        <f t="shared" si="49"/>
        <v>36</v>
      </c>
      <c r="K253" s="9">
        <f t="shared" si="50"/>
        <v>6.1680011500935272</v>
      </c>
      <c r="L253" s="9">
        <f>'Model tests'!H21+'Model tests'!G21*G253</f>
        <v>3.6162560103228802</v>
      </c>
      <c r="M253" s="9">
        <f t="shared" si="51"/>
        <v>2.3837439896771198</v>
      </c>
      <c r="N253" s="9"/>
      <c r="O253" s="9"/>
      <c r="P253" s="9"/>
      <c r="Q253" s="9"/>
    </row>
    <row r="254" spans="1:17" ht="25" customHeight="1">
      <c r="A254" s="1"/>
      <c r="B254" s="1" t="s">
        <v>43</v>
      </c>
      <c r="C254" s="1" t="s">
        <v>79</v>
      </c>
      <c r="D254" s="1" t="s">
        <v>80</v>
      </c>
      <c r="E254" s="1" t="s">
        <v>83</v>
      </c>
      <c r="F254" s="1" t="s">
        <v>99</v>
      </c>
      <c r="G254" s="9">
        <f>'Quarterly market'!G90</f>
        <v>2.9122729416084958</v>
      </c>
      <c r="H254" s="9">
        <f>'PG history'!H14</f>
        <v>6</v>
      </c>
      <c r="I254" s="9">
        <f t="shared" si="48"/>
        <v>8.4813336864250015</v>
      </c>
      <c r="J254" s="9">
        <f t="shared" si="49"/>
        <v>36</v>
      </c>
      <c r="K254" s="9">
        <f t="shared" si="50"/>
        <v>17.473637649650975</v>
      </c>
      <c r="L254" s="9">
        <f>'Model tests'!H21+'Model tests'!G21*G254</f>
        <v>5.7399531414483</v>
      </c>
      <c r="M254" s="9">
        <f t="shared" si="51"/>
        <v>0.26004685855169996</v>
      </c>
      <c r="N254" s="9"/>
      <c r="O254" s="9"/>
      <c r="P254" s="9"/>
      <c r="Q254" s="9"/>
    </row>
    <row r="255" spans="1:17" ht="25" customHeight="1">
      <c r="A255" s="1"/>
      <c r="B255" s="1" t="s">
        <v>43</v>
      </c>
      <c r="C255" s="1" t="s">
        <v>79</v>
      </c>
      <c r="D255" s="1" t="s">
        <v>80</v>
      </c>
      <c r="E255" s="1" t="s">
        <v>83</v>
      </c>
      <c r="F255" s="1" t="s">
        <v>100</v>
      </c>
      <c r="G255" s="9">
        <f>'Quarterly market'!G91</f>
        <v>5.8502773415310738</v>
      </c>
      <c r="H255" s="9">
        <f>'PG history'!H21</f>
        <v>8</v>
      </c>
      <c r="I255" s="9">
        <f t="shared" si="48"/>
        <v>34.22574497283189</v>
      </c>
      <c r="J255" s="9">
        <f t="shared" si="49"/>
        <v>64</v>
      </c>
      <c r="K255" s="9">
        <f t="shared" si="50"/>
        <v>46.802218732248591</v>
      </c>
      <c r="L255" s="9">
        <f>'Model tests'!H21+'Model tests'!G21*G255</f>
        <v>9.0512739232160584</v>
      </c>
      <c r="M255" s="9">
        <f t="shared" si="51"/>
        <v>-1.0512739232160584</v>
      </c>
      <c r="N255" s="9"/>
      <c r="O255" s="9"/>
      <c r="P255" s="9"/>
      <c r="Q255" s="9"/>
    </row>
    <row r="256" spans="1:17" ht="25" customHeight="1">
      <c r="A256" s="1"/>
      <c r="B256" s="1" t="s">
        <v>43</v>
      </c>
      <c r="C256" s="1" t="s">
        <v>79</v>
      </c>
      <c r="D256" s="1" t="s">
        <v>80</v>
      </c>
      <c r="E256" s="1" t="s">
        <v>83</v>
      </c>
      <c r="F256" s="1" t="s">
        <v>101</v>
      </c>
      <c r="G256" s="9">
        <f>'Quarterly market'!G92</f>
        <v>7.2560334575520802</v>
      </c>
      <c r="H256" s="9">
        <f>'PG history'!H28</f>
        <v>11</v>
      </c>
      <c r="I256" s="9">
        <f t="shared" si="48"/>
        <v>52.650021537115194</v>
      </c>
      <c r="J256" s="9">
        <f t="shared" si="49"/>
        <v>121</v>
      </c>
      <c r="K256" s="9">
        <f t="shared" si="50"/>
        <v>79.816368033072877</v>
      </c>
      <c r="L256" s="9">
        <f>'Model tests'!H21+'Model tests'!G21*G256</f>
        <v>10.635651891200091</v>
      </c>
      <c r="M256" s="9">
        <f t="shared" si="51"/>
        <v>0.3643481087999092</v>
      </c>
      <c r="N256" s="9"/>
      <c r="O256" s="9"/>
      <c r="P256" s="9"/>
      <c r="Q256" s="9"/>
    </row>
    <row r="257" spans="1:17" ht="25" customHeight="1">
      <c r="A257" s="1"/>
      <c r="B257" s="1" t="s">
        <v>43</v>
      </c>
      <c r="C257" s="1" t="s">
        <v>79</v>
      </c>
      <c r="D257" s="1" t="s">
        <v>80</v>
      </c>
      <c r="E257" s="1" t="s">
        <v>83</v>
      </c>
      <c r="F257" s="1" t="s">
        <v>102</v>
      </c>
      <c r="G257" s="9">
        <f>'Quarterly market'!G93</f>
        <v>6.772394023448336</v>
      </c>
      <c r="H257" s="9">
        <f>'PG history'!H35</f>
        <v>10</v>
      </c>
      <c r="I257" s="9">
        <f t="shared" si="48"/>
        <v>45.865320808838739</v>
      </c>
      <c r="J257" s="9">
        <f t="shared" si="49"/>
        <v>100</v>
      </c>
      <c r="K257" s="9">
        <f t="shared" si="50"/>
        <v>67.723940234483365</v>
      </c>
      <c r="L257" s="9">
        <f>'Model tests'!H21+'Model tests'!G21*G257</f>
        <v>10.09055900125332</v>
      </c>
      <c r="M257" s="9">
        <f t="shared" si="51"/>
        <v>-9.0559001253319948E-2</v>
      </c>
      <c r="N257" s="9"/>
      <c r="O257" s="9"/>
      <c r="P257" s="9"/>
      <c r="Q257" s="9"/>
    </row>
    <row r="258" spans="1:17" ht="25" customHeight="1">
      <c r="A258" s="1"/>
      <c r="B258" s="1" t="s">
        <v>43</v>
      </c>
      <c r="C258" s="1" t="s">
        <v>79</v>
      </c>
      <c r="D258" s="1" t="s">
        <v>80</v>
      </c>
      <c r="E258" s="1" t="s">
        <v>83</v>
      </c>
      <c r="F258" s="1" t="s">
        <v>103</v>
      </c>
      <c r="G258" s="9">
        <f>'Quarterly market'!G94</f>
        <v>7.0582272321790596</v>
      </c>
      <c r="H258" s="9">
        <f>'PG history'!H42</f>
        <v>9</v>
      </c>
      <c r="I258" s="9">
        <f t="shared" si="48"/>
        <v>49.818571661074067</v>
      </c>
      <c r="J258" s="9">
        <f t="shared" si="49"/>
        <v>81</v>
      </c>
      <c r="K258" s="9">
        <f t="shared" si="50"/>
        <v>63.524045089611533</v>
      </c>
      <c r="L258" s="9">
        <f>'Model tests'!H21+'Model tests'!G21*G258</f>
        <v>10.412711495039357</v>
      </c>
      <c r="M258" s="9">
        <f t="shared" si="51"/>
        <v>-1.4127114950393569</v>
      </c>
      <c r="N258" s="9"/>
      <c r="O258" s="9"/>
      <c r="P258" s="9"/>
      <c r="Q258" s="9"/>
    </row>
    <row r="259" spans="1:17" ht="25" customHeight="1">
      <c r="A259" s="1"/>
      <c r="B259" s="1" t="s">
        <v>43</v>
      </c>
      <c r="C259" s="1" t="s">
        <v>79</v>
      </c>
      <c r="D259" s="1" t="s">
        <v>80</v>
      </c>
      <c r="E259" s="1" t="s">
        <v>83</v>
      </c>
      <c r="F259" s="1" t="s">
        <v>104</v>
      </c>
      <c r="G259" s="9">
        <f>'Quarterly market'!G95</f>
        <v>5.4935927157217401</v>
      </c>
      <c r="H259" s="9">
        <f>'PG history'!H49</f>
        <v>9</v>
      </c>
      <c r="I259" s="9">
        <f t="shared" si="48"/>
        <v>30.179560926230963</v>
      </c>
      <c r="J259" s="9">
        <f t="shared" si="49"/>
        <v>81</v>
      </c>
      <c r="K259" s="9">
        <f t="shared" si="50"/>
        <v>49.44233444149566</v>
      </c>
      <c r="L259" s="9">
        <f>'Model tests'!H21+'Model tests'!G21*G259</f>
        <v>8.6492673047063562</v>
      </c>
      <c r="M259" s="9">
        <f t="shared" si="51"/>
        <v>0.35073269529364381</v>
      </c>
      <c r="N259" s="9"/>
      <c r="O259" s="9"/>
      <c r="P259" s="9"/>
      <c r="Q259" s="9"/>
    </row>
    <row r="260" spans="1:17" ht="25" customHeight="1">
      <c r="A260" s="1"/>
      <c r="B260" s="1" t="s">
        <v>43</v>
      </c>
      <c r="C260" s="1" t="s">
        <v>79</v>
      </c>
      <c r="D260" s="1" t="s">
        <v>80</v>
      </c>
      <c r="E260" s="1" t="s">
        <v>83</v>
      </c>
      <c r="F260" s="1" t="s">
        <v>105</v>
      </c>
      <c r="G260" s="9">
        <f>'Quarterly market'!G96</f>
        <v>4.2122165191533556</v>
      </c>
      <c r="H260" s="9">
        <f>'PG history'!H56</f>
        <v>7</v>
      </c>
      <c r="I260" s="9">
        <f t="shared" si="48"/>
        <v>17.742768004228413</v>
      </c>
      <c r="J260" s="9">
        <f t="shared" si="49"/>
        <v>49</v>
      </c>
      <c r="K260" s="9">
        <f t="shared" si="50"/>
        <v>29.48551563407349</v>
      </c>
      <c r="L260" s="9">
        <f>'Model tests'!H21+'Model tests'!G21*G260</f>
        <v>7.2050735420723608</v>
      </c>
      <c r="M260" s="9">
        <f t="shared" si="51"/>
        <v>-0.20507354207236084</v>
      </c>
      <c r="N260" s="9"/>
      <c r="O260" s="9"/>
      <c r="P260" s="9"/>
      <c r="Q260" s="9"/>
    </row>
    <row r="261" spans="1:17" ht="25" customHeight="1">
      <c r="A261" s="1"/>
      <c r="B261" s="1" t="s">
        <v>43</v>
      </c>
      <c r="C261" s="1" t="s">
        <v>79</v>
      </c>
      <c r="D261" s="1" t="s">
        <v>80</v>
      </c>
      <c r="E261" s="1" t="s">
        <v>83</v>
      </c>
      <c r="F261" s="1" t="s">
        <v>106</v>
      </c>
      <c r="G261" s="9">
        <f>'Quarterly market'!G97</f>
        <v>3.636809635836169</v>
      </c>
      <c r="H261" s="9">
        <f>'PG history'!H63</f>
        <v>10</v>
      </c>
      <c r="I261" s="9">
        <f t="shared" si="48"/>
        <v>13.226384327310809</v>
      </c>
      <c r="J261" s="9">
        <f t="shared" si="49"/>
        <v>100</v>
      </c>
      <c r="K261" s="9">
        <f t="shared" si="50"/>
        <v>36.36809635836169</v>
      </c>
      <c r="L261" s="9">
        <f>'Model tests'!H21+'Model tests'!G21*G261</f>
        <v>6.5565528078111655</v>
      </c>
      <c r="M261" s="9">
        <f t="shared" si="51"/>
        <v>3.4434471921888345</v>
      </c>
      <c r="N261" s="9">
        <f>AVERAGE(H253:H260)+((SUM(K253:K260)-SUM(G253:G260)*SUM(H253:H260)/COUNT(G253:G260))/(SUM(I253:I260)-SUM(G253:G260)^2/COUNT(G253:G260)))*(G261-AVERAGE(G253:G260))</f>
        <v>7.1722941230208743</v>
      </c>
      <c r="O261" s="9">
        <f t="shared" ref="O261:O268" si="61">AVERAGE(H257:H260)</f>
        <v>8.75</v>
      </c>
      <c r="P261" s="9">
        <f t="shared" ref="P261:P268" si="62">(H261-N261)^2</f>
        <v>7.9959205267022861</v>
      </c>
      <c r="Q261" s="9">
        <f t="shared" ref="Q261:Q268" si="63">(H261-O261)^2</f>
        <v>1.5625</v>
      </c>
    </row>
    <row r="262" spans="1:17" ht="25" customHeight="1">
      <c r="A262" s="1"/>
      <c r="B262" s="1" t="s">
        <v>43</v>
      </c>
      <c r="C262" s="1" t="s">
        <v>79</v>
      </c>
      <c r="D262" s="1" t="s">
        <v>80</v>
      </c>
      <c r="E262" s="1" t="s">
        <v>83</v>
      </c>
      <c r="F262" s="1" t="s">
        <v>107</v>
      </c>
      <c r="G262" s="9">
        <f>'Quarterly market'!G98</f>
        <v>1.6547550061168037</v>
      </c>
      <c r="H262" s="9">
        <f>'PG history'!H70</f>
        <v>5</v>
      </c>
      <c r="I262" s="9">
        <f t="shared" ref="I262:I302" si="64">G262*G262</f>
        <v>2.7382141302686231</v>
      </c>
      <c r="J262" s="9">
        <f t="shared" ref="J262:J302" si="65">H262*H262</f>
        <v>25</v>
      </c>
      <c r="K262" s="9">
        <f t="shared" ref="K262:K302" si="66">G262*H262</f>
        <v>8.2737750305840194</v>
      </c>
      <c r="L262" s="9">
        <f>'Model tests'!H21+'Model tests'!G21*G262</f>
        <v>4.3226491805185434</v>
      </c>
      <c r="M262" s="9">
        <f t="shared" ref="M262:M325" si="67">H262-L262</f>
        <v>0.67735081948145659</v>
      </c>
      <c r="N262" s="9">
        <f>AVERAGE(H253:H261)+((SUM(K253:K261)-SUM(G253:G261)*SUM(H253:H261)/COUNT(G253:G261))/(SUM(I253:I261)-SUM(G253:G261)^2/COUNT(G253:G261)))*(G262-AVERAGE(G253:G261))</f>
        <v>6.3259368201563682</v>
      </c>
      <c r="O262" s="9">
        <f t="shared" si="61"/>
        <v>8.75</v>
      </c>
      <c r="P262" s="9">
        <f t="shared" si="62"/>
        <v>1.7581084510463809</v>
      </c>
      <c r="Q262" s="9">
        <f t="shared" si="63"/>
        <v>14.0625</v>
      </c>
    </row>
    <row r="263" spans="1:17" ht="25" customHeight="1">
      <c r="A263" s="1"/>
      <c r="B263" s="1" t="s">
        <v>43</v>
      </c>
      <c r="C263" s="1" t="s">
        <v>79</v>
      </c>
      <c r="D263" s="1" t="s">
        <v>80</v>
      </c>
      <c r="E263" s="1" t="s">
        <v>83</v>
      </c>
      <c r="F263" s="1" t="s">
        <v>108</v>
      </c>
      <c r="G263" s="9">
        <f>'Quarterly market'!G99</f>
        <v>0.37330111522773102</v>
      </c>
      <c r="H263" s="9">
        <f>'PG history'!H77</f>
        <v>1</v>
      </c>
      <c r="I263" s="9">
        <f t="shared" si="64"/>
        <v>0.13935372263026771</v>
      </c>
      <c r="J263" s="9">
        <f t="shared" si="65"/>
        <v>1</v>
      </c>
      <c r="K263" s="9">
        <f t="shared" si="66"/>
        <v>0.37330111522773102</v>
      </c>
      <c r="L263" s="9">
        <f>'Model tests'!H21+'Model tests'!G21*G263</f>
        <v>2.8783678513653408</v>
      </c>
      <c r="M263" s="9">
        <f t="shared" si="67"/>
        <v>-1.8783678513653408</v>
      </c>
      <c r="N263" s="9">
        <f>AVERAGE(H253:H262)+((SUM(K253:K262)-SUM(G253:G262)*SUM(H253:H262)/COUNT(G253:G262))/(SUM(I253:I262)-SUM(G253:G262)^2/COUNT(G253:G262)))*(G263-AVERAGE(G253:G262))</f>
        <v>5.0003603883406225</v>
      </c>
      <c r="O263" s="9">
        <f t="shared" si="61"/>
        <v>7.75</v>
      </c>
      <c r="P263" s="9">
        <f t="shared" si="62"/>
        <v>16.002883236604735</v>
      </c>
      <c r="Q263" s="9">
        <f t="shared" si="63"/>
        <v>45.5625</v>
      </c>
    </row>
    <row r="264" spans="1:17" ht="25" customHeight="1">
      <c r="A264" s="1"/>
      <c r="B264" s="1" t="s">
        <v>43</v>
      </c>
      <c r="C264" s="1" t="s">
        <v>79</v>
      </c>
      <c r="D264" s="1" t="s">
        <v>80</v>
      </c>
      <c r="E264" s="1" t="s">
        <v>83</v>
      </c>
      <c r="F264" s="1" t="s">
        <v>109</v>
      </c>
      <c r="G264" s="9">
        <f>'Quarterly market'!G100</f>
        <v>0.34106845677743802</v>
      </c>
      <c r="H264" s="9">
        <f>'PG history'!H84</f>
        <v>1</v>
      </c>
      <c r="I264" s="9">
        <f t="shared" si="64"/>
        <v>0.11632769220854311</v>
      </c>
      <c r="J264" s="9">
        <f t="shared" si="65"/>
        <v>1</v>
      </c>
      <c r="K264" s="9">
        <f t="shared" si="66"/>
        <v>0.34106845677743802</v>
      </c>
      <c r="L264" s="9">
        <f>'Model tests'!H21+'Model tests'!G21*G264</f>
        <v>2.842039562755259</v>
      </c>
      <c r="M264" s="9">
        <f t="shared" si="67"/>
        <v>-1.842039562755259</v>
      </c>
      <c r="N264" s="9">
        <f>AVERAGE(H253:H263)+((SUM(K253:K263)-SUM(G253:G263)*SUM(H253:H263)/COUNT(G253:G263))/(SUM(I253:I263)-SUM(G253:G263)^2/COUNT(G253:G263)))*(G264-AVERAGE(G253:G263))</f>
        <v>3.6531013534293217</v>
      </c>
      <c r="O264" s="9">
        <f t="shared" si="61"/>
        <v>5.75</v>
      </c>
      <c r="P264" s="9">
        <f t="shared" si="62"/>
        <v>7.0389467915684989</v>
      </c>
      <c r="Q264" s="9">
        <f t="shared" si="63"/>
        <v>22.5625</v>
      </c>
    </row>
    <row r="265" spans="1:17" ht="25" customHeight="1">
      <c r="A265" s="1"/>
      <c r="B265" s="1" t="s">
        <v>43</v>
      </c>
      <c r="C265" s="1" t="s">
        <v>79</v>
      </c>
      <c r="D265" s="1" t="s">
        <v>80</v>
      </c>
      <c r="E265" s="1" t="s">
        <v>83</v>
      </c>
      <c r="F265" s="1" t="s">
        <v>110</v>
      </c>
      <c r="G265" s="9">
        <f>'Quarterly market'!G101</f>
        <v>0.23594619830289432</v>
      </c>
      <c r="H265" s="9">
        <f>'PG history'!H91</f>
        <v>2</v>
      </c>
      <c r="I265" s="9">
        <f t="shared" si="64"/>
        <v>5.5670608493588729E-2</v>
      </c>
      <c r="J265" s="9">
        <f t="shared" si="65"/>
        <v>4</v>
      </c>
      <c r="K265" s="9">
        <f t="shared" si="66"/>
        <v>0.47189239660578863</v>
      </c>
      <c r="L265" s="9">
        <f>'Model tests'!H21+'Model tests'!G21*G265</f>
        <v>2.723559985555752</v>
      </c>
      <c r="M265" s="9">
        <f t="shared" si="67"/>
        <v>-0.72355998555575196</v>
      </c>
      <c r="N265" s="9">
        <f>AVERAGE(H253:H264)+((SUM(K253:K264)-SUM(G253:G264)*SUM(H253:H264)/COUNT(G253:G264))/(SUM(I253:I264)-SUM(G253:G264)^2/COUNT(G253:G264)))*(G265-AVERAGE(G253:G264))</f>
        <v>2.8739624326862527</v>
      </c>
      <c r="O265" s="9">
        <f t="shared" si="61"/>
        <v>4.25</v>
      </c>
      <c r="P265" s="9">
        <f t="shared" si="62"/>
        <v>0.76381033374687279</v>
      </c>
      <c r="Q265" s="9">
        <f t="shared" si="63"/>
        <v>5.0625</v>
      </c>
    </row>
    <row r="266" spans="1:17" ht="25" customHeight="1">
      <c r="A266" s="1"/>
      <c r="B266" s="1" t="s">
        <v>43</v>
      </c>
      <c r="C266" s="1" t="s">
        <v>79</v>
      </c>
      <c r="D266" s="1" t="s">
        <v>80</v>
      </c>
      <c r="E266" s="1" t="s">
        <v>83</v>
      </c>
      <c r="F266" s="1" t="s">
        <v>111</v>
      </c>
      <c r="G266" s="9">
        <f>'Quarterly market'!G102</f>
        <v>0.50578250048438633</v>
      </c>
      <c r="H266" s="9">
        <f>'PG history'!H98</f>
        <v>4</v>
      </c>
      <c r="I266" s="9">
        <f t="shared" si="64"/>
        <v>0.25581593779623824</v>
      </c>
      <c r="J266" s="9">
        <f t="shared" si="65"/>
        <v>16</v>
      </c>
      <c r="K266" s="9">
        <f t="shared" si="66"/>
        <v>2.0231300019375453</v>
      </c>
      <c r="L266" s="9">
        <f>'Model tests'!H21+'Model tests'!G21*G266</f>
        <v>3.0276829321083456</v>
      </c>
      <c r="M266" s="9">
        <f t="shared" si="67"/>
        <v>0.9723170678916544</v>
      </c>
      <c r="N266" s="9">
        <f>AVERAGE(H253:H265)+((SUM(K253:K265)-SUM(G253:G265)*SUM(H253:H265)/COUNT(G253:G265))/(SUM(I253:I265)-SUM(G253:G265)^2/COUNT(G253:G265)))*(G266-AVERAGE(G253:G265))</f>
        <v>3.0019634010158942</v>
      </c>
      <c r="O266" s="9">
        <f t="shared" si="61"/>
        <v>2.25</v>
      </c>
      <c r="P266" s="9">
        <f t="shared" si="62"/>
        <v>0.99607705291176085</v>
      </c>
      <c r="Q266" s="9">
        <f t="shared" si="63"/>
        <v>3.0625</v>
      </c>
    </row>
    <row r="267" spans="1:17" ht="25" customHeight="1">
      <c r="A267" s="1"/>
      <c r="B267" s="1" t="s">
        <v>43</v>
      </c>
      <c r="C267" s="1" t="s">
        <v>79</v>
      </c>
      <c r="D267" s="1" t="s">
        <v>80</v>
      </c>
      <c r="E267" s="1" t="s">
        <v>83</v>
      </c>
      <c r="F267" s="1" t="s">
        <v>112</v>
      </c>
      <c r="G267" s="9">
        <f>'Quarterly market'!G103</f>
        <v>1.0082264270475427</v>
      </c>
      <c r="H267" s="9">
        <f>'PG history'!H105</f>
        <v>4</v>
      </c>
      <c r="I267" s="9">
        <f t="shared" si="64"/>
        <v>1.016520528197054</v>
      </c>
      <c r="J267" s="9">
        <f t="shared" si="65"/>
        <v>16</v>
      </c>
      <c r="K267" s="9">
        <f t="shared" si="66"/>
        <v>4.0329057081901709</v>
      </c>
      <c r="L267" s="9">
        <f>'Model tests'!H21+'Model tests'!G21*G267</f>
        <v>3.5939697000061117</v>
      </c>
      <c r="M267" s="9">
        <f t="shared" si="67"/>
        <v>0.40603029999388829</v>
      </c>
      <c r="N267" s="9">
        <f>AVERAGE(H253:H266)+((SUM(K253:K266)-SUM(G253:G266)*SUM(H253:H266)/COUNT(G253:G266))/(SUM(I253:I266)-SUM(G253:G266)^2/COUNT(G253:G266)))*(G267-AVERAGE(G253:G266))</f>
        <v>3.71767596877811</v>
      </c>
      <c r="O267" s="9">
        <f t="shared" si="61"/>
        <v>2</v>
      </c>
      <c r="P267" s="9">
        <f t="shared" si="62"/>
        <v>7.9706858605378711E-2</v>
      </c>
      <c r="Q267" s="9">
        <f t="shared" si="63"/>
        <v>4</v>
      </c>
    </row>
    <row r="268" spans="1:17" ht="25" customHeight="1">
      <c r="A268" s="1"/>
      <c r="B268" s="1" t="s">
        <v>43</v>
      </c>
      <c r="C268" s="1" t="s">
        <v>79</v>
      </c>
      <c r="D268" s="1" t="s">
        <v>80</v>
      </c>
      <c r="E268" s="1" t="s">
        <v>83</v>
      </c>
      <c r="F268" s="1" t="s">
        <v>114</v>
      </c>
      <c r="G268" s="9">
        <f>'Quarterly market'!G104</f>
        <v>1.9491325309717533</v>
      </c>
      <c r="H268" s="9">
        <f>'PG history'!H119</f>
        <v>3</v>
      </c>
      <c r="I268" s="9">
        <f t="shared" si="64"/>
        <v>3.7991176232923527</v>
      </c>
      <c r="J268" s="9">
        <f t="shared" si="65"/>
        <v>9</v>
      </c>
      <c r="K268" s="9">
        <f t="shared" si="66"/>
        <v>5.84739759291526</v>
      </c>
      <c r="L268" s="9">
        <f>'Model tests'!H21+'Model tests'!G21*G268</f>
        <v>4.6544316706207489</v>
      </c>
      <c r="M268" s="9">
        <f t="shared" si="67"/>
        <v>-1.6544316706207489</v>
      </c>
      <c r="N268" s="9">
        <f>AVERAGE(H253:H267)+((SUM(K253:K267)-SUM(G253:G267)*SUM(H253:H267)/COUNT(G253:G267))/(SUM(I253:I267)-SUM(G253:G267)^2/COUNT(G253:G267)))*(G268-AVERAGE(G253:G267))</f>
        <v>4.7910848196155733</v>
      </c>
      <c r="O268" s="9">
        <f t="shared" si="61"/>
        <v>2.75</v>
      </c>
      <c r="P268" s="9">
        <f t="shared" si="62"/>
        <v>3.2079848310573507</v>
      </c>
      <c r="Q268" s="9">
        <f t="shared" si="63"/>
        <v>6.25E-2</v>
      </c>
    </row>
    <row r="269" spans="1:17" ht="25" customHeight="1">
      <c r="A269" s="1"/>
      <c r="B269" s="1" t="s">
        <v>34</v>
      </c>
      <c r="C269" s="1" t="s">
        <v>81</v>
      </c>
      <c r="D269" s="1" t="s">
        <v>82</v>
      </c>
      <c r="E269" s="1" t="s">
        <v>83</v>
      </c>
      <c r="F269" s="1" t="s">
        <v>98</v>
      </c>
      <c r="G269" s="9">
        <f>'Quarterly market'!G23</f>
        <v>6.658436933295464</v>
      </c>
      <c r="H269" s="9">
        <f>'PG history'!F6</f>
        <v>3</v>
      </c>
      <c r="I269" s="9">
        <f t="shared" si="64"/>
        <v>44.334782394673105</v>
      </c>
      <c r="J269" s="9">
        <f t="shared" si="65"/>
        <v>9</v>
      </c>
      <c r="K269" s="9">
        <f t="shared" si="66"/>
        <v>19.975310799886394</v>
      </c>
      <c r="L269" s="9">
        <f>'Model tests'!H22+'Model tests'!G22*G269</f>
        <v>3.6548407525665505</v>
      </c>
      <c r="M269" s="9">
        <f t="shared" si="67"/>
        <v>-0.6548407525665505</v>
      </c>
      <c r="N269" s="9"/>
      <c r="O269" s="9"/>
      <c r="P269" s="9"/>
      <c r="Q269" s="9"/>
    </row>
    <row r="270" spans="1:17" ht="25" customHeight="1">
      <c r="A270" s="1"/>
      <c r="B270" s="1" t="s">
        <v>34</v>
      </c>
      <c r="C270" s="1" t="s">
        <v>81</v>
      </c>
      <c r="D270" s="1" t="s">
        <v>82</v>
      </c>
      <c r="E270" s="1" t="s">
        <v>83</v>
      </c>
      <c r="F270" s="1" t="s">
        <v>99</v>
      </c>
      <c r="G270" s="9">
        <f>'Quarterly market'!G24</f>
        <v>3.235995481738696</v>
      </c>
      <c r="H270" s="9">
        <f>'PG history'!F13</f>
        <v>0</v>
      </c>
      <c r="I270" s="9">
        <f t="shared" si="64"/>
        <v>10.471666757833255</v>
      </c>
      <c r="J270" s="9">
        <f t="shared" si="65"/>
        <v>0</v>
      </c>
      <c r="K270" s="9">
        <f t="shared" si="66"/>
        <v>0</v>
      </c>
      <c r="L270" s="9">
        <f>'Model tests'!H22+'Model tests'!G22*G270</f>
        <v>3.2727741661602434</v>
      </c>
      <c r="M270" s="9">
        <f t="shared" si="67"/>
        <v>-3.2727741661602434</v>
      </c>
      <c r="N270" s="9"/>
      <c r="O270" s="9"/>
      <c r="P270" s="9"/>
      <c r="Q270" s="9"/>
    </row>
    <row r="271" spans="1:17" ht="25" customHeight="1">
      <c r="A271" s="1"/>
      <c r="B271" s="1" t="s">
        <v>34</v>
      </c>
      <c r="C271" s="1" t="s">
        <v>81</v>
      </c>
      <c r="D271" s="1" t="s">
        <v>82</v>
      </c>
      <c r="E271" s="1" t="s">
        <v>83</v>
      </c>
      <c r="F271" s="1" t="s">
        <v>100</v>
      </c>
      <c r="G271" s="9">
        <f>'Quarterly market'!G25</f>
        <v>3.5533938473930382</v>
      </c>
      <c r="H271" s="9">
        <f>'PG history'!F20</f>
        <v>4</v>
      </c>
      <c r="I271" s="9">
        <f t="shared" si="64"/>
        <v>12.626607834690699</v>
      </c>
      <c r="J271" s="9">
        <f t="shared" si="65"/>
        <v>16</v>
      </c>
      <c r="K271" s="9">
        <f t="shared" si="66"/>
        <v>14.213575389572153</v>
      </c>
      <c r="L271" s="9">
        <f>'Model tests'!H22+'Model tests'!G22*G271</f>
        <v>3.3082071492552019</v>
      </c>
      <c r="M271" s="9">
        <f t="shared" si="67"/>
        <v>0.69179285074479813</v>
      </c>
      <c r="N271" s="9"/>
      <c r="O271" s="9"/>
      <c r="P271" s="9"/>
      <c r="Q271" s="9"/>
    </row>
    <row r="272" spans="1:17" ht="25" customHeight="1">
      <c r="A272" s="1"/>
      <c r="B272" s="1" t="s">
        <v>34</v>
      </c>
      <c r="C272" s="1" t="s">
        <v>81</v>
      </c>
      <c r="D272" s="1" t="s">
        <v>82</v>
      </c>
      <c r="E272" s="1" t="s">
        <v>83</v>
      </c>
      <c r="F272" s="1" t="s">
        <v>101</v>
      </c>
      <c r="G272" s="9">
        <f>'Quarterly market'!G26</f>
        <v>3.8028851607049052</v>
      </c>
      <c r="H272" s="9">
        <f>'PG history'!F27</f>
        <v>3</v>
      </c>
      <c r="I272" s="9">
        <f t="shared" si="64"/>
        <v>14.461935545509572</v>
      </c>
      <c r="J272" s="9">
        <f t="shared" si="65"/>
        <v>9</v>
      </c>
      <c r="K272" s="9">
        <f t="shared" si="66"/>
        <v>11.408655482114716</v>
      </c>
      <c r="L272" s="9">
        <f>'Model tests'!H22+'Model tests'!G22*G272</f>
        <v>3.3360592822322999</v>
      </c>
      <c r="M272" s="9">
        <f t="shared" si="67"/>
        <v>-0.33605928223229986</v>
      </c>
      <c r="N272" s="9"/>
      <c r="O272" s="9"/>
      <c r="P272" s="9"/>
      <c r="Q272" s="9"/>
    </row>
    <row r="273" spans="1:17" ht="25" customHeight="1">
      <c r="A273" s="1"/>
      <c r="B273" s="1" t="s">
        <v>34</v>
      </c>
      <c r="C273" s="1" t="s">
        <v>81</v>
      </c>
      <c r="D273" s="1" t="s">
        <v>82</v>
      </c>
      <c r="E273" s="1" t="s">
        <v>83</v>
      </c>
      <c r="F273" s="1" t="s">
        <v>102</v>
      </c>
      <c r="G273" s="9">
        <f>'Quarterly market'!G27</f>
        <v>7.4226951952720999</v>
      </c>
      <c r="H273" s="9">
        <f>'PG history'!F34</f>
        <v>7</v>
      </c>
      <c r="I273" s="9">
        <f t="shared" si="64"/>
        <v>55.09640396191552</v>
      </c>
      <c r="J273" s="9">
        <f t="shared" si="65"/>
        <v>49</v>
      </c>
      <c r="K273" s="9">
        <f t="shared" si="66"/>
        <v>51.958866366904701</v>
      </c>
      <c r="L273" s="9">
        <f>'Model tests'!H22+'Model tests'!G22*G273</f>
        <v>3.7401592450577539</v>
      </c>
      <c r="M273" s="9">
        <f t="shared" si="67"/>
        <v>3.2598407549422461</v>
      </c>
      <c r="N273" s="9"/>
      <c r="O273" s="9"/>
      <c r="P273" s="9"/>
      <c r="Q273" s="9"/>
    </row>
    <row r="274" spans="1:17" ht="25" customHeight="1">
      <c r="A274" s="1"/>
      <c r="B274" s="1" t="s">
        <v>34</v>
      </c>
      <c r="C274" s="1" t="s">
        <v>81</v>
      </c>
      <c r="D274" s="1" t="s">
        <v>82</v>
      </c>
      <c r="E274" s="1" t="s">
        <v>83</v>
      </c>
      <c r="F274" s="1" t="s">
        <v>103</v>
      </c>
      <c r="G274" s="9">
        <f>'Quarterly market'!G28</f>
        <v>8.3743642737017066</v>
      </c>
      <c r="H274" s="9">
        <f>'PG history'!F41</f>
        <v>11</v>
      </c>
      <c r="I274" s="9">
        <f t="shared" si="64"/>
        <v>70.129976988651507</v>
      </c>
      <c r="J274" s="9">
        <f t="shared" si="65"/>
        <v>121</v>
      </c>
      <c r="K274" s="9">
        <f t="shared" si="66"/>
        <v>92.11800701071877</v>
      </c>
      <c r="L274" s="9">
        <f>'Model tests'!H22+'Model tests'!G22*G274</f>
        <v>3.8463994719047743</v>
      </c>
      <c r="M274" s="9">
        <f t="shared" si="67"/>
        <v>7.1536005280952253</v>
      </c>
      <c r="N274" s="9"/>
      <c r="O274" s="9"/>
      <c r="P274" s="9"/>
      <c r="Q274" s="9"/>
    </row>
    <row r="275" spans="1:17" ht="25" customHeight="1">
      <c r="A275" s="1"/>
      <c r="B275" s="1" t="s">
        <v>34</v>
      </c>
      <c r="C275" s="1" t="s">
        <v>81</v>
      </c>
      <c r="D275" s="1" t="s">
        <v>82</v>
      </c>
      <c r="E275" s="1" t="s">
        <v>83</v>
      </c>
      <c r="F275" s="1" t="s">
        <v>104</v>
      </c>
      <c r="G275" s="9">
        <f>'Quarterly market'!G29</f>
        <v>7.2648038453100305</v>
      </c>
      <c r="H275" s="9">
        <f>'PG history'!F48</f>
        <v>5</v>
      </c>
      <c r="I275" s="9">
        <f t="shared" si="64"/>
        <v>52.777374910831405</v>
      </c>
      <c r="J275" s="9">
        <f t="shared" si="65"/>
        <v>25</v>
      </c>
      <c r="K275" s="9">
        <f t="shared" si="66"/>
        <v>36.324019226550149</v>
      </c>
      <c r="L275" s="9">
        <f>'Model tests'!H22+'Model tests'!G22*G275</f>
        <v>3.7225329364833146</v>
      </c>
      <c r="M275" s="9">
        <f t="shared" si="67"/>
        <v>1.2774670635166854</v>
      </c>
      <c r="N275" s="9"/>
      <c r="O275" s="9"/>
      <c r="P275" s="9"/>
      <c r="Q275" s="9"/>
    </row>
    <row r="276" spans="1:17" ht="25" customHeight="1">
      <c r="A276" s="1"/>
      <c r="B276" s="1" t="s">
        <v>34</v>
      </c>
      <c r="C276" s="1" t="s">
        <v>81</v>
      </c>
      <c r="D276" s="1" t="s">
        <v>82</v>
      </c>
      <c r="E276" s="1" t="s">
        <v>83</v>
      </c>
      <c r="F276" s="1" t="s">
        <v>105</v>
      </c>
      <c r="G276" s="9">
        <f>'Quarterly market'!G30</f>
        <v>9.9248015735047268</v>
      </c>
      <c r="H276" s="9">
        <f>'PG history'!F55</f>
        <v>1</v>
      </c>
      <c r="I276" s="9">
        <f t="shared" si="64"/>
        <v>98.501686273441905</v>
      </c>
      <c r="J276" s="9">
        <f t="shared" si="65"/>
        <v>1</v>
      </c>
      <c r="K276" s="9">
        <f t="shared" si="66"/>
        <v>9.9248015735047268</v>
      </c>
      <c r="L276" s="9">
        <f>'Model tests'!H22+'Model tests'!G22*G276</f>
        <v>4.0194835976546246</v>
      </c>
      <c r="M276" s="9">
        <f t="shared" si="67"/>
        <v>-3.0194835976546246</v>
      </c>
      <c r="N276" s="9"/>
      <c r="O276" s="9"/>
      <c r="P276" s="9"/>
      <c r="Q276" s="9"/>
    </row>
    <row r="277" spans="1:17" ht="25" customHeight="1">
      <c r="A277" s="1"/>
      <c r="B277" s="1" t="s">
        <v>34</v>
      </c>
      <c r="C277" s="1" t="s">
        <v>81</v>
      </c>
      <c r="D277" s="1" t="s">
        <v>82</v>
      </c>
      <c r="E277" s="1" t="s">
        <v>83</v>
      </c>
      <c r="F277" s="1" t="s">
        <v>106</v>
      </c>
      <c r="G277" s="9">
        <f>'Quarterly market'!G31</f>
        <v>2.2273073989321102</v>
      </c>
      <c r="H277" s="9">
        <f>'PG history'!F62</f>
        <v>3</v>
      </c>
      <c r="I277" s="9">
        <f t="shared" si="64"/>
        <v>4.9608982493377223</v>
      </c>
      <c r="J277" s="9">
        <f t="shared" si="65"/>
        <v>9</v>
      </c>
      <c r="K277" s="9">
        <f t="shared" si="66"/>
        <v>6.6819221967963305</v>
      </c>
      <c r="L277" s="9">
        <f>'Model tests'!H22+'Model tests'!G22*G277</f>
        <v>3.1601685838583653</v>
      </c>
      <c r="M277" s="9">
        <f t="shared" si="67"/>
        <v>-0.1601685838583653</v>
      </c>
      <c r="N277" s="9">
        <f>AVERAGE(H269:H276)+((SUM(K269:K276)-SUM(G269:G276)*SUM(H269:H276)/COUNT(G269:G276))/(SUM(I269:I276)-SUM(G269:G276)^2/COUNT(G269:G276)))*(G277-AVERAGE(G269:G276))</f>
        <v>2.134012696778417</v>
      </c>
      <c r="O277" s="9">
        <f t="shared" ref="O277:O285" si="68">AVERAGE(H273:H276)</f>
        <v>6</v>
      </c>
      <c r="P277" s="9">
        <f t="shared" ref="P277:P285" si="69">(H277-N277)^2</f>
        <v>0.74993400934098997</v>
      </c>
      <c r="Q277" s="9">
        <f t="shared" ref="Q277:Q285" si="70">(H277-O277)^2</f>
        <v>9</v>
      </c>
    </row>
    <row r="278" spans="1:17" ht="25" customHeight="1">
      <c r="A278" s="1"/>
      <c r="B278" s="1" t="s">
        <v>34</v>
      </c>
      <c r="C278" s="1" t="s">
        <v>81</v>
      </c>
      <c r="D278" s="1" t="s">
        <v>82</v>
      </c>
      <c r="E278" s="1" t="s">
        <v>83</v>
      </c>
      <c r="F278" s="1" t="s">
        <v>107</v>
      </c>
      <c r="G278" s="9">
        <f>'Quarterly market'!G32</f>
        <v>0.79927457652468892</v>
      </c>
      <c r="H278" s="9">
        <f>'PG history'!F69</f>
        <v>3</v>
      </c>
      <c r="I278" s="9">
        <f t="shared" si="64"/>
        <v>0.63883984867872079</v>
      </c>
      <c r="J278" s="9">
        <f t="shared" si="65"/>
        <v>9</v>
      </c>
      <c r="K278" s="9">
        <f t="shared" si="66"/>
        <v>2.3978237295740668</v>
      </c>
      <c r="L278" s="9">
        <f>'Model tests'!H22+'Model tests'!G22*G278</f>
        <v>3.0007491654530662</v>
      </c>
      <c r="M278" s="9">
        <f t="shared" si="67"/>
        <v>-7.4916545306624727E-4</v>
      </c>
      <c r="N278" s="9">
        <f>AVERAGE(H269:H277)+((SUM(K269:K277)-SUM(G269:G277)*SUM(H269:H277)/COUNT(G269:G277))/(SUM(I269:I277)-SUM(G269:G277)^2/COUNT(G269:G277)))*(G278-AVERAGE(G269:G277))</f>
        <v>1.7573448981738737</v>
      </c>
      <c r="O278" s="9">
        <f t="shared" si="68"/>
        <v>5</v>
      </c>
      <c r="P278" s="9">
        <f t="shared" si="69"/>
        <v>1.5441917020945002</v>
      </c>
      <c r="Q278" s="9">
        <f t="shared" si="70"/>
        <v>4</v>
      </c>
    </row>
    <row r="279" spans="1:17" ht="25" customHeight="1">
      <c r="A279" s="1"/>
      <c r="B279" s="1" t="s">
        <v>34</v>
      </c>
      <c r="C279" s="1" t="s">
        <v>81</v>
      </c>
      <c r="D279" s="1" t="s">
        <v>82</v>
      </c>
      <c r="E279" s="1" t="s">
        <v>83</v>
      </c>
      <c r="F279" s="1" t="s">
        <v>108</v>
      </c>
      <c r="G279" s="9">
        <f>'Quarterly market'!G33</f>
        <v>5.5874231845522981</v>
      </c>
      <c r="H279" s="9">
        <f>'PG history'!F76</f>
        <v>-2</v>
      </c>
      <c r="I279" s="9">
        <f t="shared" si="64"/>
        <v>31.219297843272546</v>
      </c>
      <c r="J279" s="9">
        <f t="shared" si="65"/>
        <v>4</v>
      </c>
      <c r="K279" s="9">
        <f t="shared" si="66"/>
        <v>-11.174846369104596</v>
      </c>
      <c r="L279" s="9">
        <f>'Model tests'!H22+'Model tests'!G22*G279</f>
        <v>3.5352774020261366</v>
      </c>
      <c r="M279" s="9">
        <f t="shared" si="67"/>
        <v>-5.5352774020261366</v>
      </c>
      <c r="N279" s="9">
        <f>AVERAGE(H269:H278)+((SUM(K269:K278)-SUM(G269:G278)*SUM(H269:H278)/COUNT(G269:G278))/(SUM(I269:I278)-SUM(G269:G278)^2/COUNT(G269:G278)))*(G279-AVERAGE(G269:G278))</f>
        <v>4.1038552092709626</v>
      </c>
      <c r="O279" s="9">
        <f t="shared" si="68"/>
        <v>3</v>
      </c>
      <c r="P279" s="9">
        <f t="shared" si="69"/>
        <v>37.257048415744265</v>
      </c>
      <c r="Q279" s="9">
        <f t="shared" si="70"/>
        <v>25</v>
      </c>
    </row>
    <row r="280" spans="1:17" ht="25" customHeight="1">
      <c r="A280" s="1"/>
      <c r="B280" s="1" t="s">
        <v>34</v>
      </c>
      <c r="C280" s="1" t="s">
        <v>81</v>
      </c>
      <c r="D280" s="1" t="s">
        <v>82</v>
      </c>
      <c r="E280" s="1" t="s">
        <v>83</v>
      </c>
      <c r="F280" s="1" t="s">
        <v>109</v>
      </c>
      <c r="G280" s="9">
        <f>'Quarterly market'!G34</f>
        <v>3.121328778759791</v>
      </c>
      <c r="H280" s="9">
        <f>'PG history'!F83</f>
        <v>2</v>
      </c>
      <c r="I280" s="9">
        <f t="shared" si="64"/>
        <v>9.7426933451140876</v>
      </c>
      <c r="J280" s="9">
        <f t="shared" si="65"/>
        <v>4</v>
      </c>
      <c r="K280" s="9">
        <f t="shared" si="66"/>
        <v>6.242657557519582</v>
      </c>
      <c r="L280" s="9">
        <f>'Model tests'!H22+'Model tests'!G22*G280</f>
        <v>3.2599732705417988</v>
      </c>
      <c r="M280" s="9">
        <f t="shared" si="67"/>
        <v>-1.2599732705417988</v>
      </c>
      <c r="N280" s="9">
        <f>AVERAGE(H269:H279)+((SUM(K269:K279)-SUM(G269:G279)*SUM(H269:H279)/COUNT(G269:G279))/(SUM(I269:I279)-SUM(G269:G279)^2/COUNT(G269:G279)))*(G280-AVERAGE(G269:G279))</f>
        <v>2.6079457253833671</v>
      </c>
      <c r="O280" s="9">
        <f t="shared" si="68"/>
        <v>1.25</v>
      </c>
      <c r="P280" s="9">
        <f t="shared" si="69"/>
        <v>0.36959800501190843</v>
      </c>
      <c r="Q280" s="9">
        <f t="shared" si="70"/>
        <v>0.5625</v>
      </c>
    </row>
    <row r="281" spans="1:17" ht="25" customHeight="1">
      <c r="A281" s="1"/>
      <c r="B281" s="1" t="s">
        <v>34</v>
      </c>
      <c r="C281" s="1" t="s">
        <v>81</v>
      </c>
      <c r="D281" s="1" t="s">
        <v>82</v>
      </c>
      <c r="E281" s="1" t="s">
        <v>83</v>
      </c>
      <c r="F281" s="1" t="s">
        <v>110</v>
      </c>
      <c r="G281" s="9">
        <f>'Quarterly market'!G35</f>
        <v>8.0211908670347665</v>
      </c>
      <c r="H281" s="9">
        <f>'PG history'!F90</f>
        <v>2</v>
      </c>
      <c r="I281" s="9">
        <f t="shared" si="64"/>
        <v>64.339502925401945</v>
      </c>
      <c r="J281" s="9">
        <f t="shared" si="65"/>
        <v>4</v>
      </c>
      <c r="K281" s="9">
        <f t="shared" si="66"/>
        <v>16.042381734069533</v>
      </c>
      <c r="L281" s="9">
        <f>'Model tests'!H22+'Model tests'!G22*G281</f>
        <v>3.8069727176988413</v>
      </c>
      <c r="M281" s="9">
        <f t="shared" si="67"/>
        <v>-1.8069727176988413</v>
      </c>
      <c r="N281" s="9">
        <f>AVERAGE(H269:H280)+((SUM(K269:K280)-SUM(G269:G280)*SUM(H269:H280)/COUNT(G269:G280))/(SUM(I269:I280)-SUM(G269:G280)^2/COUNT(G269:G280)))*(G281-AVERAGE(G269:G280))</f>
        <v>4.4602661369791381</v>
      </c>
      <c r="O281" s="9">
        <f t="shared" si="68"/>
        <v>1.5</v>
      </c>
      <c r="P281" s="9">
        <f t="shared" si="69"/>
        <v>6.0529094647662509</v>
      </c>
      <c r="Q281" s="9">
        <f t="shared" si="70"/>
        <v>0.25</v>
      </c>
    </row>
    <row r="282" spans="1:17" ht="25" customHeight="1">
      <c r="A282" s="1"/>
      <c r="B282" s="1" t="s">
        <v>34</v>
      </c>
      <c r="C282" s="1" t="s">
        <v>81</v>
      </c>
      <c r="D282" s="1" t="s">
        <v>82</v>
      </c>
      <c r="E282" s="1" t="s">
        <v>83</v>
      </c>
      <c r="F282" s="1" t="s">
        <v>111</v>
      </c>
      <c r="G282" s="9">
        <f>'Quarterly market'!G36</f>
        <v>9.2666957255603819</v>
      </c>
      <c r="H282" s="9">
        <f>'PG history'!F97</f>
        <v>1</v>
      </c>
      <c r="I282" s="9">
        <f t="shared" si="64"/>
        <v>85.871649670119055</v>
      </c>
      <c r="J282" s="9">
        <f t="shared" si="65"/>
        <v>1</v>
      </c>
      <c r="K282" s="9">
        <f t="shared" si="66"/>
        <v>9.2666957255603819</v>
      </c>
      <c r="L282" s="9">
        <f>'Model tests'!H22+'Model tests'!G22*G282</f>
        <v>3.9460155023264338</v>
      </c>
      <c r="M282" s="9">
        <f t="shared" si="67"/>
        <v>-2.9460155023264338</v>
      </c>
      <c r="N282" s="9">
        <f>AVERAGE(H269:H281)+((SUM(K269:K281)-SUM(G269:G281)*SUM(H269:H281)/COUNT(G269:G281))/(SUM(I269:I281)-SUM(G269:G281)^2/COUNT(G269:G281)))*(G282-AVERAGE(G269:G281))</f>
        <v>4.489853011959184</v>
      </c>
      <c r="O282" s="9">
        <f t="shared" si="68"/>
        <v>1.25</v>
      </c>
      <c r="P282" s="9">
        <f t="shared" si="69"/>
        <v>12.179074045080588</v>
      </c>
      <c r="Q282" s="9">
        <f t="shared" si="70"/>
        <v>6.25E-2</v>
      </c>
    </row>
    <row r="283" spans="1:17" ht="25" customHeight="1">
      <c r="A283" s="1"/>
      <c r="B283" s="1" t="s">
        <v>34</v>
      </c>
      <c r="C283" s="1" t="s">
        <v>81</v>
      </c>
      <c r="D283" s="1" t="s">
        <v>82</v>
      </c>
      <c r="E283" s="1" t="s">
        <v>83</v>
      </c>
      <c r="F283" s="1" t="s">
        <v>112</v>
      </c>
      <c r="G283" s="9">
        <f>'Quarterly market'!G37</f>
        <v>6.4839354424026885</v>
      </c>
      <c r="H283" s="9">
        <f>'PG history'!F104</f>
        <v>6</v>
      </c>
      <c r="I283" s="9">
        <f t="shared" si="64"/>
        <v>42.041418821245749</v>
      </c>
      <c r="J283" s="9">
        <f t="shared" si="65"/>
        <v>36</v>
      </c>
      <c r="K283" s="9">
        <f t="shared" si="66"/>
        <v>38.903612654416129</v>
      </c>
      <c r="L283" s="9">
        <f>'Model tests'!H22+'Model tests'!G22*G283</f>
        <v>3.6353601595770377</v>
      </c>
      <c r="M283" s="9">
        <f t="shared" si="67"/>
        <v>2.3646398404229623</v>
      </c>
      <c r="N283" s="9">
        <f>AVERAGE(H269:H282)+((SUM(K269:K282)-SUM(G269:G282)*SUM(H269:H282)/COUNT(G269:G282))/(SUM(I269:I282)-SUM(G269:G282)^2/COUNT(G269:G282)))*(G283-AVERAGE(G269:G282))</f>
        <v>3.2409304781075643</v>
      </c>
      <c r="O283" s="9">
        <f t="shared" si="68"/>
        <v>0.75</v>
      </c>
      <c r="P283" s="9">
        <f t="shared" si="69"/>
        <v>7.6124646266357541</v>
      </c>
      <c r="Q283" s="9">
        <f t="shared" si="70"/>
        <v>27.5625</v>
      </c>
    </row>
    <row r="284" spans="1:17" ht="25" customHeight="1">
      <c r="A284" s="1"/>
      <c r="B284" s="1" t="s">
        <v>34</v>
      </c>
      <c r="C284" s="1" t="s">
        <v>81</v>
      </c>
      <c r="D284" s="1" t="s">
        <v>82</v>
      </c>
      <c r="E284" s="1" t="s">
        <v>83</v>
      </c>
      <c r="F284" s="1" t="s">
        <v>113</v>
      </c>
      <c r="G284" s="9">
        <f>'Quarterly market'!G38</f>
        <v>5.8582795849691616</v>
      </c>
      <c r="H284" s="9">
        <f>'PG history'!F111</f>
        <v>4</v>
      </c>
      <c r="I284" s="9">
        <f t="shared" si="64"/>
        <v>34.319439695666453</v>
      </c>
      <c r="J284" s="9">
        <f t="shared" si="65"/>
        <v>16</v>
      </c>
      <c r="K284" s="9">
        <f t="shared" si="66"/>
        <v>23.433118339876646</v>
      </c>
      <c r="L284" s="9">
        <f>'Model tests'!H22+'Model tests'!G22*G284</f>
        <v>3.5655146410785385</v>
      </c>
      <c r="M284" s="9">
        <f t="shared" si="67"/>
        <v>0.43448535892146145</v>
      </c>
      <c r="N284" s="9">
        <f>AVERAGE(H269:H283)+((SUM(K269:K283)-SUM(G269:G283)*SUM(H269:H283)/COUNT(G269:G283))/(SUM(I269:I283)-SUM(G269:G283)^2/COUNT(G269:G283)))*(G284-AVERAGE(G269:G283))</f>
        <v>3.2987352165559924</v>
      </c>
      <c r="O284" s="9">
        <f t="shared" si="68"/>
        <v>2.75</v>
      </c>
      <c r="P284" s="9">
        <f t="shared" si="69"/>
        <v>0.4917722964987708</v>
      </c>
      <c r="Q284" s="9">
        <f t="shared" si="70"/>
        <v>1.5625</v>
      </c>
    </row>
    <row r="285" spans="1:17" ht="25" customHeight="1">
      <c r="A285" s="1"/>
      <c r="B285" s="1" t="s">
        <v>34</v>
      </c>
      <c r="C285" s="1" t="s">
        <v>81</v>
      </c>
      <c r="D285" s="1" t="s">
        <v>82</v>
      </c>
      <c r="E285" s="1" t="s">
        <v>83</v>
      </c>
      <c r="F285" s="1" t="s">
        <v>114</v>
      </c>
      <c r="G285" s="9">
        <f>'Quarterly market'!G39</f>
        <v>2.4901568004420893</v>
      </c>
      <c r="H285" s="9">
        <f>'PG history'!F118</f>
        <v>7</v>
      </c>
      <c r="I285" s="9">
        <f t="shared" si="64"/>
        <v>6.2008808907879835</v>
      </c>
      <c r="J285" s="9">
        <f t="shared" si="65"/>
        <v>49</v>
      </c>
      <c r="K285" s="9">
        <f t="shared" si="66"/>
        <v>17.431097603094624</v>
      </c>
      <c r="L285" s="9">
        <f>'Model tests'!H22+'Model tests'!G22*G285</f>
        <v>3.1895119561250196</v>
      </c>
      <c r="M285" s="9">
        <f t="shared" si="67"/>
        <v>3.8104880438749804</v>
      </c>
      <c r="N285" s="9">
        <f>AVERAGE(H269:H284)+((SUM(K269:K284)-SUM(G269:G284)*SUM(H269:H284)/COUNT(G269:G284))/(SUM(I269:I284)-SUM(G269:G284)^2/COUNT(G269:G284)))*(G285-AVERAGE(G269:G284))</f>
        <v>2.5789841971556493</v>
      </c>
      <c r="O285" s="9">
        <f t="shared" si="68"/>
        <v>3.25</v>
      </c>
      <c r="P285" s="9">
        <f t="shared" si="69"/>
        <v>19.545380728999479</v>
      </c>
      <c r="Q285" s="9">
        <f t="shared" si="70"/>
        <v>14.0625</v>
      </c>
    </row>
    <row r="286" spans="1:17" ht="25" customHeight="1">
      <c r="A286" s="1"/>
      <c r="B286" s="1" t="s">
        <v>45</v>
      </c>
      <c r="C286" s="1" t="s">
        <v>81</v>
      </c>
      <c r="D286" s="1" t="s">
        <v>82</v>
      </c>
      <c r="E286" s="1" t="s">
        <v>83</v>
      </c>
      <c r="F286" s="1" t="s">
        <v>98</v>
      </c>
      <c r="G286" s="9">
        <f>'Quarterly market'!G23</f>
        <v>6.658436933295464</v>
      </c>
      <c r="H286" s="9">
        <f>'PG history'!F8</f>
        <v>16</v>
      </c>
      <c r="I286" s="9">
        <f t="shared" si="64"/>
        <v>44.334782394673105</v>
      </c>
      <c r="J286" s="9">
        <f t="shared" si="65"/>
        <v>256</v>
      </c>
      <c r="K286" s="9">
        <f t="shared" si="66"/>
        <v>106.53499093272742</v>
      </c>
      <c r="L286" s="9">
        <f>'Model tests'!H23+'Model tests'!G23*G286</f>
        <v>5.4645744452660114</v>
      </c>
      <c r="M286" s="9">
        <f t="shared" si="67"/>
        <v>10.535425554733989</v>
      </c>
      <c r="N286" s="9"/>
      <c r="O286" s="9"/>
      <c r="P286" s="9"/>
      <c r="Q286" s="9"/>
    </row>
    <row r="287" spans="1:17" ht="25" customHeight="1">
      <c r="A287" s="1"/>
      <c r="B287" s="1" t="s">
        <v>45</v>
      </c>
      <c r="C287" s="1" t="s">
        <v>81</v>
      </c>
      <c r="D287" s="1" t="s">
        <v>82</v>
      </c>
      <c r="E287" s="1" t="s">
        <v>83</v>
      </c>
      <c r="F287" s="1" t="s">
        <v>99</v>
      </c>
      <c r="G287" s="9">
        <f>'Quarterly market'!G24</f>
        <v>3.235995481738696</v>
      </c>
      <c r="H287" s="9">
        <f>'PG history'!F15</f>
        <v>9</v>
      </c>
      <c r="I287" s="9">
        <f t="shared" si="64"/>
        <v>10.471666757833255</v>
      </c>
      <c r="J287" s="9">
        <f t="shared" si="65"/>
        <v>81</v>
      </c>
      <c r="K287" s="9">
        <f t="shared" si="66"/>
        <v>29.123959335648266</v>
      </c>
      <c r="L287" s="9">
        <f>'Model tests'!H23+'Model tests'!G23*G287</f>
        <v>5.3037118153472065</v>
      </c>
      <c r="M287" s="9">
        <f t="shared" si="67"/>
        <v>3.6962881846527935</v>
      </c>
      <c r="N287" s="9"/>
      <c r="O287" s="9"/>
      <c r="P287" s="9"/>
      <c r="Q287" s="9"/>
    </row>
    <row r="288" spans="1:17" ht="25" customHeight="1">
      <c r="A288" s="1"/>
      <c r="B288" s="1" t="s">
        <v>45</v>
      </c>
      <c r="C288" s="1" t="s">
        <v>81</v>
      </c>
      <c r="D288" s="1" t="s">
        <v>82</v>
      </c>
      <c r="E288" s="1" t="s">
        <v>83</v>
      </c>
      <c r="F288" s="1" t="s">
        <v>100</v>
      </c>
      <c r="G288" s="9">
        <f>'Quarterly market'!G25</f>
        <v>3.5533938473930382</v>
      </c>
      <c r="H288" s="9">
        <f>'PG history'!F22</f>
        <v>8</v>
      </c>
      <c r="I288" s="9">
        <f t="shared" si="64"/>
        <v>12.626607834690699</v>
      </c>
      <c r="J288" s="9">
        <f t="shared" si="65"/>
        <v>64</v>
      </c>
      <c r="K288" s="9">
        <f t="shared" si="66"/>
        <v>28.427150779144306</v>
      </c>
      <c r="L288" s="9">
        <f>'Model tests'!H23+'Model tests'!G23*G288</f>
        <v>5.3186302694840517</v>
      </c>
      <c r="M288" s="9">
        <f t="shared" si="67"/>
        <v>2.6813697305159483</v>
      </c>
      <c r="N288" s="9"/>
      <c r="O288" s="9"/>
      <c r="P288" s="9"/>
      <c r="Q288" s="9"/>
    </row>
    <row r="289" spans="1:17" ht="25" customHeight="1">
      <c r="A289" s="1"/>
      <c r="B289" s="1" t="s">
        <v>45</v>
      </c>
      <c r="C289" s="1" t="s">
        <v>81</v>
      </c>
      <c r="D289" s="1" t="s">
        <v>82</v>
      </c>
      <c r="E289" s="1" t="s">
        <v>83</v>
      </c>
      <c r="F289" s="1" t="s">
        <v>101</v>
      </c>
      <c r="G289" s="9">
        <f>'Quarterly market'!G26</f>
        <v>3.8028851607049052</v>
      </c>
      <c r="H289" s="9">
        <f>'PG history'!F29</f>
        <v>8</v>
      </c>
      <c r="I289" s="9">
        <f t="shared" si="64"/>
        <v>14.461935545509572</v>
      </c>
      <c r="J289" s="9">
        <f t="shared" si="65"/>
        <v>64</v>
      </c>
      <c r="K289" s="9">
        <f t="shared" si="66"/>
        <v>30.423081285639242</v>
      </c>
      <c r="L289" s="9">
        <f>'Model tests'!H23+'Model tests'!G23*G289</f>
        <v>5.3303569357745699</v>
      </c>
      <c r="M289" s="9">
        <f t="shared" si="67"/>
        <v>2.6696430642254301</v>
      </c>
      <c r="N289" s="9"/>
      <c r="O289" s="9"/>
      <c r="P289" s="9"/>
      <c r="Q289" s="9"/>
    </row>
    <row r="290" spans="1:17" ht="25" customHeight="1">
      <c r="A290" s="1"/>
      <c r="B290" s="1" t="s">
        <v>45</v>
      </c>
      <c r="C290" s="1" t="s">
        <v>81</v>
      </c>
      <c r="D290" s="1" t="s">
        <v>82</v>
      </c>
      <c r="E290" s="1" t="s">
        <v>83</v>
      </c>
      <c r="F290" s="1" t="s">
        <v>102</v>
      </c>
      <c r="G290" s="9">
        <f>'Quarterly market'!G27</f>
        <v>7.4226951952720999</v>
      </c>
      <c r="H290" s="9">
        <f>'PG history'!F36</f>
        <v>9</v>
      </c>
      <c r="I290" s="9">
        <f t="shared" si="64"/>
        <v>55.09640396191552</v>
      </c>
      <c r="J290" s="9">
        <f t="shared" si="65"/>
        <v>81</v>
      </c>
      <c r="K290" s="9">
        <f t="shared" si="66"/>
        <v>66.804256757448897</v>
      </c>
      <c r="L290" s="9">
        <f>'Model tests'!H23+'Model tests'!G23*G290</f>
        <v>5.5004963436239258</v>
      </c>
      <c r="M290" s="9">
        <f t="shared" si="67"/>
        <v>3.4995036563760742</v>
      </c>
      <c r="N290" s="9"/>
      <c r="O290" s="9"/>
      <c r="P290" s="9"/>
      <c r="Q290" s="9"/>
    </row>
    <row r="291" spans="1:17" ht="25" customHeight="1">
      <c r="A291" s="1"/>
      <c r="B291" s="1" t="s">
        <v>45</v>
      </c>
      <c r="C291" s="1" t="s">
        <v>81</v>
      </c>
      <c r="D291" s="1" t="s">
        <v>82</v>
      </c>
      <c r="E291" s="1" t="s">
        <v>83</v>
      </c>
      <c r="F291" s="1" t="s">
        <v>103</v>
      </c>
      <c r="G291" s="9">
        <f>'Quarterly market'!G28</f>
        <v>8.3743642737017066</v>
      </c>
      <c r="H291" s="9">
        <f>'PG history'!F43</f>
        <v>5</v>
      </c>
      <c r="I291" s="9">
        <f t="shared" si="64"/>
        <v>70.129976988651507</v>
      </c>
      <c r="J291" s="9">
        <f t="shared" si="65"/>
        <v>25</v>
      </c>
      <c r="K291" s="9">
        <f t="shared" si="66"/>
        <v>41.871821368508535</v>
      </c>
      <c r="L291" s="9">
        <f>'Model tests'!H23+'Model tests'!G23*G291</f>
        <v>5.5452269819519993</v>
      </c>
      <c r="M291" s="9">
        <f t="shared" si="67"/>
        <v>-0.54522698195199926</v>
      </c>
      <c r="N291" s="9"/>
      <c r="O291" s="9"/>
      <c r="P291" s="9"/>
      <c r="Q291" s="9"/>
    </row>
    <row r="292" spans="1:17" ht="25" customHeight="1">
      <c r="A292" s="1"/>
      <c r="B292" s="1" t="s">
        <v>45</v>
      </c>
      <c r="C292" s="1" t="s">
        <v>81</v>
      </c>
      <c r="D292" s="1" t="s">
        <v>82</v>
      </c>
      <c r="E292" s="1" t="s">
        <v>83</v>
      </c>
      <c r="F292" s="1" t="s">
        <v>104</v>
      </c>
      <c r="G292" s="9">
        <f>'Quarterly market'!G29</f>
        <v>7.2648038453100305</v>
      </c>
      <c r="H292" s="9">
        <f>'PG history'!F50</f>
        <v>10</v>
      </c>
      <c r="I292" s="9">
        <f t="shared" si="64"/>
        <v>52.777374910831405</v>
      </c>
      <c r="J292" s="9">
        <f t="shared" si="65"/>
        <v>100</v>
      </c>
      <c r="K292" s="9">
        <f t="shared" si="66"/>
        <v>72.648038453100298</v>
      </c>
      <c r="L292" s="9">
        <f>'Model tests'!H23+'Model tests'!G23*G292</f>
        <v>5.493075086560558</v>
      </c>
      <c r="M292" s="9">
        <f t="shared" si="67"/>
        <v>4.506924913439442</v>
      </c>
      <c r="N292" s="9"/>
      <c r="O292" s="9"/>
      <c r="P292" s="9"/>
      <c r="Q292" s="9"/>
    </row>
    <row r="293" spans="1:17" ht="25" customHeight="1">
      <c r="A293" s="1"/>
      <c r="B293" s="1" t="s">
        <v>45</v>
      </c>
      <c r="C293" s="1" t="s">
        <v>81</v>
      </c>
      <c r="D293" s="1" t="s">
        <v>82</v>
      </c>
      <c r="E293" s="1" t="s">
        <v>83</v>
      </c>
      <c r="F293" s="1" t="s">
        <v>105</v>
      </c>
      <c r="G293" s="9">
        <f>'Quarterly market'!G30</f>
        <v>9.9248015735047268</v>
      </c>
      <c r="H293" s="9">
        <f>'PG history'!F57</f>
        <v>2</v>
      </c>
      <c r="I293" s="9">
        <f t="shared" si="64"/>
        <v>98.501686273441905</v>
      </c>
      <c r="J293" s="9">
        <f t="shared" si="65"/>
        <v>4</v>
      </c>
      <c r="K293" s="9">
        <f t="shared" si="66"/>
        <v>19.849603147009454</v>
      </c>
      <c r="L293" s="9">
        <f>'Model tests'!H23+'Model tests'!G23*G293</f>
        <v>5.6181011056151151</v>
      </c>
      <c r="M293" s="9">
        <f t="shared" si="67"/>
        <v>-3.6181011056151151</v>
      </c>
      <c r="N293" s="9"/>
      <c r="O293" s="9"/>
      <c r="P293" s="9"/>
      <c r="Q293" s="9"/>
    </row>
    <row r="294" spans="1:17" ht="25" customHeight="1">
      <c r="A294" s="1"/>
      <c r="B294" s="1" t="s">
        <v>45</v>
      </c>
      <c r="C294" s="1" t="s">
        <v>81</v>
      </c>
      <c r="D294" s="1" t="s">
        <v>82</v>
      </c>
      <c r="E294" s="1" t="s">
        <v>83</v>
      </c>
      <c r="F294" s="1" t="s">
        <v>106</v>
      </c>
      <c r="G294" s="9">
        <f>'Quarterly market'!G31</f>
        <v>2.2273073989321102</v>
      </c>
      <c r="H294" s="9">
        <f>'PG history'!F64</f>
        <v>2</v>
      </c>
      <c r="I294" s="9">
        <f t="shared" si="64"/>
        <v>4.9608982493377223</v>
      </c>
      <c r="J294" s="9">
        <f t="shared" si="65"/>
        <v>4</v>
      </c>
      <c r="K294" s="9">
        <f t="shared" si="66"/>
        <v>4.4546147978642203</v>
      </c>
      <c r="L294" s="9">
        <f>'Model tests'!H23+'Model tests'!G23*G294</f>
        <v>5.2563011525017638</v>
      </c>
      <c r="M294" s="9">
        <f t="shared" si="67"/>
        <v>-3.2563011525017638</v>
      </c>
      <c r="N294" s="9">
        <f>AVERAGE(H286:H293)+((SUM(K286:K293)-SUM(G286:G293)*SUM(H286:H293)/COUNT(G286:G293))/(SUM(I286:I293)-SUM(G286:G293)^2/COUNT(G286:G293)))*(G294-AVERAGE(G286:G293))</f>
        <v>10.740281126541044</v>
      </c>
      <c r="O294" s="9">
        <f t="shared" ref="O294:O302" si="71">AVERAGE(H290:H293)</f>
        <v>6.5</v>
      </c>
      <c r="P294" s="9">
        <f t="shared" ref="P294:P302" si="72">(H294-N294)^2</f>
        <v>76.392514170969577</v>
      </c>
      <c r="Q294" s="9">
        <f t="shared" ref="Q294:Q302" si="73">(H294-O294)^2</f>
        <v>20.25</v>
      </c>
    </row>
    <row r="295" spans="1:17" ht="25" customHeight="1">
      <c r="A295" s="1"/>
      <c r="B295" s="1" t="s">
        <v>45</v>
      </c>
      <c r="C295" s="1" t="s">
        <v>81</v>
      </c>
      <c r="D295" s="1" t="s">
        <v>82</v>
      </c>
      <c r="E295" s="1" t="s">
        <v>83</v>
      </c>
      <c r="F295" s="1" t="s">
        <v>107</v>
      </c>
      <c r="G295" s="9">
        <f>'Quarterly market'!G32</f>
        <v>0.79927457652468892</v>
      </c>
      <c r="H295" s="9">
        <f>'PG history'!F71</f>
        <v>4</v>
      </c>
      <c r="I295" s="9">
        <f t="shared" si="64"/>
        <v>0.63883984867872079</v>
      </c>
      <c r="J295" s="9">
        <f t="shared" si="65"/>
        <v>16</v>
      </c>
      <c r="K295" s="9">
        <f t="shared" si="66"/>
        <v>3.1970983060987557</v>
      </c>
      <c r="L295" s="9">
        <f>'Model tests'!H23+'Model tests'!G23*G295</f>
        <v>5.1891803211670631</v>
      </c>
      <c r="M295" s="9">
        <f t="shared" si="67"/>
        <v>-1.1891803211670631</v>
      </c>
      <c r="N295" s="9">
        <f>AVERAGE(H286:H294)+((SUM(K286:K294)-SUM(G286:G294)*SUM(H286:H294)/COUNT(G286:G294))/(SUM(I286:I294)-SUM(G286:G294)^2/COUNT(G286:G294)))*(G295-AVERAGE(G286:G294))</f>
        <v>7.8495781685545669</v>
      </c>
      <c r="O295" s="9">
        <f t="shared" si="71"/>
        <v>4.75</v>
      </c>
      <c r="P295" s="9">
        <f t="shared" si="72"/>
        <v>14.819252075811933</v>
      </c>
      <c r="Q295" s="9">
        <f t="shared" si="73"/>
        <v>0.5625</v>
      </c>
    </row>
    <row r="296" spans="1:17" ht="25" customHeight="1">
      <c r="A296" s="1"/>
      <c r="B296" s="1" t="s">
        <v>45</v>
      </c>
      <c r="C296" s="1" t="s">
        <v>81</v>
      </c>
      <c r="D296" s="1" t="s">
        <v>82</v>
      </c>
      <c r="E296" s="1" t="s">
        <v>83</v>
      </c>
      <c r="F296" s="1" t="s">
        <v>108</v>
      </c>
      <c r="G296" s="9">
        <f>'Quarterly market'!G33</f>
        <v>5.5874231845522981</v>
      </c>
      <c r="H296" s="9">
        <f>'PG history'!F78</f>
        <v>4</v>
      </c>
      <c r="I296" s="9">
        <f t="shared" si="64"/>
        <v>31.219297843272546</v>
      </c>
      <c r="J296" s="9">
        <f t="shared" si="65"/>
        <v>16</v>
      </c>
      <c r="K296" s="9">
        <f t="shared" si="66"/>
        <v>22.349692738209193</v>
      </c>
      <c r="L296" s="9">
        <f>'Model tests'!H23+'Model tests'!G23*G296</f>
        <v>5.414234332588947</v>
      </c>
      <c r="M296" s="9">
        <f t="shared" si="67"/>
        <v>-1.414234332588947</v>
      </c>
      <c r="N296" s="9">
        <f>AVERAGE(H286:H295)+((SUM(K286:K295)-SUM(G286:G295)*SUM(H286:H295)/COUNT(G286:G295))/(SUM(I286:I295)-SUM(G286:G295)^2/COUNT(G286:G295)))*(G296-AVERAGE(G286:G295))</f>
        <v>7.3471623392776184</v>
      </c>
      <c r="O296" s="9">
        <f t="shared" si="71"/>
        <v>4.5</v>
      </c>
      <c r="P296" s="9">
        <f t="shared" si="72"/>
        <v>11.203495725478419</v>
      </c>
      <c r="Q296" s="9">
        <f t="shared" si="73"/>
        <v>0.25</v>
      </c>
    </row>
    <row r="297" spans="1:17" ht="25" customHeight="1">
      <c r="A297" s="1"/>
      <c r="B297" s="1" t="s">
        <v>45</v>
      </c>
      <c r="C297" s="1" t="s">
        <v>81</v>
      </c>
      <c r="D297" s="1" t="s">
        <v>82</v>
      </c>
      <c r="E297" s="1" t="s">
        <v>83</v>
      </c>
      <c r="F297" s="1" t="s">
        <v>109</v>
      </c>
      <c r="G297" s="9">
        <f>'Quarterly market'!G34</f>
        <v>3.121328778759791</v>
      </c>
      <c r="H297" s="9">
        <f>'PG history'!F85</f>
        <v>3</v>
      </c>
      <c r="I297" s="9">
        <f t="shared" si="64"/>
        <v>9.7426933451140876</v>
      </c>
      <c r="J297" s="9">
        <f t="shared" si="65"/>
        <v>9</v>
      </c>
      <c r="K297" s="9">
        <f t="shared" si="66"/>
        <v>9.3639863362793729</v>
      </c>
      <c r="L297" s="9">
        <f>'Model tests'!H23+'Model tests'!G23*G297</f>
        <v>5.2983222162360475</v>
      </c>
      <c r="M297" s="9">
        <f t="shared" si="67"/>
        <v>-2.2983222162360475</v>
      </c>
      <c r="N297" s="9">
        <f>AVERAGE(H286:H296)+((SUM(K286:K296)-SUM(G286:G296)*SUM(H286:H296)/COUNT(G286:G296))/(SUM(I286:I296)-SUM(G286:G296)^2/COUNT(G286:G296)))*(G297-AVERAGE(G286:G296))</f>
        <v>6.6193317735269792</v>
      </c>
      <c r="O297" s="9">
        <f t="shared" si="71"/>
        <v>3</v>
      </c>
      <c r="P297" s="9">
        <f t="shared" si="72"/>
        <v>13.099562486861949</v>
      </c>
      <c r="Q297" s="9">
        <f t="shared" si="73"/>
        <v>0</v>
      </c>
    </row>
    <row r="298" spans="1:17" ht="25" customHeight="1">
      <c r="A298" s="1"/>
      <c r="B298" s="1" t="s">
        <v>45</v>
      </c>
      <c r="C298" s="1" t="s">
        <v>81</v>
      </c>
      <c r="D298" s="1" t="s">
        <v>82</v>
      </c>
      <c r="E298" s="1" t="s">
        <v>83</v>
      </c>
      <c r="F298" s="1" t="s">
        <v>110</v>
      </c>
      <c r="G298" s="9">
        <f>'Quarterly market'!G35</f>
        <v>8.0211908670347665</v>
      </c>
      <c r="H298" s="9">
        <f>'PG history'!F92</f>
        <v>4</v>
      </c>
      <c r="I298" s="9">
        <f t="shared" si="64"/>
        <v>64.339502925401945</v>
      </c>
      <c r="J298" s="9">
        <f t="shared" si="65"/>
        <v>16</v>
      </c>
      <c r="K298" s="9">
        <f t="shared" si="66"/>
        <v>32.084763468139066</v>
      </c>
      <c r="L298" s="9">
        <f>'Model tests'!H23+'Model tests'!G23*G298</f>
        <v>5.5286270184995967</v>
      </c>
      <c r="M298" s="9">
        <f t="shared" si="67"/>
        <v>-1.5286270184995967</v>
      </c>
      <c r="N298" s="9">
        <f>AVERAGE(H286:H297)+((SUM(K286:K297)-SUM(G286:G297)*SUM(H286:H297)/COUNT(G286:G297))/(SUM(I286:I297)-SUM(G286:G297)^2/COUNT(G286:G297)))*(G298-AVERAGE(G286:G297))</f>
        <v>7.4033813603137064</v>
      </c>
      <c r="O298" s="9">
        <f t="shared" si="71"/>
        <v>3.25</v>
      </c>
      <c r="P298" s="9">
        <f t="shared" si="72"/>
        <v>11.583004683730774</v>
      </c>
      <c r="Q298" s="9">
        <f t="shared" si="73"/>
        <v>0.5625</v>
      </c>
    </row>
    <row r="299" spans="1:17" ht="25" customHeight="1">
      <c r="A299" s="1"/>
      <c r="B299" s="1" t="s">
        <v>45</v>
      </c>
      <c r="C299" s="1" t="s">
        <v>81</v>
      </c>
      <c r="D299" s="1" t="s">
        <v>82</v>
      </c>
      <c r="E299" s="1" t="s">
        <v>83</v>
      </c>
      <c r="F299" s="1" t="s">
        <v>111</v>
      </c>
      <c r="G299" s="9">
        <f>'Quarterly market'!G36</f>
        <v>9.2666957255603819</v>
      </c>
      <c r="H299" s="9">
        <f>'PG history'!F99</f>
        <v>2</v>
      </c>
      <c r="I299" s="9">
        <f t="shared" si="64"/>
        <v>85.871649670119055</v>
      </c>
      <c r="J299" s="9">
        <f t="shared" si="65"/>
        <v>4</v>
      </c>
      <c r="K299" s="9">
        <f t="shared" si="66"/>
        <v>18.533391451120764</v>
      </c>
      <c r="L299" s="9">
        <f>'Model tests'!H23+'Model tests'!G23*G299</f>
        <v>5.5871686151799267</v>
      </c>
      <c r="M299" s="9">
        <f t="shared" si="67"/>
        <v>-3.5871686151799267</v>
      </c>
      <c r="N299" s="9">
        <f>AVERAGE(H286:H298)+((SUM(K286:K298)-SUM(G286:G298)*SUM(H286:H298)/COUNT(G286:G298))/(SUM(I286:I298)-SUM(G286:G298)^2/COUNT(G286:G298)))*(G299-AVERAGE(G286:G298))</f>
        <v>7.0858413048309563</v>
      </c>
      <c r="O299" s="9">
        <f t="shared" si="71"/>
        <v>3.75</v>
      </c>
      <c r="P299" s="9">
        <f t="shared" si="72"/>
        <v>25.865781777924646</v>
      </c>
      <c r="Q299" s="9">
        <f t="shared" si="73"/>
        <v>3.0625</v>
      </c>
    </row>
    <row r="300" spans="1:17" ht="25" customHeight="1">
      <c r="A300" s="1"/>
      <c r="B300" s="1" t="s">
        <v>45</v>
      </c>
      <c r="C300" s="1" t="s">
        <v>81</v>
      </c>
      <c r="D300" s="1" t="s">
        <v>82</v>
      </c>
      <c r="E300" s="1" t="s">
        <v>83</v>
      </c>
      <c r="F300" s="1" t="s">
        <v>112</v>
      </c>
      <c r="G300" s="9">
        <f>'Quarterly market'!G37</f>
        <v>6.4839354424026885</v>
      </c>
      <c r="H300" s="9">
        <f>'PG history'!F106</f>
        <v>1</v>
      </c>
      <c r="I300" s="9">
        <f t="shared" si="64"/>
        <v>42.041418821245749</v>
      </c>
      <c r="J300" s="9">
        <f t="shared" si="65"/>
        <v>1</v>
      </c>
      <c r="K300" s="9">
        <f t="shared" si="66"/>
        <v>6.4839354424026885</v>
      </c>
      <c r="L300" s="9">
        <f>'Model tests'!H23+'Model tests'!G23*G300</f>
        <v>5.4563724733266534</v>
      </c>
      <c r="M300" s="9">
        <f t="shared" si="67"/>
        <v>-4.4563724733266534</v>
      </c>
      <c r="N300" s="9">
        <f>AVERAGE(H286:H299)+((SUM(K286:K299)-SUM(G286:G299)*SUM(H286:H299)/COUNT(G286:G299))/(SUM(I286:I299)-SUM(G286:G299)^2/COUNT(G286:G299)))*(G300-AVERAGE(G286:G299))</f>
        <v>6.1334297549001784</v>
      </c>
      <c r="O300" s="9">
        <f t="shared" si="71"/>
        <v>3.25</v>
      </c>
      <c r="P300" s="9">
        <f t="shared" si="72"/>
        <v>26.352101048494507</v>
      </c>
      <c r="Q300" s="9">
        <f t="shared" si="73"/>
        <v>5.0625</v>
      </c>
    </row>
    <row r="301" spans="1:17" ht="25" customHeight="1">
      <c r="A301" s="1"/>
      <c r="B301" s="1" t="s">
        <v>45</v>
      </c>
      <c r="C301" s="1" t="s">
        <v>81</v>
      </c>
      <c r="D301" s="1" t="s">
        <v>82</v>
      </c>
      <c r="E301" s="1" t="s">
        <v>83</v>
      </c>
      <c r="F301" s="1" t="s">
        <v>113</v>
      </c>
      <c r="G301" s="9">
        <f>'Quarterly market'!G38</f>
        <v>5.8582795849691616</v>
      </c>
      <c r="H301" s="9">
        <f>'PG history'!F113</f>
        <v>3</v>
      </c>
      <c r="I301" s="9">
        <f t="shared" si="64"/>
        <v>34.319439695666453</v>
      </c>
      <c r="J301" s="9">
        <f t="shared" si="65"/>
        <v>9</v>
      </c>
      <c r="K301" s="9">
        <f t="shared" si="66"/>
        <v>17.574838754907486</v>
      </c>
      <c r="L301" s="9">
        <f>'Model tests'!H23+'Model tests'!G23*G301</f>
        <v>5.4269652071760275</v>
      </c>
      <c r="M301" s="9">
        <f t="shared" si="67"/>
        <v>-2.4269652071760275</v>
      </c>
      <c r="N301" s="9">
        <f>AVERAGE(H286:H300)+((SUM(K286:K300)-SUM(G286:G300)*SUM(H286:H300)/COUNT(G286:G300))/(SUM(I286:I300)-SUM(G286:G300)^2/COUNT(G286:G300)))*(G301-AVERAGE(G286:G300))</f>
        <v>5.7931474321612333</v>
      </c>
      <c r="O301" s="9">
        <f t="shared" si="71"/>
        <v>2.5</v>
      </c>
      <c r="P301" s="9">
        <f t="shared" si="72"/>
        <v>7.8016725777888913</v>
      </c>
      <c r="Q301" s="9">
        <f t="shared" si="73"/>
        <v>0.25</v>
      </c>
    </row>
    <row r="302" spans="1:17" ht="25" customHeight="1">
      <c r="A302" s="1"/>
      <c r="B302" s="1" t="s">
        <v>45</v>
      </c>
      <c r="C302" s="1" t="s">
        <v>81</v>
      </c>
      <c r="D302" s="1" t="s">
        <v>82</v>
      </c>
      <c r="E302" s="1" t="s">
        <v>83</v>
      </c>
      <c r="F302" s="1" t="s">
        <v>114</v>
      </c>
      <c r="G302" s="9">
        <f>'Quarterly market'!G39</f>
        <v>2.4901568004420893</v>
      </c>
      <c r="H302" s="9">
        <f>'PG history'!F120</f>
        <v>2</v>
      </c>
      <c r="I302" s="9">
        <f t="shared" si="64"/>
        <v>6.2008808907879835</v>
      </c>
      <c r="J302" s="9">
        <f t="shared" si="65"/>
        <v>4</v>
      </c>
      <c r="K302" s="9">
        <f t="shared" si="66"/>
        <v>4.9803136008841786</v>
      </c>
      <c r="L302" s="9">
        <f>'Model tests'!H23+'Model tests'!G23*G302</f>
        <v>5.2686556797005411</v>
      </c>
      <c r="M302" s="9">
        <f t="shared" si="67"/>
        <v>-3.2686556797005411</v>
      </c>
      <c r="N302" s="9">
        <f>AVERAGE(H286:H301)+((SUM(K286:K301)-SUM(G286:G301)*SUM(H286:H301)/COUNT(G286:G301))/(SUM(I286:I301)-SUM(G286:G301)^2/COUNT(G286:G301)))*(G302-AVERAGE(G286:G301))</f>
        <v>5.792369441295417</v>
      </c>
      <c r="O302" s="9">
        <f t="shared" si="71"/>
        <v>2.5</v>
      </c>
      <c r="P302" s="9">
        <f t="shared" si="72"/>
        <v>14.382065979271314</v>
      </c>
      <c r="Q302" s="9">
        <f t="shared" si="73"/>
        <v>0.25</v>
      </c>
    </row>
    <row r="303" spans="1:17" ht="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</row>
    <row r="304" spans="1:17" ht="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</row>
  </sheetData>
  <phoneticPr fontId="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06"/>
  <sheetViews>
    <sheetView showGridLines="0" workbookViewId="0">
      <pane ySplit="5" topLeftCell="A6" activePane="bottomLeft" state="frozen"/>
      <selection pane="bottomLeft"/>
    </sheetView>
  </sheetViews>
  <sheetFormatPr baseColWidth="10" defaultColWidth="8.83203125" defaultRowHeight="14"/>
  <cols>
    <col min="1" max="1" width="3" customWidth="1"/>
    <col min="2" max="2" width="22" customWidth="1"/>
    <col min="3" max="4" width="19" customWidth="1"/>
    <col min="5" max="6" width="21" customWidth="1"/>
    <col min="7" max="7" width="20" customWidth="1"/>
    <col min="8" max="8" width="15" customWidth="1"/>
  </cols>
  <sheetData>
    <row r="1" spans="1:8" ht="25" customHeight="1">
      <c r="A1" s="1"/>
      <c r="B1" s="1"/>
      <c r="C1" s="1"/>
      <c r="D1" s="1"/>
      <c r="E1" s="1"/>
      <c r="F1" s="1"/>
      <c r="G1" s="1"/>
      <c r="H1" s="1"/>
    </row>
    <row r="2" spans="1:8" ht="25" customHeight="1">
      <c r="A2" s="1"/>
      <c r="B2" s="2" t="s">
        <v>115</v>
      </c>
      <c r="C2" s="1"/>
      <c r="D2" s="1"/>
      <c r="E2" s="1"/>
      <c r="F2" s="1"/>
      <c r="G2" s="1"/>
      <c r="H2" s="1"/>
    </row>
    <row r="3" spans="1:8" ht="25" customHeight="1">
      <c r="A3" s="1"/>
      <c r="B3" s="1"/>
      <c r="C3" s="1"/>
      <c r="D3" s="1"/>
      <c r="E3" s="1"/>
      <c r="F3" s="1"/>
      <c r="G3" s="1"/>
      <c r="H3" s="1"/>
    </row>
    <row r="4" spans="1:8" ht="25" customHeight="1">
      <c r="A4" s="1"/>
      <c r="B4" s="1"/>
      <c r="C4" s="1"/>
      <c r="D4" s="1"/>
      <c r="E4" s="1"/>
      <c r="F4" s="1"/>
      <c r="G4" s="1"/>
      <c r="H4" s="1"/>
    </row>
    <row r="5" spans="1:8" ht="44" customHeight="1">
      <c r="A5" s="1"/>
      <c r="B5" s="3" t="s">
        <v>116</v>
      </c>
      <c r="C5" s="3" t="s">
        <v>71</v>
      </c>
      <c r="D5" s="3" t="s">
        <v>86</v>
      </c>
      <c r="E5" s="3" t="s">
        <v>117</v>
      </c>
      <c r="F5" s="3" t="s">
        <v>118</v>
      </c>
      <c r="G5" s="3" t="s">
        <v>119</v>
      </c>
      <c r="H5" s="3" t="s">
        <v>120</v>
      </c>
    </row>
    <row r="6" spans="1:8" ht="25" customHeight="1">
      <c r="A6" s="1"/>
      <c r="B6" s="1" t="s">
        <v>82</v>
      </c>
      <c r="C6" s="1" t="s">
        <v>77</v>
      </c>
      <c r="D6" s="1" t="s">
        <v>98</v>
      </c>
      <c r="E6" s="8">
        <f>SUM('Monthly market'!E18,'Monthly market'!E19,'Monthly market'!E20)</f>
        <v>97633</v>
      </c>
      <c r="F6" s="8">
        <f>SUM('Monthly market'!E6,'Monthly market'!E7,'Monthly market'!E8)</f>
        <v>91538</v>
      </c>
      <c r="G6" s="4">
        <f t="shared" ref="G6:G37" si="0">(E6/F6-1)*100</f>
        <v>6.658436933295464</v>
      </c>
      <c r="H6" s="1">
        <v>3</v>
      </c>
    </row>
    <row r="7" spans="1:8" ht="25" customHeight="1">
      <c r="A7" s="1"/>
      <c r="B7" s="1" t="s">
        <v>82</v>
      </c>
      <c r="C7" s="1" t="s">
        <v>77</v>
      </c>
      <c r="D7" s="1" t="s">
        <v>99</v>
      </c>
      <c r="E7" s="8">
        <f>SUM('Monthly market'!E21,'Monthly market'!E22,'Monthly market'!E23)</f>
        <v>98706</v>
      </c>
      <c r="F7" s="8">
        <f>SUM('Monthly market'!E9,'Monthly market'!E10,'Monthly market'!E11)</f>
        <v>95612</v>
      </c>
      <c r="G7" s="4">
        <f t="shared" si="0"/>
        <v>3.235995481738696</v>
      </c>
      <c r="H7" s="1">
        <v>3</v>
      </c>
    </row>
    <row r="8" spans="1:8" ht="25" customHeight="1">
      <c r="A8" s="1"/>
      <c r="B8" s="1" t="s">
        <v>82</v>
      </c>
      <c r="C8" s="1" t="s">
        <v>77</v>
      </c>
      <c r="D8" s="1" t="s">
        <v>100</v>
      </c>
      <c r="E8" s="8">
        <f>SUM('Monthly market'!E24,'Monthly market'!E25,'Monthly market'!E26)</f>
        <v>100278</v>
      </c>
      <c r="F8" s="8">
        <f>SUM('Monthly market'!E12,'Monthly market'!E13,'Monthly market'!E14)</f>
        <v>96837</v>
      </c>
      <c r="G8" s="4">
        <f t="shared" si="0"/>
        <v>3.5533938473930382</v>
      </c>
      <c r="H8" s="1">
        <v>3</v>
      </c>
    </row>
    <row r="9" spans="1:8" ht="25" customHeight="1">
      <c r="A9" s="1"/>
      <c r="B9" s="1" t="s">
        <v>82</v>
      </c>
      <c r="C9" s="1" t="s">
        <v>77</v>
      </c>
      <c r="D9" s="1" t="s">
        <v>101</v>
      </c>
      <c r="E9" s="8">
        <f>SUM('Monthly market'!E27,'Monthly market'!E28,'Monthly market'!E29)</f>
        <v>100667</v>
      </c>
      <c r="F9" s="8">
        <f>SUM('Monthly market'!E15,'Monthly market'!E16,'Monthly market'!E17)</f>
        <v>96979</v>
      </c>
      <c r="G9" s="4">
        <f t="shared" si="0"/>
        <v>3.8028851607049052</v>
      </c>
      <c r="H9" s="1">
        <v>3</v>
      </c>
    </row>
    <row r="10" spans="1:8" ht="25" customHeight="1">
      <c r="A10" s="1"/>
      <c r="B10" s="1" t="s">
        <v>82</v>
      </c>
      <c r="C10" s="1" t="s">
        <v>77</v>
      </c>
      <c r="D10" s="1" t="s">
        <v>102</v>
      </c>
      <c r="E10" s="8">
        <f>SUM('Monthly market'!E30,'Monthly market'!E31,'Monthly market'!E32)</f>
        <v>104880</v>
      </c>
      <c r="F10" s="8">
        <f>SUM('Monthly market'!E18,'Monthly market'!E19,'Monthly market'!E20)</f>
        <v>97633</v>
      </c>
      <c r="G10" s="4">
        <f t="shared" si="0"/>
        <v>7.4226951952720999</v>
      </c>
      <c r="H10" s="1">
        <v>3</v>
      </c>
    </row>
    <row r="11" spans="1:8" ht="25" customHeight="1">
      <c r="A11" s="1"/>
      <c r="B11" s="1" t="s">
        <v>82</v>
      </c>
      <c r="C11" s="1" t="s">
        <v>77</v>
      </c>
      <c r="D11" s="1" t="s">
        <v>103</v>
      </c>
      <c r="E11" s="8">
        <f>SUM('Monthly market'!E33,'Monthly market'!E34,'Monthly market'!E35)</f>
        <v>106972</v>
      </c>
      <c r="F11" s="8">
        <f>SUM('Monthly market'!E21,'Monthly market'!E22,'Monthly market'!E23)</f>
        <v>98706</v>
      </c>
      <c r="G11" s="4">
        <f t="shared" si="0"/>
        <v>8.3743642737017066</v>
      </c>
      <c r="H11" s="1">
        <v>3</v>
      </c>
    </row>
    <row r="12" spans="1:8" ht="25" customHeight="1">
      <c r="A12" s="1"/>
      <c r="B12" s="1" t="s">
        <v>82</v>
      </c>
      <c r="C12" s="1" t="s">
        <v>77</v>
      </c>
      <c r="D12" s="1" t="s">
        <v>104</v>
      </c>
      <c r="E12" s="8">
        <f>SUM('Monthly market'!E36,'Monthly market'!E37,'Monthly market'!E38)</f>
        <v>107563</v>
      </c>
      <c r="F12" s="8">
        <f>SUM('Monthly market'!E24,'Monthly market'!E25,'Monthly market'!E26)</f>
        <v>100278</v>
      </c>
      <c r="G12" s="4">
        <f t="shared" si="0"/>
        <v>7.2648038453100305</v>
      </c>
      <c r="H12" s="1">
        <v>3</v>
      </c>
    </row>
    <row r="13" spans="1:8" ht="25" customHeight="1">
      <c r="A13" s="1"/>
      <c r="B13" s="1" t="s">
        <v>82</v>
      </c>
      <c r="C13" s="1" t="s">
        <v>77</v>
      </c>
      <c r="D13" s="1" t="s">
        <v>105</v>
      </c>
      <c r="E13" s="8">
        <f>SUM('Monthly market'!E39,'Monthly market'!E40,'Monthly market'!E41)</f>
        <v>110658</v>
      </c>
      <c r="F13" s="8">
        <f>SUM('Monthly market'!E27,'Monthly market'!E28,'Monthly market'!E29)</f>
        <v>100667</v>
      </c>
      <c r="G13" s="4">
        <f t="shared" si="0"/>
        <v>9.9248015735047268</v>
      </c>
      <c r="H13" s="1">
        <v>3</v>
      </c>
    </row>
    <row r="14" spans="1:8" ht="25" customHeight="1">
      <c r="A14" s="1"/>
      <c r="B14" s="1" t="s">
        <v>82</v>
      </c>
      <c r="C14" s="1" t="s">
        <v>77</v>
      </c>
      <c r="D14" s="1" t="s">
        <v>106</v>
      </c>
      <c r="E14" s="8">
        <f>SUM('Monthly market'!E42,'Monthly market'!E43,'Monthly market'!E44)</f>
        <v>107216</v>
      </c>
      <c r="F14" s="8">
        <f>SUM('Monthly market'!E30,'Monthly market'!E31,'Monthly market'!E32)</f>
        <v>104880</v>
      </c>
      <c r="G14" s="4">
        <f t="shared" si="0"/>
        <v>2.2273073989321102</v>
      </c>
      <c r="H14" s="1">
        <v>3</v>
      </c>
    </row>
    <row r="15" spans="1:8" ht="25" customHeight="1">
      <c r="A15" s="1"/>
      <c r="B15" s="1" t="s">
        <v>82</v>
      </c>
      <c r="C15" s="1" t="s">
        <v>77</v>
      </c>
      <c r="D15" s="1" t="s">
        <v>107</v>
      </c>
      <c r="E15" s="8">
        <f>SUM('Monthly market'!E45,'Monthly market'!E46,'Monthly market'!E47)</f>
        <v>107827</v>
      </c>
      <c r="F15" s="8">
        <f>SUM('Monthly market'!E33,'Monthly market'!E34,'Monthly market'!E35)</f>
        <v>106972</v>
      </c>
      <c r="G15" s="4">
        <f t="shared" si="0"/>
        <v>0.79927457652468892</v>
      </c>
      <c r="H15" s="1">
        <v>3</v>
      </c>
    </row>
    <row r="16" spans="1:8" ht="25" customHeight="1">
      <c r="A16" s="1"/>
      <c r="B16" s="1" t="s">
        <v>82</v>
      </c>
      <c r="C16" s="1" t="s">
        <v>77</v>
      </c>
      <c r="D16" s="1" t="s">
        <v>108</v>
      </c>
      <c r="E16" s="8">
        <f>SUM('Monthly market'!E48,'Monthly market'!E49,'Monthly market'!E50)</f>
        <v>113573</v>
      </c>
      <c r="F16" s="8">
        <f>SUM('Monthly market'!E36,'Monthly market'!E37,'Monthly market'!E38)</f>
        <v>107563</v>
      </c>
      <c r="G16" s="4">
        <f t="shared" si="0"/>
        <v>5.5874231845522981</v>
      </c>
      <c r="H16" s="1">
        <v>3</v>
      </c>
    </row>
    <row r="17" spans="1:8" ht="25" customHeight="1">
      <c r="A17" s="1"/>
      <c r="B17" s="1" t="s">
        <v>82</v>
      </c>
      <c r="C17" s="1" t="s">
        <v>77</v>
      </c>
      <c r="D17" s="1" t="s">
        <v>109</v>
      </c>
      <c r="E17" s="8">
        <f>SUM('Monthly market'!E51,'Monthly market'!E52,'Monthly market'!E53)</f>
        <v>114112</v>
      </c>
      <c r="F17" s="8">
        <f>SUM('Monthly market'!E39,'Monthly market'!E40,'Monthly market'!E41)</f>
        <v>110658</v>
      </c>
      <c r="G17" s="4">
        <f t="shared" si="0"/>
        <v>3.121328778759791</v>
      </c>
      <c r="H17" s="1">
        <v>3</v>
      </c>
    </row>
    <row r="18" spans="1:8" ht="25" customHeight="1">
      <c r="A18" s="1"/>
      <c r="B18" s="1" t="s">
        <v>82</v>
      </c>
      <c r="C18" s="1" t="s">
        <v>77</v>
      </c>
      <c r="D18" s="1" t="s">
        <v>110</v>
      </c>
      <c r="E18" s="8">
        <f>SUM('Monthly market'!E54,'Monthly market'!E55,'Monthly market'!E56)</f>
        <v>115895</v>
      </c>
      <c r="F18" s="8">
        <f>SUM('Monthly market'!E42,'Monthly market'!E43,'Monthly market'!E44)</f>
        <v>107216</v>
      </c>
      <c r="G18" s="4">
        <f t="shared" si="0"/>
        <v>8.094873899417987</v>
      </c>
      <c r="H18" s="1">
        <v>3</v>
      </c>
    </row>
    <row r="19" spans="1:8" ht="25" customHeight="1">
      <c r="A19" s="1"/>
      <c r="B19" s="1" t="s">
        <v>82</v>
      </c>
      <c r="C19" s="1" t="s">
        <v>77</v>
      </c>
      <c r="D19" s="1" t="s">
        <v>111</v>
      </c>
      <c r="E19" s="8">
        <f>SUM('Monthly market'!E57,'Monthly market'!E58,'Monthly market'!E59)</f>
        <v>117502</v>
      </c>
      <c r="F19" s="8">
        <f>SUM('Monthly market'!E45,'Monthly market'!E46,'Monthly market'!E47)</f>
        <v>107827</v>
      </c>
      <c r="G19" s="4">
        <f t="shared" si="0"/>
        <v>8.972706279503285</v>
      </c>
      <c r="H19" s="1">
        <v>3</v>
      </c>
    </row>
    <row r="20" spans="1:8" ht="25" customHeight="1">
      <c r="A20" s="1"/>
      <c r="B20" s="1" t="s">
        <v>82</v>
      </c>
      <c r="C20" s="1" t="s">
        <v>77</v>
      </c>
      <c r="D20" s="1" t="s">
        <v>112</v>
      </c>
      <c r="E20" s="8">
        <f>SUM('Monthly market'!E60,'Monthly market'!E61,'Monthly market'!E62)</f>
        <v>120937</v>
      </c>
      <c r="F20" s="8">
        <f>SUM('Monthly market'!E48,'Monthly market'!E49,'Monthly market'!E50)</f>
        <v>113573</v>
      </c>
      <c r="G20" s="4">
        <f t="shared" si="0"/>
        <v>6.4839354424026885</v>
      </c>
      <c r="H20" s="1">
        <v>3</v>
      </c>
    </row>
    <row r="21" spans="1:8" ht="25" customHeight="1">
      <c r="A21" s="1"/>
      <c r="B21" s="1" t="s">
        <v>82</v>
      </c>
      <c r="C21" s="1" t="s">
        <v>77</v>
      </c>
      <c r="D21" s="1" t="s">
        <v>113</v>
      </c>
      <c r="E21" s="8">
        <f>SUM('Monthly market'!E63,'Monthly market'!E64,'Monthly market'!E65)</f>
        <v>120797</v>
      </c>
      <c r="F21" s="8">
        <f>SUM('Monthly market'!E51,'Monthly market'!E52,'Monthly market'!E53)</f>
        <v>114112</v>
      </c>
      <c r="G21" s="4">
        <f t="shared" si="0"/>
        <v>5.8582795849691616</v>
      </c>
      <c r="H21" s="1">
        <v>3</v>
      </c>
    </row>
    <row r="22" spans="1:8" ht="25" customHeight="1">
      <c r="A22" s="1"/>
      <c r="B22" s="1" t="s">
        <v>82</v>
      </c>
      <c r="C22" s="1" t="s">
        <v>77</v>
      </c>
      <c r="D22" s="1" t="s">
        <v>114</v>
      </c>
      <c r="E22" s="8">
        <f>SUM('Monthly market'!E66,'Monthly market'!E67,'Monthly market'!E68)</f>
        <v>118465</v>
      </c>
      <c r="F22" s="8">
        <f>SUM('Monthly market'!E54,'Monthly market'!E55,'Monthly market'!E56)</f>
        <v>115895</v>
      </c>
      <c r="G22" s="4">
        <f t="shared" si="0"/>
        <v>2.2175244833685603</v>
      </c>
      <c r="H22" s="1">
        <v>3</v>
      </c>
    </row>
    <row r="23" spans="1:8" ht="25" customHeight="1">
      <c r="A23" s="1"/>
      <c r="B23" s="1" t="s">
        <v>82</v>
      </c>
      <c r="C23" s="1" t="s">
        <v>83</v>
      </c>
      <c r="D23" s="1" t="s">
        <v>98</v>
      </c>
      <c r="E23" s="8">
        <f>SUM('Monthly market'!E81,'Monthly market'!E82,'Monthly market'!E83)</f>
        <v>97633</v>
      </c>
      <c r="F23" s="8">
        <f>SUM('Monthly market'!E69,'Monthly market'!E70,'Monthly market'!E71)</f>
        <v>91538</v>
      </c>
      <c r="G23" s="4">
        <f t="shared" si="0"/>
        <v>6.658436933295464</v>
      </c>
      <c r="H23" s="1">
        <v>3</v>
      </c>
    </row>
    <row r="24" spans="1:8" ht="25" customHeight="1">
      <c r="A24" s="1"/>
      <c r="B24" s="1" t="s">
        <v>82</v>
      </c>
      <c r="C24" s="1" t="s">
        <v>83</v>
      </c>
      <c r="D24" s="1" t="s">
        <v>99</v>
      </c>
      <c r="E24" s="8">
        <f>SUM('Monthly market'!E84,'Monthly market'!E85,'Monthly market'!E86)</f>
        <v>98706</v>
      </c>
      <c r="F24" s="8">
        <f>SUM('Monthly market'!E72,'Monthly market'!E73,'Monthly market'!E74)</f>
        <v>95612</v>
      </c>
      <c r="G24" s="4">
        <f t="shared" si="0"/>
        <v>3.235995481738696</v>
      </c>
      <c r="H24" s="1">
        <v>3</v>
      </c>
    </row>
    <row r="25" spans="1:8" ht="25" customHeight="1">
      <c r="A25" s="1"/>
      <c r="B25" s="1" t="s">
        <v>82</v>
      </c>
      <c r="C25" s="1" t="s">
        <v>83</v>
      </c>
      <c r="D25" s="1" t="s">
        <v>100</v>
      </c>
      <c r="E25" s="8">
        <f>SUM('Monthly market'!E87,'Monthly market'!E88,'Monthly market'!E89)</f>
        <v>100278</v>
      </c>
      <c r="F25" s="8">
        <f>SUM('Monthly market'!E75,'Monthly market'!E76,'Monthly market'!E77)</f>
        <v>96837</v>
      </c>
      <c r="G25" s="4">
        <f t="shared" si="0"/>
        <v>3.5533938473930382</v>
      </c>
      <c r="H25" s="1">
        <v>3</v>
      </c>
    </row>
    <row r="26" spans="1:8" ht="25" customHeight="1">
      <c r="A26" s="1"/>
      <c r="B26" s="1" t="s">
        <v>82</v>
      </c>
      <c r="C26" s="1" t="s">
        <v>83</v>
      </c>
      <c r="D26" s="1" t="s">
        <v>101</v>
      </c>
      <c r="E26" s="8">
        <f>SUM('Monthly market'!E90,'Monthly market'!E91,'Monthly market'!E92)</f>
        <v>100667</v>
      </c>
      <c r="F26" s="8">
        <f>SUM('Monthly market'!E78,'Monthly market'!E79,'Monthly market'!E80)</f>
        <v>96979</v>
      </c>
      <c r="G26" s="4">
        <f t="shared" si="0"/>
        <v>3.8028851607049052</v>
      </c>
      <c r="H26" s="1">
        <v>3</v>
      </c>
    </row>
    <row r="27" spans="1:8" ht="25" customHeight="1">
      <c r="A27" s="1"/>
      <c r="B27" s="1" t="s">
        <v>82</v>
      </c>
      <c r="C27" s="1" t="s">
        <v>83</v>
      </c>
      <c r="D27" s="1" t="s">
        <v>102</v>
      </c>
      <c r="E27" s="8">
        <f>SUM('Monthly market'!E93,'Monthly market'!E94,'Monthly market'!E95)</f>
        <v>104880</v>
      </c>
      <c r="F27" s="8">
        <f>SUM('Monthly market'!E81,'Monthly market'!E82,'Monthly market'!E83)</f>
        <v>97633</v>
      </c>
      <c r="G27" s="4">
        <f t="shared" si="0"/>
        <v>7.4226951952720999</v>
      </c>
      <c r="H27" s="1">
        <v>3</v>
      </c>
    </row>
    <row r="28" spans="1:8" ht="25" customHeight="1">
      <c r="A28" s="1"/>
      <c r="B28" s="1" t="s">
        <v>82</v>
      </c>
      <c r="C28" s="1" t="s">
        <v>83</v>
      </c>
      <c r="D28" s="1" t="s">
        <v>103</v>
      </c>
      <c r="E28" s="8">
        <f>SUM('Monthly market'!E96,'Monthly market'!E97,'Monthly market'!E98)</f>
        <v>106972</v>
      </c>
      <c r="F28" s="8">
        <f>SUM('Monthly market'!E84,'Monthly market'!E85,'Monthly market'!E86)</f>
        <v>98706</v>
      </c>
      <c r="G28" s="4">
        <f t="shared" si="0"/>
        <v>8.3743642737017066</v>
      </c>
      <c r="H28" s="1">
        <v>3</v>
      </c>
    </row>
    <row r="29" spans="1:8" ht="25" customHeight="1">
      <c r="A29" s="1"/>
      <c r="B29" s="1" t="s">
        <v>82</v>
      </c>
      <c r="C29" s="1" t="s">
        <v>83</v>
      </c>
      <c r="D29" s="1" t="s">
        <v>104</v>
      </c>
      <c r="E29" s="8">
        <f>SUM('Monthly market'!E99,'Monthly market'!E100,'Monthly market'!E101)</f>
        <v>107563</v>
      </c>
      <c r="F29" s="8">
        <f>SUM('Monthly market'!E87,'Monthly market'!E88,'Monthly market'!E89)</f>
        <v>100278</v>
      </c>
      <c r="G29" s="4">
        <f t="shared" si="0"/>
        <v>7.2648038453100305</v>
      </c>
      <c r="H29" s="1">
        <v>3</v>
      </c>
    </row>
    <row r="30" spans="1:8" ht="25" customHeight="1">
      <c r="A30" s="1"/>
      <c r="B30" s="1" t="s">
        <v>82</v>
      </c>
      <c r="C30" s="1" t="s">
        <v>83</v>
      </c>
      <c r="D30" s="1" t="s">
        <v>105</v>
      </c>
      <c r="E30" s="8">
        <f>SUM('Monthly market'!E102,'Monthly market'!E103,'Monthly market'!E104)</f>
        <v>110658</v>
      </c>
      <c r="F30" s="8">
        <f>SUM('Monthly market'!E90,'Monthly market'!E91,'Monthly market'!E92)</f>
        <v>100667</v>
      </c>
      <c r="G30" s="4">
        <f t="shared" si="0"/>
        <v>9.9248015735047268</v>
      </c>
      <c r="H30" s="1">
        <v>3</v>
      </c>
    </row>
    <row r="31" spans="1:8" ht="25" customHeight="1">
      <c r="A31" s="1"/>
      <c r="B31" s="1" t="s">
        <v>82</v>
      </c>
      <c r="C31" s="1" t="s">
        <v>83</v>
      </c>
      <c r="D31" s="1" t="s">
        <v>106</v>
      </c>
      <c r="E31" s="8">
        <f>SUM('Monthly market'!E105,'Monthly market'!E106,'Monthly market'!E107)</f>
        <v>107216</v>
      </c>
      <c r="F31" s="8">
        <f>SUM('Monthly market'!E93,'Monthly market'!E94,'Monthly market'!E95)</f>
        <v>104880</v>
      </c>
      <c r="G31" s="4">
        <f t="shared" si="0"/>
        <v>2.2273073989321102</v>
      </c>
      <c r="H31" s="1">
        <v>3</v>
      </c>
    </row>
    <row r="32" spans="1:8" ht="25" customHeight="1">
      <c r="A32" s="1"/>
      <c r="B32" s="1" t="s">
        <v>82</v>
      </c>
      <c r="C32" s="1" t="s">
        <v>83</v>
      </c>
      <c r="D32" s="1" t="s">
        <v>107</v>
      </c>
      <c r="E32" s="8">
        <f>SUM('Monthly market'!E108,'Monthly market'!E109,'Monthly market'!E110)</f>
        <v>107827</v>
      </c>
      <c r="F32" s="8">
        <f>SUM('Monthly market'!E96,'Monthly market'!E97,'Monthly market'!E98)</f>
        <v>106972</v>
      </c>
      <c r="G32" s="4">
        <f t="shared" si="0"/>
        <v>0.79927457652468892</v>
      </c>
      <c r="H32" s="1">
        <v>3</v>
      </c>
    </row>
    <row r="33" spans="1:8" ht="25" customHeight="1">
      <c r="A33" s="1"/>
      <c r="B33" s="1" t="s">
        <v>82</v>
      </c>
      <c r="C33" s="1" t="s">
        <v>83</v>
      </c>
      <c r="D33" s="1" t="s">
        <v>108</v>
      </c>
      <c r="E33" s="8">
        <f>SUM('Monthly market'!E111,'Monthly market'!E112,'Monthly market'!E113)</f>
        <v>113573</v>
      </c>
      <c r="F33" s="8">
        <f>SUM('Monthly market'!E99,'Monthly market'!E100,'Monthly market'!E101)</f>
        <v>107563</v>
      </c>
      <c r="G33" s="4">
        <f t="shared" si="0"/>
        <v>5.5874231845522981</v>
      </c>
      <c r="H33" s="1">
        <v>3</v>
      </c>
    </row>
    <row r="34" spans="1:8" ht="25" customHeight="1">
      <c r="A34" s="1"/>
      <c r="B34" s="1" t="s">
        <v>82</v>
      </c>
      <c r="C34" s="1" t="s">
        <v>83</v>
      </c>
      <c r="D34" s="1" t="s">
        <v>109</v>
      </c>
      <c r="E34" s="8">
        <f>SUM('Monthly market'!E114,'Monthly market'!E115,'Monthly market'!E116)</f>
        <v>114112</v>
      </c>
      <c r="F34" s="8">
        <f>SUM('Monthly market'!E102,'Monthly market'!E103,'Monthly market'!E104)</f>
        <v>110658</v>
      </c>
      <c r="G34" s="4">
        <f t="shared" si="0"/>
        <v>3.121328778759791</v>
      </c>
      <c r="H34" s="1">
        <v>3</v>
      </c>
    </row>
    <row r="35" spans="1:8" ht="25" customHeight="1">
      <c r="A35" s="1"/>
      <c r="B35" s="1" t="s">
        <v>82</v>
      </c>
      <c r="C35" s="1" t="s">
        <v>83</v>
      </c>
      <c r="D35" s="1" t="s">
        <v>110</v>
      </c>
      <c r="E35" s="8">
        <f>SUM('Monthly market'!E117,'Monthly market'!E118,'Monthly market'!E119)</f>
        <v>115816</v>
      </c>
      <c r="F35" s="8">
        <f>SUM('Monthly market'!E105,'Monthly market'!E106,'Monthly market'!E107)</f>
        <v>107216</v>
      </c>
      <c r="G35" s="4">
        <f t="shared" si="0"/>
        <v>8.0211908670347665</v>
      </c>
      <c r="H35" s="1">
        <v>3</v>
      </c>
    </row>
    <row r="36" spans="1:8" ht="25" customHeight="1">
      <c r="A36" s="1"/>
      <c r="B36" s="1" t="s">
        <v>82</v>
      </c>
      <c r="C36" s="1" t="s">
        <v>83</v>
      </c>
      <c r="D36" s="1" t="s">
        <v>111</v>
      </c>
      <c r="E36" s="8">
        <f>SUM('Monthly market'!E120,'Monthly market'!E121,'Monthly market'!E122)</f>
        <v>117819</v>
      </c>
      <c r="F36" s="8">
        <f>SUM('Monthly market'!E108,'Monthly market'!E109,'Monthly market'!E110)</f>
        <v>107827</v>
      </c>
      <c r="G36" s="4">
        <f t="shared" si="0"/>
        <v>9.2666957255603819</v>
      </c>
      <c r="H36" s="1">
        <v>3</v>
      </c>
    </row>
    <row r="37" spans="1:8" ht="25" customHeight="1">
      <c r="A37" s="1"/>
      <c r="B37" s="1" t="s">
        <v>82</v>
      </c>
      <c r="C37" s="1" t="s">
        <v>83</v>
      </c>
      <c r="D37" s="1" t="s">
        <v>112</v>
      </c>
      <c r="E37" s="8">
        <f>SUM('Monthly market'!E123,'Monthly market'!E124,'Monthly market'!E125)</f>
        <v>120937</v>
      </c>
      <c r="F37" s="8">
        <f>SUM('Monthly market'!E111,'Monthly market'!E112,'Monthly market'!E113)</f>
        <v>113573</v>
      </c>
      <c r="G37" s="4">
        <f t="shared" si="0"/>
        <v>6.4839354424026885</v>
      </c>
      <c r="H37" s="1">
        <v>3</v>
      </c>
    </row>
    <row r="38" spans="1:8" ht="25" customHeight="1">
      <c r="A38" s="1"/>
      <c r="B38" s="1" t="s">
        <v>82</v>
      </c>
      <c r="C38" s="1" t="s">
        <v>83</v>
      </c>
      <c r="D38" s="1" t="s">
        <v>113</v>
      </c>
      <c r="E38" s="8">
        <f>SUM('Monthly market'!E126,'Monthly market'!E127,'Monthly market'!E128)</f>
        <v>120797</v>
      </c>
      <c r="F38" s="8">
        <f>SUM('Monthly market'!E114,'Monthly market'!E115,'Monthly market'!E116)</f>
        <v>114112</v>
      </c>
      <c r="G38" s="4">
        <f t="shared" ref="G38:G69" si="1">(E38/F38-1)*100</f>
        <v>5.8582795849691616</v>
      </c>
      <c r="H38" s="1">
        <v>3</v>
      </c>
    </row>
    <row r="39" spans="1:8" ht="25" customHeight="1">
      <c r="A39" s="1"/>
      <c r="B39" s="1" t="s">
        <v>82</v>
      </c>
      <c r="C39" s="1" t="s">
        <v>83</v>
      </c>
      <c r="D39" s="1" t="s">
        <v>114</v>
      </c>
      <c r="E39" s="8">
        <f>SUM('Monthly market'!E129,'Monthly market'!E130,'Monthly market'!E131)</f>
        <v>118700</v>
      </c>
      <c r="F39" s="8">
        <f>SUM('Monthly market'!E117,'Monthly market'!E118,'Monthly market'!E119)</f>
        <v>115816</v>
      </c>
      <c r="G39" s="4">
        <f t="shared" si="1"/>
        <v>2.4901568004420893</v>
      </c>
      <c r="H39" s="1">
        <v>3</v>
      </c>
    </row>
    <row r="40" spans="1:8" ht="25" customHeight="1">
      <c r="A40" s="1"/>
      <c r="B40" s="1" t="s">
        <v>76</v>
      </c>
      <c r="C40" s="1" t="s">
        <v>77</v>
      </c>
      <c r="D40" s="1" t="s">
        <v>98</v>
      </c>
      <c r="E40" s="8">
        <f>AVERAGE('Monthly market'!E145,'Monthly market'!E146,'Monthly market'!E147)</f>
        <v>3334.4</v>
      </c>
      <c r="F40" s="8">
        <f>AVERAGE('Monthly market'!E133,'Monthly market'!E134,'Monthly market'!E135)</f>
        <v>3218.5666666666671</v>
      </c>
      <c r="G40" s="4">
        <f t="shared" si="1"/>
        <v>3.5989104881054557</v>
      </c>
      <c r="H40" s="1">
        <v>3</v>
      </c>
    </row>
    <row r="41" spans="1:8" ht="25" customHeight="1">
      <c r="A41" s="1"/>
      <c r="B41" s="1" t="s">
        <v>76</v>
      </c>
      <c r="C41" s="1" t="s">
        <v>77</v>
      </c>
      <c r="D41" s="1" t="s">
        <v>99</v>
      </c>
      <c r="E41" s="8">
        <f>AVERAGE('Monthly market'!E148,'Monthly market'!E149,'Monthly market'!E150)</f>
        <v>3335.0333333333328</v>
      </c>
      <c r="F41" s="8">
        <f>AVERAGE('Monthly market'!E136,'Monthly market'!E137,'Monthly market'!E138)</f>
        <v>3336.2999999999997</v>
      </c>
      <c r="G41" s="4">
        <f t="shared" si="1"/>
        <v>-3.7966210073037132E-2</v>
      </c>
      <c r="H41" s="1">
        <v>3</v>
      </c>
    </row>
    <row r="42" spans="1:8" ht="25" customHeight="1">
      <c r="A42" s="1"/>
      <c r="B42" s="1" t="s">
        <v>76</v>
      </c>
      <c r="C42" s="1" t="s">
        <v>77</v>
      </c>
      <c r="D42" s="1" t="s">
        <v>100</v>
      </c>
      <c r="E42" s="8">
        <f>AVERAGE('Monthly market'!E151,'Monthly market'!E152,'Monthly market'!E153)</f>
        <v>3310.0666666666671</v>
      </c>
      <c r="F42" s="8">
        <f>AVERAGE('Monthly market'!E139,'Monthly market'!E140,'Monthly market'!E141)</f>
        <v>3342.6333333333337</v>
      </c>
      <c r="G42" s="4">
        <f t="shared" si="1"/>
        <v>-0.97428175390660288</v>
      </c>
      <c r="H42" s="1">
        <v>3</v>
      </c>
    </row>
    <row r="43" spans="1:8" ht="25" customHeight="1">
      <c r="A43" s="1"/>
      <c r="B43" s="1" t="s">
        <v>76</v>
      </c>
      <c r="C43" s="1" t="s">
        <v>77</v>
      </c>
      <c r="D43" s="1" t="s">
        <v>101</v>
      </c>
      <c r="E43" s="8">
        <f>AVERAGE('Monthly market'!E154,'Monthly market'!E155,'Monthly market'!E156)</f>
        <v>3302.6</v>
      </c>
      <c r="F43" s="8">
        <f>AVERAGE('Monthly market'!E142,'Monthly market'!E143,'Monthly market'!E144)</f>
        <v>3360</v>
      </c>
      <c r="G43" s="4">
        <f t="shared" si="1"/>
        <v>-1.7083333333333339</v>
      </c>
      <c r="H43" s="1">
        <v>3</v>
      </c>
    </row>
    <row r="44" spans="1:8" ht="25" customHeight="1">
      <c r="A44" s="1"/>
      <c r="B44" s="1" t="s">
        <v>76</v>
      </c>
      <c r="C44" s="1" t="s">
        <v>77</v>
      </c>
      <c r="D44" s="1" t="s">
        <v>102</v>
      </c>
      <c r="E44" s="8">
        <f>AVERAGE('Monthly market'!E157,'Monthly market'!E158,'Monthly market'!E159)</f>
        <v>3317.2666666666669</v>
      </c>
      <c r="F44" s="8">
        <f>AVERAGE('Monthly market'!E145,'Monthly market'!E146,'Monthly market'!E147)</f>
        <v>3334.4</v>
      </c>
      <c r="G44" s="4">
        <f t="shared" si="1"/>
        <v>-0.51383557261676094</v>
      </c>
      <c r="H44" s="1">
        <v>3</v>
      </c>
    </row>
    <row r="45" spans="1:8" ht="25" customHeight="1">
      <c r="A45" s="1"/>
      <c r="B45" s="1" t="s">
        <v>76</v>
      </c>
      <c r="C45" s="1" t="s">
        <v>77</v>
      </c>
      <c r="D45" s="1" t="s">
        <v>103</v>
      </c>
      <c r="E45" s="8">
        <f>AVERAGE('Monthly market'!E160,'Monthly market'!E161,'Monthly market'!E162)</f>
        <v>3322.2333333333336</v>
      </c>
      <c r="F45" s="8">
        <f>AVERAGE('Monthly market'!E148,'Monthly market'!E149,'Monthly market'!E150)</f>
        <v>3335.0333333333328</v>
      </c>
      <c r="G45" s="4">
        <f t="shared" si="1"/>
        <v>-0.38380425982746935</v>
      </c>
      <c r="H45" s="1">
        <v>3</v>
      </c>
    </row>
    <row r="46" spans="1:8" ht="25" customHeight="1">
      <c r="A46" s="1"/>
      <c r="B46" s="1" t="s">
        <v>76</v>
      </c>
      <c r="C46" s="1" t="s">
        <v>77</v>
      </c>
      <c r="D46" s="1" t="s">
        <v>104</v>
      </c>
      <c r="E46" s="8">
        <f>AVERAGE('Monthly market'!E163,'Monthly market'!E164,'Monthly market'!E165)</f>
        <v>3349.4333333333329</v>
      </c>
      <c r="F46" s="8">
        <f>AVERAGE('Monthly market'!E151,'Monthly market'!E152,'Monthly market'!E153)</f>
        <v>3310.0666666666671</v>
      </c>
      <c r="G46" s="4">
        <f t="shared" si="1"/>
        <v>1.1893013232361582</v>
      </c>
      <c r="H46" s="1">
        <v>3</v>
      </c>
    </row>
    <row r="47" spans="1:8" ht="25" customHeight="1">
      <c r="A47" s="1"/>
      <c r="B47" s="1" t="s">
        <v>76</v>
      </c>
      <c r="C47" s="1" t="s">
        <v>77</v>
      </c>
      <c r="D47" s="1" t="s">
        <v>105</v>
      </c>
      <c r="E47" s="8">
        <f>AVERAGE('Monthly market'!E166,'Monthly market'!E167,'Monthly market'!E168)</f>
        <v>3376.1</v>
      </c>
      <c r="F47" s="8">
        <f>AVERAGE('Monthly market'!E154,'Monthly market'!E155,'Monthly market'!E156)</f>
        <v>3302.6</v>
      </c>
      <c r="G47" s="4">
        <f t="shared" si="1"/>
        <v>2.2255192878338326</v>
      </c>
      <c r="H47" s="1">
        <v>3</v>
      </c>
    </row>
    <row r="48" spans="1:8" ht="25" customHeight="1">
      <c r="A48" s="1"/>
      <c r="B48" s="1" t="s">
        <v>76</v>
      </c>
      <c r="C48" s="1" t="s">
        <v>77</v>
      </c>
      <c r="D48" s="1" t="s">
        <v>106</v>
      </c>
      <c r="E48" s="8">
        <f>AVERAGE('Monthly market'!E169,'Monthly market'!E170,'Monthly market'!E171)</f>
        <v>3362.7999999999997</v>
      </c>
      <c r="F48" s="8">
        <f>AVERAGE('Monthly market'!E157,'Monthly market'!E158,'Monthly market'!E159)</f>
        <v>3317.2666666666669</v>
      </c>
      <c r="G48" s="4">
        <f t="shared" si="1"/>
        <v>1.3726160091641626</v>
      </c>
      <c r="H48" s="1">
        <v>3</v>
      </c>
    </row>
    <row r="49" spans="1:8" ht="25" customHeight="1">
      <c r="A49" s="1"/>
      <c r="B49" s="1" t="s">
        <v>76</v>
      </c>
      <c r="C49" s="1" t="s">
        <v>77</v>
      </c>
      <c r="D49" s="1" t="s">
        <v>107</v>
      </c>
      <c r="E49" s="8">
        <f>AVERAGE('Monthly market'!E172,'Monthly market'!E173,'Monthly market'!E174)</f>
        <v>3398</v>
      </c>
      <c r="F49" s="8">
        <f>AVERAGE('Monthly market'!E160,'Monthly market'!E161,'Monthly market'!E162)</f>
        <v>3322.2333333333336</v>
      </c>
      <c r="G49" s="4">
        <f t="shared" si="1"/>
        <v>2.2805943792830075</v>
      </c>
      <c r="H49" s="1">
        <v>3</v>
      </c>
    </row>
    <row r="50" spans="1:8" ht="25" customHeight="1">
      <c r="A50" s="1"/>
      <c r="B50" s="1" t="s">
        <v>76</v>
      </c>
      <c r="C50" s="1" t="s">
        <v>77</v>
      </c>
      <c r="D50" s="1" t="s">
        <v>108</v>
      </c>
      <c r="E50" s="8">
        <f>AVERAGE('Monthly market'!E175,'Monthly market'!E176,'Monthly market'!E177)</f>
        <v>3438.2000000000003</v>
      </c>
      <c r="F50" s="8">
        <f>AVERAGE('Monthly market'!E163,'Monthly market'!E164,'Monthly market'!E165)</f>
        <v>3349.4333333333329</v>
      </c>
      <c r="G50" s="4">
        <f t="shared" si="1"/>
        <v>2.6501995362399722</v>
      </c>
      <c r="H50" s="1">
        <v>3</v>
      </c>
    </row>
    <row r="51" spans="1:8" ht="25" customHeight="1">
      <c r="A51" s="1"/>
      <c r="B51" s="1" t="s">
        <v>76</v>
      </c>
      <c r="C51" s="1" t="s">
        <v>77</v>
      </c>
      <c r="D51" s="1" t="s">
        <v>109</v>
      </c>
      <c r="E51" s="8">
        <f>AVERAGE('Monthly market'!E178,'Monthly market'!E179,'Monthly market'!E180)</f>
        <v>3470.1999999999994</v>
      </c>
      <c r="F51" s="8">
        <f>AVERAGE('Monthly market'!E166,'Monthly market'!E167,'Monthly market'!E168)</f>
        <v>3376.1</v>
      </c>
      <c r="G51" s="4">
        <f t="shared" si="1"/>
        <v>2.7872397144634187</v>
      </c>
      <c r="H51" s="1">
        <v>3</v>
      </c>
    </row>
    <row r="52" spans="1:8" ht="25" customHeight="1">
      <c r="A52" s="1"/>
      <c r="B52" s="1" t="s">
        <v>76</v>
      </c>
      <c r="C52" s="1" t="s">
        <v>77</v>
      </c>
      <c r="D52" s="1" t="s">
        <v>110</v>
      </c>
      <c r="E52" s="8">
        <f>AVERAGE('Monthly market'!E181,'Monthly market'!E182,'Monthly market'!E183)</f>
        <v>3488.9</v>
      </c>
      <c r="F52" s="8">
        <f>AVERAGE('Monthly market'!E169,'Monthly market'!E170,'Monthly market'!E171)</f>
        <v>3362.7999999999997</v>
      </c>
      <c r="G52" s="4">
        <f t="shared" si="1"/>
        <v>3.7498513143808809</v>
      </c>
      <c r="H52" s="1">
        <v>3</v>
      </c>
    </row>
    <row r="53" spans="1:8" ht="25" customHeight="1">
      <c r="A53" s="1"/>
      <c r="B53" s="1" t="s">
        <v>76</v>
      </c>
      <c r="C53" s="1" t="s">
        <v>77</v>
      </c>
      <c r="D53" s="1" t="s">
        <v>111</v>
      </c>
      <c r="E53" s="8">
        <f>AVERAGE('Monthly market'!E184,'Monthly market'!E185,'Monthly market'!E186)</f>
        <v>3507.8666666666668</v>
      </c>
      <c r="F53" s="8">
        <f>AVERAGE('Monthly market'!E172,'Monthly market'!E173,'Monthly market'!E174)</f>
        <v>3398</v>
      </c>
      <c r="G53" s="4">
        <f t="shared" si="1"/>
        <v>3.2332744751814912</v>
      </c>
      <c r="H53" s="1">
        <v>3</v>
      </c>
    </row>
    <row r="54" spans="1:8" ht="25" customHeight="1">
      <c r="A54" s="1"/>
      <c r="B54" s="1" t="s">
        <v>76</v>
      </c>
      <c r="C54" s="1" t="s">
        <v>77</v>
      </c>
      <c r="D54" s="1" t="s">
        <v>112</v>
      </c>
      <c r="E54" s="8">
        <f>AVERAGE('Monthly market'!E187,'Monthly market'!E188,'Monthly market'!E189)</f>
        <v>3541.2333333333331</v>
      </c>
      <c r="F54" s="8">
        <f>AVERAGE('Monthly market'!E175,'Monthly market'!E176,'Monthly market'!E177)</f>
        <v>3438.2000000000003</v>
      </c>
      <c r="G54" s="4">
        <f t="shared" si="1"/>
        <v>2.9967230915401322</v>
      </c>
      <c r="H54" s="1">
        <v>3</v>
      </c>
    </row>
    <row r="55" spans="1:8" ht="25" customHeight="1">
      <c r="A55" s="1"/>
      <c r="B55" s="1" t="s">
        <v>76</v>
      </c>
      <c r="C55" s="1" t="s">
        <v>77</v>
      </c>
      <c r="D55" s="1" t="s">
        <v>113</v>
      </c>
      <c r="E55" s="8">
        <f>AVERAGE('Monthly market'!E190,'Monthly market'!E191,'Monthly market'!E192)</f>
        <v>3544.7333333333336</v>
      </c>
      <c r="F55" s="8">
        <f>AVERAGE('Monthly market'!E178,'Monthly market'!E179,'Monthly market'!E180)</f>
        <v>3470.1999999999994</v>
      </c>
      <c r="G55" s="4">
        <f t="shared" si="1"/>
        <v>2.1478108850594868</v>
      </c>
      <c r="H55" s="1">
        <v>3</v>
      </c>
    </row>
    <row r="56" spans="1:8" ht="25" customHeight="1">
      <c r="A56" s="1"/>
      <c r="B56" s="1" t="s">
        <v>76</v>
      </c>
      <c r="C56" s="1" t="s">
        <v>83</v>
      </c>
      <c r="D56" s="1" t="s">
        <v>98</v>
      </c>
      <c r="E56" s="8">
        <f>AVERAGE('Monthly market'!E207,'Monthly market'!E208,'Monthly market'!E209)</f>
        <v>3334.4</v>
      </c>
      <c r="F56" s="8">
        <f>AVERAGE('Monthly market'!E195,'Monthly market'!E196,'Monthly market'!E197)</f>
        <v>3218.5666666666671</v>
      </c>
      <c r="G56" s="4">
        <f t="shared" si="1"/>
        <v>3.5989104881054557</v>
      </c>
      <c r="H56" s="1">
        <v>3</v>
      </c>
    </row>
    <row r="57" spans="1:8" ht="25" customHeight="1">
      <c r="A57" s="1"/>
      <c r="B57" s="1" t="s">
        <v>76</v>
      </c>
      <c r="C57" s="1" t="s">
        <v>83</v>
      </c>
      <c r="D57" s="1" t="s">
        <v>99</v>
      </c>
      <c r="E57" s="8">
        <f>AVERAGE('Monthly market'!E210,'Monthly market'!E211,'Monthly market'!E212)</f>
        <v>3335.0333333333328</v>
      </c>
      <c r="F57" s="8">
        <f>AVERAGE('Monthly market'!E198,'Monthly market'!E199,'Monthly market'!E200)</f>
        <v>3336.2999999999997</v>
      </c>
      <c r="G57" s="4">
        <f t="shared" si="1"/>
        <v>-3.7966210073037132E-2</v>
      </c>
      <c r="H57" s="1">
        <v>3</v>
      </c>
    </row>
    <row r="58" spans="1:8" ht="25" customHeight="1">
      <c r="A58" s="1"/>
      <c r="B58" s="1" t="s">
        <v>76</v>
      </c>
      <c r="C58" s="1" t="s">
        <v>83</v>
      </c>
      <c r="D58" s="1" t="s">
        <v>100</v>
      </c>
      <c r="E58" s="8">
        <f>AVERAGE('Monthly market'!E213,'Monthly market'!E214,'Monthly market'!E215)</f>
        <v>3310.0666666666671</v>
      </c>
      <c r="F58" s="8">
        <f>AVERAGE('Monthly market'!E201,'Monthly market'!E202,'Monthly market'!E203)</f>
        <v>3342.6333333333337</v>
      </c>
      <c r="G58" s="4">
        <f t="shared" si="1"/>
        <v>-0.97428175390660288</v>
      </c>
      <c r="H58" s="1">
        <v>3</v>
      </c>
    </row>
    <row r="59" spans="1:8" ht="25" customHeight="1">
      <c r="A59" s="1"/>
      <c r="B59" s="1" t="s">
        <v>76</v>
      </c>
      <c r="C59" s="1" t="s">
        <v>83</v>
      </c>
      <c r="D59" s="1" t="s">
        <v>101</v>
      </c>
      <c r="E59" s="8">
        <f>AVERAGE('Monthly market'!E216,'Monthly market'!E217,'Monthly market'!E218)</f>
        <v>3302.6</v>
      </c>
      <c r="F59" s="8">
        <f>AVERAGE('Monthly market'!E204,'Monthly market'!E205,'Monthly market'!E206)</f>
        <v>3360</v>
      </c>
      <c r="G59" s="4">
        <f t="shared" si="1"/>
        <v>-1.7083333333333339</v>
      </c>
      <c r="H59" s="1">
        <v>3</v>
      </c>
    </row>
    <row r="60" spans="1:8" ht="25" customHeight="1">
      <c r="A60" s="1"/>
      <c r="B60" s="1" t="s">
        <v>76</v>
      </c>
      <c r="C60" s="1" t="s">
        <v>83</v>
      </c>
      <c r="D60" s="1" t="s">
        <v>102</v>
      </c>
      <c r="E60" s="8">
        <f>AVERAGE('Monthly market'!E219,'Monthly market'!E220,'Monthly market'!E221)</f>
        <v>3317.2666666666669</v>
      </c>
      <c r="F60" s="8">
        <f>AVERAGE('Monthly market'!E207,'Monthly market'!E208,'Monthly market'!E209)</f>
        <v>3334.4</v>
      </c>
      <c r="G60" s="4">
        <f t="shared" si="1"/>
        <v>-0.51383557261676094</v>
      </c>
      <c r="H60" s="1">
        <v>3</v>
      </c>
    </row>
    <row r="61" spans="1:8" ht="25" customHeight="1">
      <c r="A61" s="1"/>
      <c r="B61" s="1" t="s">
        <v>76</v>
      </c>
      <c r="C61" s="1" t="s">
        <v>83</v>
      </c>
      <c r="D61" s="1" t="s">
        <v>103</v>
      </c>
      <c r="E61" s="8">
        <f>AVERAGE('Monthly market'!E222,'Monthly market'!E223,'Monthly market'!E224)</f>
        <v>3322.2333333333336</v>
      </c>
      <c r="F61" s="8">
        <f>AVERAGE('Monthly market'!E210,'Monthly market'!E211,'Monthly market'!E212)</f>
        <v>3335.0333333333328</v>
      </c>
      <c r="G61" s="4">
        <f t="shared" si="1"/>
        <v>-0.38380425982746935</v>
      </c>
      <c r="H61" s="1">
        <v>3</v>
      </c>
    </row>
    <row r="62" spans="1:8" ht="25" customHeight="1">
      <c r="A62" s="1"/>
      <c r="B62" s="1" t="s">
        <v>76</v>
      </c>
      <c r="C62" s="1" t="s">
        <v>83</v>
      </c>
      <c r="D62" s="1" t="s">
        <v>104</v>
      </c>
      <c r="E62" s="8">
        <f>AVERAGE('Monthly market'!E225,'Monthly market'!E226,'Monthly market'!E227)</f>
        <v>3349.4333333333329</v>
      </c>
      <c r="F62" s="8">
        <f>AVERAGE('Monthly market'!E213,'Monthly market'!E214,'Monthly market'!E215)</f>
        <v>3310.0666666666671</v>
      </c>
      <c r="G62" s="4">
        <f t="shared" si="1"/>
        <v>1.1893013232361582</v>
      </c>
      <c r="H62" s="1">
        <v>3</v>
      </c>
    </row>
    <row r="63" spans="1:8" ht="25" customHeight="1">
      <c r="A63" s="1"/>
      <c r="B63" s="1" t="s">
        <v>76</v>
      </c>
      <c r="C63" s="1" t="s">
        <v>83</v>
      </c>
      <c r="D63" s="1" t="s">
        <v>105</v>
      </c>
      <c r="E63" s="8">
        <f>AVERAGE('Monthly market'!E228,'Monthly market'!E229,'Monthly market'!E230)</f>
        <v>3376.1</v>
      </c>
      <c r="F63" s="8">
        <f>AVERAGE('Monthly market'!E216,'Monthly market'!E217,'Monthly market'!E218)</f>
        <v>3302.6</v>
      </c>
      <c r="G63" s="4">
        <f t="shared" si="1"/>
        <v>2.2255192878338326</v>
      </c>
      <c r="H63" s="1">
        <v>3</v>
      </c>
    </row>
    <row r="64" spans="1:8" ht="25" customHeight="1">
      <c r="A64" s="1"/>
      <c r="B64" s="1" t="s">
        <v>76</v>
      </c>
      <c r="C64" s="1" t="s">
        <v>83</v>
      </c>
      <c r="D64" s="1" t="s">
        <v>106</v>
      </c>
      <c r="E64" s="8">
        <f>AVERAGE('Monthly market'!E231,'Monthly market'!E232,'Monthly market'!E233)</f>
        <v>3362.7999999999997</v>
      </c>
      <c r="F64" s="8">
        <f>AVERAGE('Monthly market'!E219,'Monthly market'!E220,'Monthly market'!E221)</f>
        <v>3317.2666666666669</v>
      </c>
      <c r="G64" s="4">
        <f t="shared" si="1"/>
        <v>1.3726160091641626</v>
      </c>
      <c r="H64" s="1">
        <v>3</v>
      </c>
    </row>
    <row r="65" spans="1:8" ht="25" customHeight="1">
      <c r="A65" s="1"/>
      <c r="B65" s="1" t="s">
        <v>76</v>
      </c>
      <c r="C65" s="1" t="s">
        <v>83</v>
      </c>
      <c r="D65" s="1" t="s">
        <v>107</v>
      </c>
      <c r="E65" s="8">
        <f>AVERAGE('Monthly market'!E234,'Monthly market'!E235,'Monthly market'!E236)</f>
        <v>3398</v>
      </c>
      <c r="F65" s="8">
        <f>AVERAGE('Monthly market'!E222,'Monthly market'!E223,'Monthly market'!E224)</f>
        <v>3322.2333333333336</v>
      </c>
      <c r="G65" s="4">
        <f t="shared" si="1"/>
        <v>2.2805943792830075</v>
      </c>
      <c r="H65" s="1">
        <v>3</v>
      </c>
    </row>
    <row r="66" spans="1:8" ht="25" customHeight="1">
      <c r="A66" s="1"/>
      <c r="B66" s="1" t="s">
        <v>76</v>
      </c>
      <c r="C66" s="1" t="s">
        <v>83</v>
      </c>
      <c r="D66" s="1" t="s">
        <v>108</v>
      </c>
      <c r="E66" s="8">
        <f>AVERAGE('Monthly market'!E237,'Monthly market'!E238,'Monthly market'!E239)</f>
        <v>3438.2000000000003</v>
      </c>
      <c r="F66" s="8">
        <f>AVERAGE('Monthly market'!E225,'Monthly market'!E226,'Monthly market'!E227)</f>
        <v>3349.4333333333329</v>
      </c>
      <c r="G66" s="4">
        <f t="shared" si="1"/>
        <v>2.6501995362399722</v>
      </c>
      <c r="H66" s="1">
        <v>3</v>
      </c>
    </row>
    <row r="67" spans="1:8" ht="25" customHeight="1">
      <c r="A67" s="1"/>
      <c r="B67" s="1" t="s">
        <v>76</v>
      </c>
      <c r="C67" s="1" t="s">
        <v>83</v>
      </c>
      <c r="D67" s="1" t="s">
        <v>109</v>
      </c>
      <c r="E67" s="8">
        <f>AVERAGE('Monthly market'!E240,'Monthly market'!E241,'Monthly market'!E242)</f>
        <v>3470.1999999999994</v>
      </c>
      <c r="F67" s="8">
        <f>AVERAGE('Monthly market'!E228,'Monthly market'!E229,'Monthly market'!E230)</f>
        <v>3376.1</v>
      </c>
      <c r="G67" s="4">
        <f t="shared" si="1"/>
        <v>2.7872397144634187</v>
      </c>
      <c r="H67" s="1">
        <v>3</v>
      </c>
    </row>
    <row r="68" spans="1:8" ht="25" customHeight="1">
      <c r="A68" s="1"/>
      <c r="B68" s="1" t="s">
        <v>76</v>
      </c>
      <c r="C68" s="1" t="s">
        <v>83</v>
      </c>
      <c r="D68" s="1" t="s">
        <v>110</v>
      </c>
      <c r="E68" s="8">
        <f>AVERAGE('Monthly market'!E243,'Monthly market'!E244,'Monthly market'!E245)</f>
        <v>3488.9</v>
      </c>
      <c r="F68" s="8">
        <f>AVERAGE('Monthly market'!E231,'Monthly market'!E232,'Monthly market'!E233)</f>
        <v>3362.7999999999997</v>
      </c>
      <c r="G68" s="4">
        <f t="shared" si="1"/>
        <v>3.7498513143808809</v>
      </c>
      <c r="H68" s="1">
        <v>3</v>
      </c>
    </row>
    <row r="69" spans="1:8" ht="25" customHeight="1">
      <c r="A69" s="1"/>
      <c r="B69" s="1" t="s">
        <v>76</v>
      </c>
      <c r="C69" s="1" t="s">
        <v>83</v>
      </c>
      <c r="D69" s="1" t="s">
        <v>111</v>
      </c>
      <c r="E69" s="8">
        <f>AVERAGE('Monthly market'!E246,'Monthly market'!E247,'Monthly market'!E248)</f>
        <v>3507.8666666666668</v>
      </c>
      <c r="F69" s="8">
        <f>AVERAGE('Monthly market'!E234,'Monthly market'!E235,'Monthly market'!E236)</f>
        <v>3398</v>
      </c>
      <c r="G69" s="4">
        <f t="shared" si="1"/>
        <v>3.2332744751814912</v>
      </c>
      <c r="H69" s="1">
        <v>3</v>
      </c>
    </row>
    <row r="70" spans="1:8" ht="25" customHeight="1">
      <c r="A70" s="1"/>
      <c r="B70" s="1" t="s">
        <v>76</v>
      </c>
      <c r="C70" s="1" t="s">
        <v>83</v>
      </c>
      <c r="D70" s="1" t="s">
        <v>112</v>
      </c>
      <c r="E70" s="8">
        <f>AVERAGE('Monthly market'!E249,'Monthly market'!E250,'Monthly market'!E251)</f>
        <v>3541.2333333333331</v>
      </c>
      <c r="F70" s="8">
        <f>AVERAGE('Monthly market'!E237,'Monthly market'!E238,'Monthly market'!E239)</f>
        <v>3438.2000000000003</v>
      </c>
      <c r="G70" s="4">
        <f t="shared" ref="G70:G101" si="2">(E70/F70-1)*100</f>
        <v>2.9967230915401322</v>
      </c>
      <c r="H70" s="1">
        <v>3</v>
      </c>
    </row>
    <row r="71" spans="1:8" ht="25" customHeight="1">
      <c r="A71" s="1"/>
      <c r="B71" s="1" t="s">
        <v>76</v>
      </c>
      <c r="C71" s="1" t="s">
        <v>83</v>
      </c>
      <c r="D71" s="1" t="s">
        <v>113</v>
      </c>
      <c r="E71" s="8">
        <f>AVERAGE('Monthly market'!E252,'Monthly market'!E253,'Monthly market'!E254)</f>
        <v>3544.7333333333336</v>
      </c>
      <c r="F71" s="8">
        <f>AVERAGE('Monthly market'!E240,'Monthly market'!E241,'Monthly market'!E242)</f>
        <v>3470.1999999999994</v>
      </c>
      <c r="G71" s="4">
        <f t="shared" si="2"/>
        <v>2.1478108850594868</v>
      </c>
      <c r="H71" s="1">
        <v>3</v>
      </c>
    </row>
    <row r="72" spans="1:8" ht="25" customHeight="1">
      <c r="A72" s="1"/>
      <c r="B72" s="1" t="s">
        <v>76</v>
      </c>
      <c r="C72" s="1" t="s">
        <v>83</v>
      </c>
      <c r="D72" s="1" t="s">
        <v>114</v>
      </c>
      <c r="E72" s="8">
        <f>AVERAGE('Monthly market'!E255,'Monthly market'!E256,'Monthly market'!E257)</f>
        <v>3542.9</v>
      </c>
      <c r="F72" s="8">
        <f>AVERAGE('Monthly market'!E243,'Monthly market'!E244,'Monthly market'!E245)</f>
        <v>3488.9</v>
      </c>
      <c r="G72" s="4">
        <f t="shared" si="2"/>
        <v>1.5477657714465964</v>
      </c>
      <c r="H72" s="1">
        <v>3</v>
      </c>
    </row>
    <row r="73" spans="1:8" ht="25" customHeight="1">
      <c r="A73" s="1"/>
      <c r="B73" s="1" t="s">
        <v>80</v>
      </c>
      <c r="C73" s="1" t="s">
        <v>77</v>
      </c>
      <c r="D73" s="1" t="s">
        <v>98</v>
      </c>
      <c r="E73" s="8">
        <f>AVERAGE('Monthly market'!E270,'Monthly market'!E271,'Monthly market'!E272)</f>
        <v>161.63166666666669</v>
      </c>
      <c r="F73" s="8">
        <f>AVERAGE('Monthly market'!E258,'Monthly market'!E259,'Monthly market'!E260)</f>
        <v>159.98699999999999</v>
      </c>
      <c r="G73" s="4">
        <f t="shared" si="2"/>
        <v>1.0280001916822545</v>
      </c>
      <c r="H73" s="1">
        <v>3</v>
      </c>
    </row>
    <row r="74" spans="1:8" ht="25" customHeight="1">
      <c r="A74" s="1"/>
      <c r="B74" s="1" t="s">
        <v>80</v>
      </c>
      <c r="C74" s="1" t="s">
        <v>77</v>
      </c>
      <c r="D74" s="1" t="s">
        <v>99</v>
      </c>
      <c r="E74" s="8">
        <f>AVERAGE('Monthly market'!E273,'Monthly market'!E274,'Monthly market'!E275)</f>
        <v>164.41333333333333</v>
      </c>
      <c r="F74" s="8">
        <f>AVERAGE('Monthly market'!E261,'Monthly market'!E262,'Monthly market'!E263)</f>
        <v>159.76066666666665</v>
      </c>
      <c r="G74" s="4">
        <f t="shared" si="2"/>
        <v>2.9122729416084958</v>
      </c>
      <c r="H74" s="1">
        <v>3</v>
      </c>
    </row>
    <row r="75" spans="1:8" ht="25" customHeight="1">
      <c r="A75" s="1"/>
      <c r="B75" s="1" t="s">
        <v>80</v>
      </c>
      <c r="C75" s="1" t="s">
        <v>77</v>
      </c>
      <c r="D75" s="1" t="s">
        <v>100</v>
      </c>
      <c r="E75" s="8">
        <f>AVERAGE('Monthly market'!E276,'Monthly market'!E277,'Monthly market'!E278)</f>
        <v>168.94833333333335</v>
      </c>
      <c r="F75" s="8">
        <f>AVERAGE('Monthly market'!E264,'Monthly market'!E265,'Monthly market'!E266)</f>
        <v>159.61066666666667</v>
      </c>
      <c r="G75" s="4">
        <f t="shared" si="2"/>
        <v>5.8502773415310738</v>
      </c>
      <c r="H75" s="1">
        <v>3</v>
      </c>
    </row>
    <row r="76" spans="1:8" ht="25" customHeight="1">
      <c r="A76" s="1"/>
      <c r="B76" s="1" t="s">
        <v>80</v>
      </c>
      <c r="C76" s="1" t="s">
        <v>77</v>
      </c>
      <c r="D76" s="1" t="s">
        <v>101</v>
      </c>
      <c r="E76" s="8">
        <f>AVERAGE('Monthly market'!E279,'Monthly market'!E280,'Monthly market'!E281)</f>
        <v>171.05799999999999</v>
      </c>
      <c r="F76" s="8">
        <f>AVERAGE('Monthly market'!E267,'Monthly market'!E268,'Monthly market'!E269)</f>
        <v>159.48566666666667</v>
      </c>
      <c r="G76" s="4">
        <f t="shared" si="2"/>
        <v>7.2560334575520802</v>
      </c>
      <c r="H76" s="1">
        <v>3</v>
      </c>
    </row>
    <row r="77" spans="1:8" ht="25" customHeight="1">
      <c r="A77" s="1"/>
      <c r="B77" s="1" t="s">
        <v>80</v>
      </c>
      <c r="C77" s="1" t="s">
        <v>77</v>
      </c>
      <c r="D77" s="1" t="s">
        <v>102</v>
      </c>
      <c r="E77" s="8">
        <f>AVERAGE('Monthly market'!E282,'Monthly market'!E283,'Monthly market'!E284)</f>
        <v>172.57799999999997</v>
      </c>
      <c r="F77" s="8">
        <f>AVERAGE('Monthly market'!E270,'Monthly market'!E271,'Monthly market'!E272)</f>
        <v>161.63166666666669</v>
      </c>
      <c r="G77" s="4">
        <f t="shared" si="2"/>
        <v>6.772394023448336</v>
      </c>
      <c r="H77" s="1">
        <v>3</v>
      </c>
    </row>
    <row r="78" spans="1:8" ht="25" customHeight="1">
      <c r="A78" s="1"/>
      <c r="B78" s="1" t="s">
        <v>80</v>
      </c>
      <c r="C78" s="1" t="s">
        <v>77</v>
      </c>
      <c r="D78" s="1" t="s">
        <v>103</v>
      </c>
      <c r="E78" s="8">
        <f>AVERAGE('Monthly market'!E285,'Monthly market'!E286,'Monthly market'!E287)</f>
        <v>176.018</v>
      </c>
      <c r="F78" s="8">
        <f>AVERAGE('Monthly market'!E273,'Monthly market'!E274,'Monthly market'!E275)</f>
        <v>164.41333333333333</v>
      </c>
      <c r="G78" s="4">
        <f t="shared" si="2"/>
        <v>7.0582272321790596</v>
      </c>
      <c r="H78" s="1">
        <v>3</v>
      </c>
    </row>
    <row r="79" spans="1:8" ht="25" customHeight="1">
      <c r="A79" s="1"/>
      <c r="B79" s="1" t="s">
        <v>80</v>
      </c>
      <c r="C79" s="1" t="s">
        <v>77</v>
      </c>
      <c r="D79" s="1" t="s">
        <v>104</v>
      </c>
      <c r="E79" s="8">
        <f>AVERAGE('Monthly market'!E288,'Monthly market'!E289,'Monthly market'!E290)</f>
        <v>178.22966666666665</v>
      </c>
      <c r="F79" s="8">
        <f>AVERAGE('Monthly market'!E276,'Monthly market'!E277,'Monthly market'!E278)</f>
        <v>168.94833333333335</v>
      </c>
      <c r="G79" s="4">
        <f t="shared" si="2"/>
        <v>5.4935927157217401</v>
      </c>
      <c r="H79" s="1">
        <v>3</v>
      </c>
    </row>
    <row r="80" spans="1:8" ht="25" customHeight="1">
      <c r="A80" s="1"/>
      <c r="B80" s="1" t="s">
        <v>80</v>
      </c>
      <c r="C80" s="1" t="s">
        <v>77</v>
      </c>
      <c r="D80" s="1" t="s">
        <v>105</v>
      </c>
      <c r="E80" s="8">
        <f>AVERAGE('Monthly market'!E291,'Monthly market'!E292,'Monthly market'!E293)</f>
        <v>178.26333333333332</v>
      </c>
      <c r="F80" s="8">
        <f>AVERAGE('Monthly market'!E279,'Monthly market'!E280,'Monthly market'!E281)</f>
        <v>171.05799999999999</v>
      </c>
      <c r="G80" s="4">
        <f t="shared" si="2"/>
        <v>4.2122165191533556</v>
      </c>
      <c r="H80" s="1">
        <v>3</v>
      </c>
    </row>
    <row r="81" spans="1:8" ht="25" customHeight="1">
      <c r="A81" s="1"/>
      <c r="B81" s="1" t="s">
        <v>80</v>
      </c>
      <c r="C81" s="1" t="s">
        <v>77</v>
      </c>
      <c r="D81" s="1" t="s">
        <v>106</v>
      </c>
      <c r="E81" s="8">
        <f>AVERAGE('Monthly market'!E294,'Monthly market'!E295,'Monthly market'!E296)</f>
        <v>178.85433333333333</v>
      </c>
      <c r="F81" s="8">
        <f>AVERAGE('Monthly market'!E282,'Monthly market'!E283,'Monthly market'!E284)</f>
        <v>172.57799999999997</v>
      </c>
      <c r="G81" s="4">
        <f t="shared" si="2"/>
        <v>3.636809635836169</v>
      </c>
      <c r="H81" s="1">
        <v>3</v>
      </c>
    </row>
    <row r="82" spans="1:8" ht="25" customHeight="1">
      <c r="A82" s="1"/>
      <c r="B82" s="1" t="s">
        <v>80</v>
      </c>
      <c r="C82" s="1" t="s">
        <v>77</v>
      </c>
      <c r="D82" s="1" t="s">
        <v>107</v>
      </c>
      <c r="E82" s="8">
        <f>AVERAGE('Monthly market'!E297,'Monthly market'!E298,'Monthly market'!E299)</f>
        <v>178.93066666666667</v>
      </c>
      <c r="F82" s="8">
        <f>AVERAGE('Monthly market'!E285,'Monthly market'!E286,'Monthly market'!E287)</f>
        <v>176.018</v>
      </c>
      <c r="G82" s="4">
        <f t="shared" si="2"/>
        <v>1.6547550061168037</v>
      </c>
      <c r="H82" s="1">
        <v>3</v>
      </c>
    </row>
    <row r="83" spans="1:8" ht="25" customHeight="1">
      <c r="A83" s="1"/>
      <c r="B83" s="1" t="s">
        <v>80</v>
      </c>
      <c r="C83" s="1" t="s">
        <v>77</v>
      </c>
      <c r="D83" s="1" t="s">
        <v>108</v>
      </c>
      <c r="E83" s="8">
        <f>AVERAGE('Monthly market'!E300,'Monthly market'!E301,'Monthly market'!E302)</f>
        <v>178.89499999999998</v>
      </c>
      <c r="F83" s="8">
        <f>AVERAGE('Monthly market'!E288,'Monthly market'!E289,'Monthly market'!E290)</f>
        <v>178.22966666666665</v>
      </c>
      <c r="G83" s="4">
        <f t="shared" si="2"/>
        <v>0.37330111522773102</v>
      </c>
      <c r="H83" s="1">
        <v>3</v>
      </c>
    </row>
    <row r="84" spans="1:8" ht="25" customHeight="1">
      <c r="A84" s="1"/>
      <c r="B84" s="1" t="s">
        <v>80</v>
      </c>
      <c r="C84" s="1" t="s">
        <v>77</v>
      </c>
      <c r="D84" s="1" t="s">
        <v>109</v>
      </c>
      <c r="E84" s="8">
        <f>AVERAGE('Monthly market'!E303,'Monthly market'!E304,'Monthly market'!E305)</f>
        <v>178.87133333333335</v>
      </c>
      <c r="F84" s="8">
        <f>AVERAGE('Monthly market'!E291,'Monthly market'!E292,'Monthly market'!E293)</f>
        <v>178.26333333333332</v>
      </c>
      <c r="G84" s="4">
        <f t="shared" si="2"/>
        <v>0.34106845677743802</v>
      </c>
      <c r="H84" s="1">
        <v>3</v>
      </c>
    </row>
    <row r="85" spans="1:8" ht="25" customHeight="1">
      <c r="A85" s="1"/>
      <c r="B85" s="1" t="s">
        <v>80</v>
      </c>
      <c r="C85" s="1" t="s">
        <v>77</v>
      </c>
      <c r="D85" s="1" t="s">
        <v>110</v>
      </c>
      <c r="E85" s="8">
        <f>AVERAGE('Monthly market'!E306,'Monthly market'!E307,'Monthly market'!E308)</f>
        <v>179.27633333333333</v>
      </c>
      <c r="F85" s="8">
        <f>AVERAGE('Monthly market'!E294,'Monthly market'!E295,'Monthly market'!E296)</f>
        <v>178.85433333333333</v>
      </c>
      <c r="G85" s="4">
        <f t="shared" si="2"/>
        <v>0.23594619830289432</v>
      </c>
      <c r="H85" s="1">
        <v>3</v>
      </c>
    </row>
    <row r="86" spans="1:8" ht="25" customHeight="1">
      <c r="A86" s="1"/>
      <c r="B86" s="1" t="s">
        <v>80</v>
      </c>
      <c r="C86" s="1" t="s">
        <v>77</v>
      </c>
      <c r="D86" s="1" t="s">
        <v>111</v>
      </c>
      <c r="E86" s="8">
        <f>AVERAGE('Monthly market'!E309,'Monthly market'!E310,'Monthly market'!E311)</f>
        <v>179.8356666666667</v>
      </c>
      <c r="F86" s="8">
        <f>AVERAGE('Monthly market'!E297,'Monthly market'!E298,'Monthly market'!E299)</f>
        <v>178.93066666666667</v>
      </c>
      <c r="G86" s="4">
        <f t="shared" si="2"/>
        <v>0.50578250048438633</v>
      </c>
      <c r="H86" s="1">
        <v>3</v>
      </c>
    </row>
    <row r="87" spans="1:8" ht="25" customHeight="1">
      <c r="A87" s="1"/>
      <c r="B87" s="1" t="s">
        <v>80</v>
      </c>
      <c r="C87" s="1" t="s">
        <v>77</v>
      </c>
      <c r="D87" s="1" t="s">
        <v>112</v>
      </c>
      <c r="E87" s="8">
        <f>AVERAGE('Monthly market'!E312,'Monthly market'!E313,'Monthly market'!E314)</f>
        <v>180.69866666666667</v>
      </c>
      <c r="F87" s="8">
        <f>AVERAGE('Monthly market'!E300,'Monthly market'!E301,'Monthly market'!E302)</f>
        <v>178.89499999999998</v>
      </c>
      <c r="G87" s="4">
        <f t="shared" si="2"/>
        <v>1.0082264270475427</v>
      </c>
      <c r="H87" s="1">
        <v>3</v>
      </c>
    </row>
    <row r="88" spans="1:8" ht="25" customHeight="1">
      <c r="A88" s="1"/>
      <c r="B88" s="1" t="s">
        <v>80</v>
      </c>
      <c r="C88" s="1" t="s">
        <v>77</v>
      </c>
      <c r="D88" s="1" t="s">
        <v>114</v>
      </c>
      <c r="E88" s="8">
        <f>AVERAGE('Monthly market'!E317,'Monthly market'!E318,'Monthly market'!E319)</f>
        <v>182.77066666666667</v>
      </c>
      <c r="F88" s="8">
        <f>AVERAGE('Monthly market'!E306,'Monthly market'!E307,'Monthly market'!E308)</f>
        <v>179.27633333333333</v>
      </c>
      <c r="G88" s="4">
        <f t="shared" si="2"/>
        <v>1.9491325309717533</v>
      </c>
      <c r="H88" s="1">
        <v>3</v>
      </c>
    </row>
    <row r="89" spans="1:8" ht="25" customHeight="1">
      <c r="A89" s="1"/>
      <c r="B89" s="1" t="s">
        <v>80</v>
      </c>
      <c r="C89" s="1" t="s">
        <v>83</v>
      </c>
      <c r="D89" s="1" t="s">
        <v>98</v>
      </c>
      <c r="E89" s="8">
        <f>AVERAGE('Monthly market'!E332,'Monthly market'!E333,'Monthly market'!E334)</f>
        <v>161.63166666666669</v>
      </c>
      <c r="F89" s="8">
        <f>AVERAGE('Monthly market'!E320,'Monthly market'!E321,'Monthly market'!E322)</f>
        <v>159.98699999999999</v>
      </c>
      <c r="G89" s="4">
        <f t="shared" si="2"/>
        <v>1.0280001916822545</v>
      </c>
      <c r="H89" s="1">
        <v>3</v>
      </c>
    </row>
    <row r="90" spans="1:8" ht="25" customHeight="1">
      <c r="A90" s="1"/>
      <c r="B90" s="1" t="s">
        <v>80</v>
      </c>
      <c r="C90" s="1" t="s">
        <v>83</v>
      </c>
      <c r="D90" s="1" t="s">
        <v>99</v>
      </c>
      <c r="E90" s="8">
        <f>AVERAGE('Monthly market'!E335,'Monthly market'!E336,'Monthly market'!E337)</f>
        <v>164.41333333333333</v>
      </c>
      <c r="F90" s="8">
        <f>AVERAGE('Monthly market'!E323,'Monthly market'!E324,'Monthly market'!E325)</f>
        <v>159.76066666666665</v>
      </c>
      <c r="G90" s="4">
        <f t="shared" si="2"/>
        <v>2.9122729416084958</v>
      </c>
      <c r="H90" s="1">
        <v>3</v>
      </c>
    </row>
    <row r="91" spans="1:8" ht="25" customHeight="1">
      <c r="A91" s="1"/>
      <c r="B91" s="1" t="s">
        <v>80</v>
      </c>
      <c r="C91" s="1" t="s">
        <v>83</v>
      </c>
      <c r="D91" s="1" t="s">
        <v>100</v>
      </c>
      <c r="E91" s="8">
        <f>AVERAGE('Monthly market'!E338,'Monthly market'!E339,'Monthly market'!E340)</f>
        <v>168.94833333333335</v>
      </c>
      <c r="F91" s="8">
        <f>AVERAGE('Monthly market'!E326,'Monthly market'!E327,'Monthly market'!E328)</f>
        <v>159.61066666666667</v>
      </c>
      <c r="G91" s="4">
        <f t="shared" si="2"/>
        <v>5.8502773415310738</v>
      </c>
      <c r="H91" s="1">
        <v>3</v>
      </c>
    </row>
    <row r="92" spans="1:8" ht="25" customHeight="1">
      <c r="A92" s="1"/>
      <c r="B92" s="1" t="s">
        <v>80</v>
      </c>
      <c r="C92" s="1" t="s">
        <v>83</v>
      </c>
      <c r="D92" s="1" t="s">
        <v>101</v>
      </c>
      <c r="E92" s="8">
        <f>AVERAGE('Monthly market'!E341,'Monthly market'!E342,'Monthly market'!E343)</f>
        <v>171.05799999999999</v>
      </c>
      <c r="F92" s="8">
        <f>AVERAGE('Monthly market'!E329,'Monthly market'!E330,'Monthly market'!E331)</f>
        <v>159.48566666666667</v>
      </c>
      <c r="G92" s="4">
        <f t="shared" si="2"/>
        <v>7.2560334575520802</v>
      </c>
      <c r="H92" s="1">
        <v>3</v>
      </c>
    </row>
    <row r="93" spans="1:8" ht="25" customHeight="1">
      <c r="A93" s="1"/>
      <c r="B93" s="1" t="s">
        <v>80</v>
      </c>
      <c r="C93" s="1" t="s">
        <v>83</v>
      </c>
      <c r="D93" s="1" t="s">
        <v>102</v>
      </c>
      <c r="E93" s="8">
        <f>AVERAGE('Monthly market'!E344,'Monthly market'!E345,'Monthly market'!E346)</f>
        <v>172.57799999999997</v>
      </c>
      <c r="F93" s="8">
        <f>AVERAGE('Monthly market'!E332,'Monthly market'!E333,'Monthly market'!E334)</f>
        <v>161.63166666666669</v>
      </c>
      <c r="G93" s="4">
        <f t="shared" si="2"/>
        <v>6.772394023448336</v>
      </c>
      <c r="H93" s="1">
        <v>3</v>
      </c>
    </row>
    <row r="94" spans="1:8" ht="25" customHeight="1">
      <c r="A94" s="1"/>
      <c r="B94" s="1" t="s">
        <v>80</v>
      </c>
      <c r="C94" s="1" t="s">
        <v>83</v>
      </c>
      <c r="D94" s="1" t="s">
        <v>103</v>
      </c>
      <c r="E94" s="8">
        <f>AVERAGE('Monthly market'!E347,'Monthly market'!E348,'Monthly market'!E349)</f>
        <v>176.018</v>
      </c>
      <c r="F94" s="8">
        <f>AVERAGE('Monthly market'!E335,'Monthly market'!E336,'Monthly market'!E337)</f>
        <v>164.41333333333333</v>
      </c>
      <c r="G94" s="4">
        <f t="shared" si="2"/>
        <v>7.0582272321790596</v>
      </c>
      <c r="H94" s="1">
        <v>3</v>
      </c>
    </row>
    <row r="95" spans="1:8" ht="25" customHeight="1">
      <c r="A95" s="1"/>
      <c r="B95" s="1" t="s">
        <v>80</v>
      </c>
      <c r="C95" s="1" t="s">
        <v>83</v>
      </c>
      <c r="D95" s="1" t="s">
        <v>104</v>
      </c>
      <c r="E95" s="8">
        <f>AVERAGE('Monthly market'!E350,'Monthly market'!E351,'Monthly market'!E352)</f>
        <v>178.22966666666665</v>
      </c>
      <c r="F95" s="8">
        <f>AVERAGE('Monthly market'!E338,'Monthly market'!E339,'Monthly market'!E340)</f>
        <v>168.94833333333335</v>
      </c>
      <c r="G95" s="4">
        <f t="shared" si="2"/>
        <v>5.4935927157217401</v>
      </c>
      <c r="H95" s="1">
        <v>3</v>
      </c>
    </row>
    <row r="96" spans="1:8" ht="25" customHeight="1">
      <c r="A96" s="1"/>
      <c r="B96" s="1" t="s">
        <v>80</v>
      </c>
      <c r="C96" s="1" t="s">
        <v>83</v>
      </c>
      <c r="D96" s="1" t="s">
        <v>105</v>
      </c>
      <c r="E96" s="8">
        <f>AVERAGE('Monthly market'!E353,'Monthly market'!E354,'Monthly market'!E355)</f>
        <v>178.26333333333332</v>
      </c>
      <c r="F96" s="8">
        <f>AVERAGE('Monthly market'!E341,'Monthly market'!E342,'Monthly market'!E343)</f>
        <v>171.05799999999999</v>
      </c>
      <c r="G96" s="4">
        <f t="shared" si="2"/>
        <v>4.2122165191533556</v>
      </c>
      <c r="H96" s="1">
        <v>3</v>
      </c>
    </row>
    <row r="97" spans="1:8" ht="25" customHeight="1">
      <c r="A97" s="1"/>
      <c r="B97" s="1" t="s">
        <v>80</v>
      </c>
      <c r="C97" s="1" t="s">
        <v>83</v>
      </c>
      <c r="D97" s="1" t="s">
        <v>106</v>
      </c>
      <c r="E97" s="8">
        <f>AVERAGE('Monthly market'!E356,'Monthly market'!E357,'Monthly market'!E358)</f>
        <v>178.85433333333333</v>
      </c>
      <c r="F97" s="8">
        <f>AVERAGE('Monthly market'!E344,'Monthly market'!E345,'Monthly market'!E346)</f>
        <v>172.57799999999997</v>
      </c>
      <c r="G97" s="4">
        <f t="shared" si="2"/>
        <v>3.636809635836169</v>
      </c>
      <c r="H97" s="1">
        <v>3</v>
      </c>
    </row>
    <row r="98" spans="1:8" ht="25" customHeight="1">
      <c r="A98" s="1"/>
      <c r="B98" s="1" t="s">
        <v>80</v>
      </c>
      <c r="C98" s="1" t="s">
        <v>83</v>
      </c>
      <c r="D98" s="1" t="s">
        <v>107</v>
      </c>
      <c r="E98" s="8">
        <f>AVERAGE('Monthly market'!E359,'Monthly market'!E360,'Monthly market'!E361)</f>
        <v>178.93066666666667</v>
      </c>
      <c r="F98" s="8">
        <f>AVERAGE('Monthly market'!E347,'Monthly market'!E348,'Monthly market'!E349)</f>
        <v>176.018</v>
      </c>
      <c r="G98" s="4">
        <f t="shared" si="2"/>
        <v>1.6547550061168037</v>
      </c>
      <c r="H98" s="1">
        <v>3</v>
      </c>
    </row>
    <row r="99" spans="1:8" ht="25" customHeight="1">
      <c r="A99" s="1"/>
      <c r="B99" s="1" t="s">
        <v>80</v>
      </c>
      <c r="C99" s="1" t="s">
        <v>83</v>
      </c>
      <c r="D99" s="1" t="s">
        <v>108</v>
      </c>
      <c r="E99" s="8">
        <f>AVERAGE('Monthly market'!E362,'Monthly market'!E363,'Monthly market'!E364)</f>
        <v>178.89499999999998</v>
      </c>
      <c r="F99" s="8">
        <f>AVERAGE('Monthly market'!E350,'Monthly market'!E351,'Monthly market'!E352)</f>
        <v>178.22966666666665</v>
      </c>
      <c r="G99" s="4">
        <f t="shared" si="2"/>
        <v>0.37330111522773102</v>
      </c>
      <c r="H99" s="1">
        <v>3</v>
      </c>
    </row>
    <row r="100" spans="1:8" ht="25" customHeight="1">
      <c r="A100" s="1"/>
      <c r="B100" s="1" t="s">
        <v>80</v>
      </c>
      <c r="C100" s="1" t="s">
        <v>83</v>
      </c>
      <c r="D100" s="1" t="s">
        <v>109</v>
      </c>
      <c r="E100" s="8">
        <f>AVERAGE('Monthly market'!E365,'Monthly market'!E366,'Monthly market'!E367)</f>
        <v>178.87133333333335</v>
      </c>
      <c r="F100" s="8">
        <f>AVERAGE('Monthly market'!E353,'Monthly market'!E354,'Monthly market'!E355)</f>
        <v>178.26333333333332</v>
      </c>
      <c r="G100" s="4">
        <f t="shared" si="2"/>
        <v>0.34106845677743802</v>
      </c>
      <c r="H100" s="1">
        <v>3</v>
      </c>
    </row>
    <row r="101" spans="1:8" ht="25" customHeight="1">
      <c r="A101" s="1"/>
      <c r="B101" s="1" t="s">
        <v>80</v>
      </c>
      <c r="C101" s="1" t="s">
        <v>83</v>
      </c>
      <c r="D101" s="1" t="s">
        <v>110</v>
      </c>
      <c r="E101" s="8">
        <f>AVERAGE('Monthly market'!E368,'Monthly market'!E369,'Monthly market'!E370)</f>
        <v>179.27633333333333</v>
      </c>
      <c r="F101" s="8">
        <f>AVERAGE('Monthly market'!E356,'Monthly market'!E357,'Monthly market'!E358)</f>
        <v>178.85433333333333</v>
      </c>
      <c r="G101" s="4">
        <f t="shared" si="2"/>
        <v>0.23594619830289432</v>
      </c>
      <c r="H101" s="1">
        <v>3</v>
      </c>
    </row>
    <row r="102" spans="1:8" ht="25" customHeight="1">
      <c r="A102" s="1"/>
      <c r="B102" s="1" t="s">
        <v>80</v>
      </c>
      <c r="C102" s="1" t="s">
        <v>83</v>
      </c>
      <c r="D102" s="1" t="s">
        <v>111</v>
      </c>
      <c r="E102" s="8">
        <f>AVERAGE('Monthly market'!E371,'Monthly market'!E372,'Monthly market'!E373)</f>
        <v>179.8356666666667</v>
      </c>
      <c r="F102" s="8">
        <f>AVERAGE('Monthly market'!E359,'Monthly market'!E360,'Monthly market'!E361)</f>
        <v>178.93066666666667</v>
      </c>
      <c r="G102" s="4">
        <f t="shared" ref="G102:G133" si="3">(E102/F102-1)*100</f>
        <v>0.50578250048438633</v>
      </c>
      <c r="H102" s="1">
        <v>3</v>
      </c>
    </row>
    <row r="103" spans="1:8" ht="25" customHeight="1">
      <c r="A103" s="1"/>
      <c r="B103" s="1" t="s">
        <v>80</v>
      </c>
      <c r="C103" s="1" t="s">
        <v>83</v>
      </c>
      <c r="D103" s="1" t="s">
        <v>112</v>
      </c>
      <c r="E103" s="8">
        <f>AVERAGE('Monthly market'!E374,'Monthly market'!E375,'Monthly market'!E376)</f>
        <v>180.69866666666667</v>
      </c>
      <c r="F103" s="8">
        <f>AVERAGE('Monthly market'!E362,'Monthly market'!E363,'Monthly market'!E364)</f>
        <v>178.89499999999998</v>
      </c>
      <c r="G103" s="4">
        <f t="shared" si="3"/>
        <v>1.0082264270475427</v>
      </c>
      <c r="H103" s="1">
        <v>3</v>
      </c>
    </row>
    <row r="104" spans="1:8" ht="25" customHeight="1">
      <c r="A104" s="1"/>
      <c r="B104" s="1" t="s">
        <v>80</v>
      </c>
      <c r="C104" s="1" t="s">
        <v>83</v>
      </c>
      <c r="D104" s="1" t="s">
        <v>114</v>
      </c>
      <c r="E104" s="8">
        <f>AVERAGE('Monthly market'!E379,'Monthly market'!E380,'Monthly market'!E381)</f>
        <v>182.77066666666667</v>
      </c>
      <c r="F104" s="8">
        <f>AVERAGE('Monthly market'!E368,'Monthly market'!E369,'Monthly market'!E370)</f>
        <v>179.27633333333333</v>
      </c>
      <c r="G104" s="4">
        <f t="shared" si="3"/>
        <v>1.9491325309717533</v>
      </c>
      <c r="H104" s="1">
        <v>3</v>
      </c>
    </row>
    <row r="105" spans="1:8" ht="25" customHeight="1">
      <c r="A105" s="1"/>
      <c r="B105" s="1"/>
      <c r="C105" s="1"/>
      <c r="D105" s="1"/>
      <c r="E105" s="1"/>
      <c r="F105" s="1"/>
      <c r="G105" s="1"/>
      <c r="H105" s="1"/>
    </row>
    <row r="106" spans="1:8" ht="25" customHeight="1">
      <c r="A106" s="1"/>
      <c r="B106" s="1"/>
      <c r="C106" s="1"/>
      <c r="D106" s="1"/>
      <c r="E106" s="1"/>
      <c r="F106" s="1"/>
      <c r="G106" s="1"/>
      <c r="H106" s="1"/>
    </row>
  </sheetData>
  <phoneticPr fontId="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26"/>
  <sheetViews>
    <sheetView showGridLines="0" zoomScale="150" zoomScaleNormal="150" workbookViewId="0">
      <pane ySplit="5" topLeftCell="A118" activePane="bottomLeft" state="frozen"/>
      <selection pane="bottomLeft" activeCell="A118" sqref="A118"/>
    </sheetView>
  </sheetViews>
  <sheetFormatPr baseColWidth="10" defaultColWidth="8.83203125" defaultRowHeight="14"/>
  <cols>
    <col min="1" max="1" width="3" customWidth="1"/>
    <col min="2" max="2" width="19" customWidth="1"/>
    <col min="3" max="3" width="39" customWidth="1"/>
    <col min="4" max="4" width="20" customWidth="1"/>
    <col min="5" max="11" width="18" customWidth="1"/>
  </cols>
  <sheetData>
    <row r="1" spans="1:11" ht="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5" customHeight="1">
      <c r="A2" s="1"/>
      <c r="B2" s="2" t="s">
        <v>121</v>
      </c>
      <c r="C2" s="1"/>
      <c r="D2" s="1"/>
      <c r="E2" s="1"/>
      <c r="F2" s="1"/>
      <c r="G2" s="1"/>
      <c r="H2" s="1"/>
      <c r="I2" s="1"/>
      <c r="J2" s="1"/>
      <c r="K2" s="1"/>
    </row>
    <row r="3" spans="1:11" ht="25" customHeight="1">
      <c r="A3" s="1"/>
      <c r="B3" s="1" t="s">
        <v>122</v>
      </c>
      <c r="C3" s="1"/>
      <c r="D3" s="1"/>
      <c r="E3" s="1"/>
      <c r="F3" s="1"/>
      <c r="G3" s="1"/>
      <c r="H3" s="1"/>
      <c r="I3" s="1"/>
      <c r="J3" s="1"/>
      <c r="K3" s="1"/>
    </row>
    <row r="4" spans="1:11" ht="2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44" customHeight="1">
      <c r="A5" s="1"/>
      <c r="B5" s="3" t="s">
        <v>86</v>
      </c>
      <c r="C5" s="3" t="s">
        <v>123</v>
      </c>
      <c r="D5" s="3" t="s">
        <v>124</v>
      </c>
      <c r="E5" s="3" t="s">
        <v>125</v>
      </c>
      <c r="F5" s="3" t="s">
        <v>126</v>
      </c>
      <c r="G5" s="3" t="s">
        <v>127</v>
      </c>
      <c r="H5" s="3" t="s">
        <v>128</v>
      </c>
      <c r="I5" s="3" t="s">
        <v>129</v>
      </c>
      <c r="J5" s="3" t="s">
        <v>130</v>
      </c>
      <c r="K5" s="3" t="s">
        <v>131</v>
      </c>
    </row>
    <row r="6" spans="1:11" ht="25" customHeight="1">
      <c r="A6" s="1"/>
      <c r="B6" s="1" t="s">
        <v>98</v>
      </c>
      <c r="C6" s="1" t="s">
        <v>34</v>
      </c>
      <c r="D6" s="5">
        <v>3389</v>
      </c>
      <c r="E6" s="6">
        <v>2</v>
      </c>
      <c r="F6" s="6">
        <v>3</v>
      </c>
      <c r="G6" s="6">
        <v>-1</v>
      </c>
      <c r="H6" s="6">
        <v>4</v>
      </c>
      <c r="I6" s="6">
        <v>0</v>
      </c>
      <c r="J6" s="6">
        <v>-2</v>
      </c>
      <c r="K6" s="1" t="s">
        <v>132</v>
      </c>
    </row>
    <row r="7" spans="1:11" ht="25" customHeight="1">
      <c r="A7" s="1"/>
      <c r="B7" s="1" t="s">
        <v>98</v>
      </c>
      <c r="C7" s="1" t="s">
        <v>43</v>
      </c>
      <c r="D7" s="5">
        <v>1481</v>
      </c>
      <c r="E7" s="6">
        <v>3</v>
      </c>
      <c r="F7" s="6">
        <v>8</v>
      </c>
      <c r="G7" s="6">
        <v>1</v>
      </c>
      <c r="H7" s="6">
        <v>6</v>
      </c>
      <c r="I7" s="6">
        <v>1</v>
      </c>
      <c r="J7" s="6">
        <v>-5</v>
      </c>
      <c r="K7" s="1" t="s">
        <v>132</v>
      </c>
    </row>
    <row r="8" spans="1:11" ht="25" customHeight="1">
      <c r="A8" s="1"/>
      <c r="B8" s="1" t="s">
        <v>98</v>
      </c>
      <c r="C8" s="1" t="s">
        <v>45</v>
      </c>
      <c r="D8" s="5">
        <v>2662</v>
      </c>
      <c r="E8" s="6">
        <v>13</v>
      </c>
      <c r="F8" s="6">
        <v>16</v>
      </c>
      <c r="G8" s="6">
        <v>8</v>
      </c>
      <c r="H8" s="6">
        <v>3</v>
      </c>
      <c r="I8" s="6">
        <v>5</v>
      </c>
      <c r="J8" s="6">
        <v>-3</v>
      </c>
      <c r="K8" s="1" t="s">
        <v>132</v>
      </c>
    </row>
    <row r="9" spans="1:11" ht="25" customHeight="1">
      <c r="A9" s="1"/>
      <c r="B9" s="1" t="s">
        <v>98</v>
      </c>
      <c r="C9" s="1" t="s">
        <v>50</v>
      </c>
      <c r="D9" s="5">
        <v>6699</v>
      </c>
      <c r="E9" s="6">
        <v>7</v>
      </c>
      <c r="F9" s="6">
        <v>10</v>
      </c>
      <c r="G9" s="6">
        <v>5</v>
      </c>
      <c r="H9" s="6">
        <v>5</v>
      </c>
      <c r="I9" s="6">
        <v>1</v>
      </c>
      <c r="J9" s="6">
        <v>-3</v>
      </c>
      <c r="K9" s="1" t="s">
        <v>132</v>
      </c>
    </row>
    <row r="10" spans="1:11" ht="25" customHeight="1">
      <c r="A10" s="1"/>
      <c r="B10" s="1" t="s">
        <v>98</v>
      </c>
      <c r="C10" s="1" t="s">
        <v>55</v>
      </c>
      <c r="D10" s="5">
        <v>4935</v>
      </c>
      <c r="E10" s="6">
        <v>7</v>
      </c>
      <c r="F10" s="6">
        <v>10</v>
      </c>
      <c r="G10" s="6">
        <v>2</v>
      </c>
      <c r="H10" s="6">
        <v>5</v>
      </c>
      <c r="I10" s="6">
        <v>2</v>
      </c>
      <c r="J10" s="6">
        <v>-3</v>
      </c>
      <c r="K10" s="1" t="s">
        <v>132</v>
      </c>
    </row>
    <row r="11" spans="1:11" ht="25" customHeight="1">
      <c r="A11" s="1"/>
      <c r="B11" s="1" t="s">
        <v>98</v>
      </c>
      <c r="C11" s="1" t="s">
        <v>133</v>
      </c>
      <c r="D11" s="5">
        <v>215</v>
      </c>
      <c r="E11" s="6"/>
      <c r="F11" s="6"/>
      <c r="G11" s="6"/>
      <c r="H11" s="6"/>
      <c r="I11" s="6"/>
      <c r="J11" s="6"/>
      <c r="K11" s="1" t="s">
        <v>132</v>
      </c>
    </row>
    <row r="12" spans="1:11" ht="25" customHeight="1">
      <c r="A12" s="1"/>
      <c r="B12" s="1" t="s">
        <v>98</v>
      </c>
      <c r="C12" s="1" t="s">
        <v>134</v>
      </c>
      <c r="D12" s="5">
        <v>19381</v>
      </c>
      <c r="E12" s="6">
        <v>7</v>
      </c>
      <c r="F12" s="6">
        <v>10</v>
      </c>
      <c r="G12" s="6">
        <v>3</v>
      </c>
      <c r="H12" s="6">
        <v>5</v>
      </c>
      <c r="I12" s="6">
        <v>2</v>
      </c>
      <c r="J12" s="6">
        <v>-3</v>
      </c>
      <c r="K12" s="1" t="s">
        <v>132</v>
      </c>
    </row>
    <row r="13" spans="1:11" ht="25" customHeight="1">
      <c r="A13" s="1"/>
      <c r="B13" s="1" t="s">
        <v>99</v>
      </c>
      <c r="C13" s="1" t="s">
        <v>34</v>
      </c>
      <c r="D13" s="5">
        <v>3461</v>
      </c>
      <c r="E13" s="6">
        <v>-1</v>
      </c>
      <c r="F13" s="6">
        <v>0</v>
      </c>
      <c r="G13" s="6">
        <v>-2</v>
      </c>
      <c r="H13" s="6">
        <v>6</v>
      </c>
      <c r="I13" s="6">
        <v>-4</v>
      </c>
      <c r="J13" s="6">
        <v>-3</v>
      </c>
      <c r="K13" s="1" t="s">
        <v>135</v>
      </c>
    </row>
    <row r="14" spans="1:11" ht="25" customHeight="1">
      <c r="A14" s="1"/>
      <c r="B14" s="1" t="s">
        <v>99</v>
      </c>
      <c r="C14" s="1" t="s">
        <v>43</v>
      </c>
      <c r="D14" s="5">
        <v>1608</v>
      </c>
      <c r="E14" s="6">
        <v>-3</v>
      </c>
      <c r="F14" s="6">
        <v>3</v>
      </c>
      <c r="G14" s="6">
        <v>-2</v>
      </c>
      <c r="H14" s="6">
        <v>6</v>
      </c>
      <c r="I14" s="6">
        <v>-1</v>
      </c>
      <c r="J14" s="6">
        <v>-6</v>
      </c>
      <c r="K14" s="1" t="s">
        <v>135</v>
      </c>
    </row>
    <row r="15" spans="1:11" ht="25" customHeight="1">
      <c r="A15" s="1"/>
      <c r="B15" s="1" t="s">
        <v>99</v>
      </c>
      <c r="C15" s="1" t="s">
        <v>45</v>
      </c>
      <c r="D15" s="5">
        <v>2510</v>
      </c>
      <c r="E15" s="6">
        <v>5</v>
      </c>
      <c r="F15" s="6">
        <v>9</v>
      </c>
      <c r="G15" s="6">
        <v>0</v>
      </c>
      <c r="H15" s="6">
        <v>5</v>
      </c>
      <c r="I15" s="6">
        <v>4</v>
      </c>
      <c r="J15" s="6">
        <v>-4</v>
      </c>
      <c r="K15" s="1" t="s">
        <v>135</v>
      </c>
    </row>
    <row r="16" spans="1:11" ht="25" customHeight="1">
      <c r="A16" s="1"/>
      <c r="B16" s="1" t="s">
        <v>99</v>
      </c>
      <c r="C16" s="1" t="s">
        <v>50</v>
      </c>
      <c r="D16" s="5">
        <v>6876</v>
      </c>
      <c r="E16" s="6">
        <v>4</v>
      </c>
      <c r="F16" s="6">
        <v>9</v>
      </c>
      <c r="G16" s="6">
        <v>-1</v>
      </c>
      <c r="H16" s="6">
        <v>10</v>
      </c>
      <c r="I16" s="6">
        <v>0</v>
      </c>
      <c r="J16" s="6">
        <v>-5</v>
      </c>
      <c r="K16" s="1" t="s">
        <v>135</v>
      </c>
    </row>
    <row r="17" spans="1:11" ht="25" customHeight="1">
      <c r="A17" s="1"/>
      <c r="B17" s="1" t="s">
        <v>99</v>
      </c>
      <c r="C17" s="1" t="s">
        <v>55</v>
      </c>
      <c r="D17" s="5">
        <v>4821</v>
      </c>
      <c r="E17" s="6">
        <v>3</v>
      </c>
      <c r="F17" s="6">
        <v>7</v>
      </c>
      <c r="G17" s="6">
        <v>0</v>
      </c>
      <c r="H17" s="6">
        <v>6</v>
      </c>
      <c r="I17" s="6">
        <v>1</v>
      </c>
      <c r="J17" s="6">
        <v>-3</v>
      </c>
      <c r="K17" s="1" t="s">
        <v>135</v>
      </c>
    </row>
    <row r="18" spans="1:11" ht="25" customHeight="1">
      <c r="A18" s="1"/>
      <c r="B18" s="1" t="s">
        <v>99</v>
      </c>
      <c r="C18" s="1" t="s">
        <v>133</v>
      </c>
      <c r="D18" s="5">
        <v>239</v>
      </c>
      <c r="E18" s="6"/>
      <c r="F18" s="6"/>
      <c r="G18" s="6"/>
      <c r="H18" s="6"/>
      <c r="I18" s="6"/>
      <c r="J18" s="6"/>
      <c r="K18" s="1" t="s">
        <v>135</v>
      </c>
    </row>
    <row r="19" spans="1:11" ht="25" customHeight="1">
      <c r="A19" s="1"/>
      <c r="B19" s="1" t="s">
        <v>99</v>
      </c>
      <c r="C19" s="1" t="s">
        <v>134</v>
      </c>
      <c r="D19" s="5">
        <v>19515</v>
      </c>
      <c r="E19" s="6">
        <v>3</v>
      </c>
      <c r="F19" s="6">
        <v>7</v>
      </c>
      <c r="G19" s="6">
        <v>-1</v>
      </c>
      <c r="H19" s="6">
        <v>8</v>
      </c>
      <c r="I19" s="6">
        <v>0</v>
      </c>
      <c r="J19" s="6">
        <v>-4</v>
      </c>
      <c r="K19" s="1" t="s">
        <v>135</v>
      </c>
    </row>
    <row r="20" spans="1:11" ht="25" customHeight="1">
      <c r="A20" s="1"/>
      <c r="B20" s="1" t="s">
        <v>100</v>
      </c>
      <c r="C20" s="1" t="s">
        <v>34</v>
      </c>
      <c r="D20" s="5">
        <v>3961</v>
      </c>
      <c r="E20" s="6">
        <v>0</v>
      </c>
      <c r="F20" s="6">
        <v>4</v>
      </c>
      <c r="G20" s="6">
        <v>-1</v>
      </c>
      <c r="H20" s="6">
        <v>7</v>
      </c>
      <c r="I20" s="6">
        <v>-2</v>
      </c>
      <c r="J20" s="6">
        <v>-6</v>
      </c>
      <c r="K20" s="1" t="s">
        <v>136</v>
      </c>
    </row>
    <row r="21" spans="1:11" ht="25" customHeight="1">
      <c r="A21" s="1"/>
      <c r="B21" s="1" t="s">
        <v>100</v>
      </c>
      <c r="C21" s="1" t="s">
        <v>43</v>
      </c>
      <c r="D21" s="5">
        <v>1625</v>
      </c>
      <c r="E21" s="6">
        <v>-4</v>
      </c>
      <c r="F21" s="6">
        <v>5</v>
      </c>
      <c r="G21" s="6">
        <v>1</v>
      </c>
      <c r="H21" s="6">
        <v>8</v>
      </c>
      <c r="I21" s="6">
        <v>-4</v>
      </c>
      <c r="J21" s="6">
        <v>-8</v>
      </c>
      <c r="K21" s="1" t="s">
        <v>136</v>
      </c>
    </row>
    <row r="22" spans="1:11" ht="25" customHeight="1">
      <c r="A22" s="1"/>
      <c r="B22" s="1" t="s">
        <v>100</v>
      </c>
      <c r="C22" s="1" t="s">
        <v>45</v>
      </c>
      <c r="D22" s="5">
        <v>2757</v>
      </c>
      <c r="E22" s="6">
        <v>3</v>
      </c>
      <c r="F22" s="6">
        <v>8</v>
      </c>
      <c r="G22" s="6">
        <v>-2</v>
      </c>
      <c r="H22" s="6">
        <v>6</v>
      </c>
      <c r="I22" s="6">
        <v>4</v>
      </c>
      <c r="J22" s="6">
        <v>-5</v>
      </c>
      <c r="K22" s="1" t="s">
        <v>136</v>
      </c>
    </row>
    <row r="23" spans="1:11" ht="25" customHeight="1">
      <c r="A23" s="1"/>
      <c r="B23" s="1" t="s">
        <v>100</v>
      </c>
      <c r="C23" s="1" t="s">
        <v>50</v>
      </c>
      <c r="D23" s="5">
        <v>7082</v>
      </c>
      <c r="E23" s="6">
        <v>1</v>
      </c>
      <c r="F23" s="6">
        <v>8</v>
      </c>
      <c r="G23" s="6">
        <v>-4</v>
      </c>
      <c r="H23" s="6">
        <v>11</v>
      </c>
      <c r="I23" s="6">
        <v>1</v>
      </c>
      <c r="J23" s="6">
        <v>-6</v>
      </c>
      <c r="K23" s="1" t="s">
        <v>136</v>
      </c>
    </row>
    <row r="24" spans="1:11" ht="25" customHeight="1">
      <c r="A24" s="1"/>
      <c r="B24" s="1" t="s">
        <v>100</v>
      </c>
      <c r="C24" s="1" t="s">
        <v>55</v>
      </c>
      <c r="D24" s="5">
        <v>4934</v>
      </c>
      <c r="E24" s="6">
        <v>1</v>
      </c>
      <c r="F24" s="6">
        <v>6</v>
      </c>
      <c r="G24" s="6">
        <v>-3</v>
      </c>
      <c r="H24" s="6">
        <v>8</v>
      </c>
      <c r="I24" s="6">
        <v>1</v>
      </c>
      <c r="J24" s="6">
        <v>-5</v>
      </c>
      <c r="K24" s="1" t="s">
        <v>136</v>
      </c>
    </row>
    <row r="25" spans="1:11" ht="25" customHeight="1">
      <c r="A25" s="1"/>
      <c r="B25" s="1" t="s">
        <v>100</v>
      </c>
      <c r="C25" s="1" t="s">
        <v>133</v>
      </c>
      <c r="D25" s="5">
        <v>253</v>
      </c>
      <c r="E25" s="6"/>
      <c r="F25" s="6"/>
      <c r="G25" s="6"/>
      <c r="H25" s="6"/>
      <c r="I25" s="6"/>
      <c r="J25" s="6"/>
      <c r="K25" s="1" t="s">
        <v>136</v>
      </c>
    </row>
    <row r="26" spans="1:11" ht="25" customHeight="1">
      <c r="A26" s="1"/>
      <c r="B26" s="1" t="s">
        <v>100</v>
      </c>
      <c r="C26" s="1" t="s">
        <v>134</v>
      </c>
      <c r="D26" s="5">
        <v>20612</v>
      </c>
      <c r="E26" s="6">
        <v>1</v>
      </c>
      <c r="F26" s="6">
        <v>7</v>
      </c>
      <c r="G26" s="6">
        <v>-3</v>
      </c>
      <c r="H26" s="6">
        <v>9</v>
      </c>
      <c r="I26" s="6">
        <v>1</v>
      </c>
      <c r="J26" s="6">
        <v>-6</v>
      </c>
      <c r="K26" s="1" t="s">
        <v>136</v>
      </c>
    </row>
    <row r="27" spans="1:11" ht="25" customHeight="1">
      <c r="A27" s="1"/>
      <c r="B27" s="1" t="s">
        <v>101</v>
      </c>
      <c r="C27" s="1" t="s">
        <v>34</v>
      </c>
      <c r="D27" s="5">
        <v>3807</v>
      </c>
      <c r="E27" s="6">
        <v>-3</v>
      </c>
      <c r="F27" s="6">
        <v>3</v>
      </c>
      <c r="G27" s="6">
        <v>-4</v>
      </c>
      <c r="H27" s="6">
        <v>9</v>
      </c>
      <c r="I27" s="6">
        <v>-2</v>
      </c>
      <c r="J27" s="6">
        <v>-8</v>
      </c>
      <c r="K27" s="1" t="s">
        <v>137</v>
      </c>
    </row>
    <row r="28" spans="1:11" ht="25" customHeight="1">
      <c r="A28" s="1"/>
      <c r="B28" s="1" t="s">
        <v>101</v>
      </c>
      <c r="C28" s="1" t="s">
        <v>43</v>
      </c>
      <c r="D28" s="5">
        <v>1643</v>
      </c>
      <c r="E28" s="6">
        <v>-9</v>
      </c>
      <c r="F28" s="6">
        <v>0</v>
      </c>
      <c r="G28" s="6">
        <v>-8</v>
      </c>
      <c r="H28" s="6">
        <v>11</v>
      </c>
      <c r="I28" s="6">
        <v>-3</v>
      </c>
      <c r="J28" s="6">
        <v>-9</v>
      </c>
      <c r="K28" s="1" t="s">
        <v>137</v>
      </c>
    </row>
    <row r="29" spans="1:11" ht="25" customHeight="1">
      <c r="A29" s="1"/>
      <c r="B29" s="1" t="s">
        <v>101</v>
      </c>
      <c r="C29" s="1" t="s">
        <v>45</v>
      </c>
      <c r="D29" s="5">
        <v>3051</v>
      </c>
      <c r="E29" s="6">
        <v>2</v>
      </c>
      <c r="F29" s="6">
        <v>8</v>
      </c>
      <c r="G29" s="6">
        <v>-1</v>
      </c>
      <c r="H29" s="6">
        <v>5</v>
      </c>
      <c r="I29" s="6">
        <v>4</v>
      </c>
      <c r="J29" s="6">
        <v>-6</v>
      </c>
      <c r="K29" s="1" t="s">
        <v>137</v>
      </c>
    </row>
    <row r="30" spans="1:11" ht="25" customHeight="1">
      <c r="A30" s="1"/>
      <c r="B30" s="1" t="s">
        <v>101</v>
      </c>
      <c r="C30" s="1" t="s">
        <v>50</v>
      </c>
      <c r="D30" s="5">
        <v>7032</v>
      </c>
      <c r="E30" s="6">
        <v>1</v>
      </c>
      <c r="F30" s="6">
        <v>8</v>
      </c>
      <c r="G30" s="6">
        <v>-7</v>
      </c>
      <c r="H30" s="6">
        <v>13</v>
      </c>
      <c r="I30" s="6">
        <v>2</v>
      </c>
      <c r="J30" s="6">
        <v>-7</v>
      </c>
      <c r="K30" s="1" t="s">
        <v>137</v>
      </c>
    </row>
    <row r="31" spans="1:11" ht="25" customHeight="1">
      <c r="A31" s="1"/>
      <c r="B31" s="1" t="s">
        <v>101</v>
      </c>
      <c r="C31" s="1" t="s">
        <v>55</v>
      </c>
      <c r="D31" s="5">
        <v>5065</v>
      </c>
      <c r="E31" s="6">
        <v>-1</v>
      </c>
      <c r="F31" s="6">
        <v>4</v>
      </c>
      <c r="G31" s="6">
        <v>-6</v>
      </c>
      <c r="H31" s="6">
        <v>8</v>
      </c>
      <c r="I31" s="6">
        <v>2</v>
      </c>
      <c r="J31" s="6">
        <v>-5</v>
      </c>
      <c r="K31" s="1" t="s">
        <v>137</v>
      </c>
    </row>
    <row r="32" spans="1:11" ht="25" customHeight="1">
      <c r="A32" s="1"/>
      <c r="B32" s="1" t="s">
        <v>101</v>
      </c>
      <c r="C32" s="1" t="s">
        <v>133</v>
      </c>
      <c r="D32" s="5">
        <v>175</v>
      </c>
      <c r="E32" s="6"/>
      <c r="F32" s="6"/>
      <c r="G32" s="6"/>
      <c r="H32" s="6"/>
      <c r="I32" s="6"/>
      <c r="J32" s="6"/>
      <c r="K32" s="1" t="s">
        <v>137</v>
      </c>
    </row>
    <row r="33" spans="1:11" ht="25" customHeight="1">
      <c r="A33" s="1"/>
      <c r="B33" s="1" t="s">
        <v>101</v>
      </c>
      <c r="C33" s="1" t="s">
        <v>134</v>
      </c>
      <c r="D33" s="5">
        <v>20773</v>
      </c>
      <c r="E33" s="6">
        <v>-1</v>
      </c>
      <c r="F33" s="6">
        <v>5</v>
      </c>
      <c r="G33" s="6">
        <v>-6</v>
      </c>
      <c r="H33" s="6">
        <v>10</v>
      </c>
      <c r="I33" s="6">
        <v>1</v>
      </c>
      <c r="J33" s="6">
        <v>-6</v>
      </c>
      <c r="K33" s="1" t="s">
        <v>137</v>
      </c>
    </row>
    <row r="34" spans="1:11" ht="25" customHeight="1">
      <c r="A34" s="1"/>
      <c r="B34" s="1" t="s">
        <v>102</v>
      </c>
      <c r="C34" s="1" t="s">
        <v>34</v>
      </c>
      <c r="D34" s="5">
        <v>3494</v>
      </c>
      <c r="E34" s="6">
        <v>3</v>
      </c>
      <c r="F34" s="6">
        <v>7</v>
      </c>
      <c r="G34" s="6">
        <v>0</v>
      </c>
      <c r="H34" s="6">
        <v>8</v>
      </c>
      <c r="I34" s="6">
        <v>-1</v>
      </c>
      <c r="J34" s="6">
        <v>-5</v>
      </c>
      <c r="K34" s="1" t="s">
        <v>138</v>
      </c>
    </row>
    <row r="35" spans="1:11" ht="25" customHeight="1">
      <c r="A35" s="1"/>
      <c r="B35" s="1" t="s">
        <v>102</v>
      </c>
      <c r="C35" s="1" t="s">
        <v>43</v>
      </c>
      <c r="D35" s="5">
        <v>1495</v>
      </c>
      <c r="E35" s="6">
        <v>1</v>
      </c>
      <c r="F35" s="6">
        <v>7</v>
      </c>
      <c r="G35" s="6">
        <v>-1</v>
      </c>
      <c r="H35" s="6">
        <v>10</v>
      </c>
      <c r="I35" s="6">
        <v>-2</v>
      </c>
      <c r="J35" s="6">
        <v>-6</v>
      </c>
      <c r="K35" s="1" t="s">
        <v>138</v>
      </c>
    </row>
    <row r="36" spans="1:11" ht="25" customHeight="1">
      <c r="A36" s="1"/>
      <c r="B36" s="1" t="s">
        <v>102</v>
      </c>
      <c r="C36" s="1" t="s">
        <v>45</v>
      </c>
      <c r="D36" s="5">
        <v>2828</v>
      </c>
      <c r="E36" s="6">
        <v>6</v>
      </c>
      <c r="F36" s="6">
        <v>9</v>
      </c>
      <c r="G36" s="6">
        <v>1</v>
      </c>
      <c r="H36" s="6">
        <v>6</v>
      </c>
      <c r="I36" s="6">
        <v>3</v>
      </c>
      <c r="J36" s="6">
        <v>-3</v>
      </c>
      <c r="K36" s="1" t="s">
        <v>138</v>
      </c>
    </row>
    <row r="37" spans="1:11" ht="25" customHeight="1">
      <c r="A37" s="1"/>
      <c r="B37" s="1" t="s">
        <v>102</v>
      </c>
      <c r="C37" s="1" t="s">
        <v>50</v>
      </c>
      <c r="D37" s="5">
        <v>7016</v>
      </c>
      <c r="E37" s="6">
        <v>5</v>
      </c>
      <c r="F37" s="6">
        <v>9</v>
      </c>
      <c r="G37" s="6">
        <v>-5</v>
      </c>
      <c r="H37" s="6">
        <v>13</v>
      </c>
      <c r="I37" s="6">
        <v>1</v>
      </c>
      <c r="J37" s="6">
        <v>-4</v>
      </c>
      <c r="K37" s="1" t="s">
        <v>138</v>
      </c>
    </row>
    <row r="38" spans="1:11" ht="25" customHeight="1">
      <c r="A38" s="1"/>
      <c r="B38" s="1" t="s">
        <v>102</v>
      </c>
      <c r="C38" s="1" t="s">
        <v>55</v>
      </c>
      <c r="D38" s="5">
        <v>5062</v>
      </c>
      <c r="E38" s="6">
        <v>3</v>
      </c>
      <c r="F38" s="6">
        <v>6</v>
      </c>
      <c r="G38" s="6">
        <v>-4</v>
      </c>
      <c r="H38" s="6">
        <v>8</v>
      </c>
      <c r="I38" s="6">
        <v>2</v>
      </c>
      <c r="J38" s="6">
        <v>-3</v>
      </c>
      <c r="K38" s="1" t="s">
        <v>138</v>
      </c>
    </row>
    <row r="39" spans="1:11" ht="25" customHeight="1">
      <c r="A39" s="1"/>
      <c r="B39" s="1" t="s">
        <v>102</v>
      </c>
      <c r="C39" s="1" t="s">
        <v>133</v>
      </c>
      <c r="D39" s="5">
        <v>173</v>
      </c>
      <c r="E39" s="6"/>
      <c r="F39" s="6"/>
      <c r="G39" s="6"/>
      <c r="H39" s="6"/>
      <c r="I39" s="6"/>
      <c r="J39" s="6"/>
      <c r="K39" s="1" t="s">
        <v>138</v>
      </c>
    </row>
    <row r="40" spans="1:11" ht="25" customHeight="1">
      <c r="A40" s="1"/>
      <c r="B40" s="1" t="s">
        <v>102</v>
      </c>
      <c r="C40" s="1" t="s">
        <v>134</v>
      </c>
      <c r="D40" s="5">
        <v>20068</v>
      </c>
      <c r="E40" s="6">
        <v>4</v>
      </c>
      <c r="F40" s="6">
        <v>7</v>
      </c>
      <c r="G40" s="6">
        <v>-3</v>
      </c>
      <c r="H40" s="6">
        <v>10</v>
      </c>
      <c r="I40" s="6">
        <v>1</v>
      </c>
      <c r="J40" s="6">
        <v>-4</v>
      </c>
      <c r="K40" s="1" t="s">
        <v>138</v>
      </c>
    </row>
    <row r="41" spans="1:11" ht="25" customHeight="1">
      <c r="A41" s="1"/>
      <c r="B41" s="1" t="s">
        <v>103</v>
      </c>
      <c r="C41" s="1" t="s">
        <v>34</v>
      </c>
      <c r="D41" s="5">
        <v>3746</v>
      </c>
      <c r="E41" s="6">
        <v>8</v>
      </c>
      <c r="F41" s="6">
        <v>11</v>
      </c>
      <c r="G41" s="6">
        <v>-1</v>
      </c>
      <c r="H41" s="6">
        <v>8</v>
      </c>
      <c r="I41" s="6">
        <v>4</v>
      </c>
      <c r="J41" s="6">
        <v>-4</v>
      </c>
      <c r="K41" s="1" t="s">
        <v>139</v>
      </c>
    </row>
    <row r="42" spans="1:11" ht="25" customHeight="1">
      <c r="A42" s="1"/>
      <c r="B42" s="1" t="s">
        <v>103</v>
      </c>
      <c r="C42" s="1" t="s">
        <v>43</v>
      </c>
      <c r="D42" s="5">
        <v>1656</v>
      </c>
      <c r="E42" s="6">
        <v>3</v>
      </c>
      <c r="F42" s="6">
        <v>8</v>
      </c>
      <c r="G42" s="6">
        <v>-1</v>
      </c>
      <c r="H42" s="6">
        <v>9</v>
      </c>
      <c r="I42" s="6">
        <v>0</v>
      </c>
      <c r="J42" s="6">
        <v>-5</v>
      </c>
      <c r="K42" s="1" t="s">
        <v>139</v>
      </c>
    </row>
    <row r="43" spans="1:11" ht="25" customHeight="1">
      <c r="A43" s="1"/>
      <c r="B43" s="1" t="s">
        <v>103</v>
      </c>
      <c r="C43" s="1" t="s">
        <v>45</v>
      </c>
      <c r="D43" s="5">
        <v>2590</v>
      </c>
      <c r="E43" s="6">
        <v>3</v>
      </c>
      <c r="F43" s="6">
        <v>5</v>
      </c>
      <c r="G43" s="6">
        <v>-3</v>
      </c>
      <c r="H43" s="6">
        <v>6</v>
      </c>
      <c r="I43" s="6">
        <v>2</v>
      </c>
      <c r="J43" s="6">
        <v>-2</v>
      </c>
      <c r="K43" s="1" t="s">
        <v>139</v>
      </c>
    </row>
    <row r="44" spans="1:11" ht="25" customHeight="1">
      <c r="A44" s="1"/>
      <c r="B44" s="1" t="s">
        <v>103</v>
      </c>
      <c r="C44" s="1" t="s">
        <v>50</v>
      </c>
      <c r="D44" s="5">
        <v>7241</v>
      </c>
      <c r="E44" s="6">
        <v>5</v>
      </c>
      <c r="F44" s="6">
        <v>8</v>
      </c>
      <c r="G44" s="6">
        <v>-2</v>
      </c>
      <c r="H44" s="6">
        <v>6</v>
      </c>
      <c r="I44" s="6">
        <v>3</v>
      </c>
      <c r="J44" s="6">
        <v>-2</v>
      </c>
      <c r="K44" s="1" t="s">
        <v>139</v>
      </c>
    </row>
    <row r="45" spans="1:11" ht="25" customHeight="1">
      <c r="A45" s="1"/>
      <c r="B45" s="1" t="s">
        <v>103</v>
      </c>
      <c r="C45" s="1" t="s">
        <v>55</v>
      </c>
      <c r="D45" s="5">
        <v>5156</v>
      </c>
      <c r="E45" s="6">
        <v>7</v>
      </c>
      <c r="F45" s="6">
        <v>9</v>
      </c>
      <c r="G45" s="6">
        <v>0</v>
      </c>
      <c r="H45" s="6">
        <v>8</v>
      </c>
      <c r="I45" s="6">
        <v>2</v>
      </c>
      <c r="J45" s="6">
        <v>-3</v>
      </c>
      <c r="K45" s="1" t="s">
        <v>139</v>
      </c>
    </row>
    <row r="46" spans="1:11" ht="25" customHeight="1">
      <c r="A46" s="1"/>
      <c r="B46" s="1" t="s">
        <v>103</v>
      </c>
      <c r="C46" s="1" t="s">
        <v>133</v>
      </c>
      <c r="D46" s="5">
        <v>164</v>
      </c>
      <c r="E46" s="6"/>
      <c r="F46" s="6"/>
      <c r="G46" s="6"/>
      <c r="H46" s="6"/>
      <c r="I46" s="6"/>
      <c r="J46" s="6"/>
      <c r="K46" s="1" t="s">
        <v>139</v>
      </c>
    </row>
    <row r="47" spans="1:11" ht="25" customHeight="1">
      <c r="A47" s="1"/>
      <c r="B47" s="1" t="s">
        <v>103</v>
      </c>
      <c r="C47" s="1" t="s">
        <v>134</v>
      </c>
      <c r="D47" s="5">
        <v>20553</v>
      </c>
      <c r="E47" s="6">
        <v>5</v>
      </c>
      <c r="F47" s="6">
        <v>8</v>
      </c>
      <c r="G47" s="6">
        <v>-1</v>
      </c>
      <c r="H47" s="6">
        <v>7</v>
      </c>
      <c r="I47" s="6">
        <v>2</v>
      </c>
      <c r="J47" s="6">
        <v>-3</v>
      </c>
      <c r="K47" s="1" t="s">
        <v>139</v>
      </c>
    </row>
    <row r="48" spans="1:11" ht="25" customHeight="1">
      <c r="A48" s="1"/>
      <c r="B48" s="1" t="s">
        <v>104</v>
      </c>
      <c r="C48" s="1" t="s">
        <v>34</v>
      </c>
      <c r="D48" s="5">
        <v>4097</v>
      </c>
      <c r="E48" s="6">
        <v>3</v>
      </c>
      <c r="F48" s="6">
        <v>5</v>
      </c>
      <c r="G48" s="6">
        <v>0</v>
      </c>
      <c r="H48" s="6">
        <v>7</v>
      </c>
      <c r="I48" s="6">
        <v>-2</v>
      </c>
      <c r="J48" s="6">
        <v>-3</v>
      </c>
      <c r="K48" s="1" t="s">
        <v>140</v>
      </c>
    </row>
    <row r="49" spans="1:11" ht="25" customHeight="1">
      <c r="A49" s="1"/>
      <c r="B49" s="1" t="s">
        <v>104</v>
      </c>
      <c r="C49" s="1" t="s">
        <v>43</v>
      </c>
      <c r="D49" s="5">
        <v>1724</v>
      </c>
      <c r="E49" s="6">
        <v>6</v>
      </c>
      <c r="F49" s="6">
        <v>9</v>
      </c>
      <c r="G49" s="6">
        <v>-2</v>
      </c>
      <c r="H49" s="6">
        <v>9</v>
      </c>
      <c r="I49" s="6">
        <v>1</v>
      </c>
      <c r="J49" s="6">
        <v>-3</v>
      </c>
      <c r="K49" s="1" t="s">
        <v>140</v>
      </c>
    </row>
    <row r="50" spans="1:11" ht="25" customHeight="1">
      <c r="A50" s="1"/>
      <c r="B50" s="1" t="s">
        <v>104</v>
      </c>
      <c r="C50" s="1" t="s">
        <v>45</v>
      </c>
      <c r="D50" s="5">
        <v>3074</v>
      </c>
      <c r="E50" s="6">
        <v>11</v>
      </c>
      <c r="F50" s="6">
        <v>10</v>
      </c>
      <c r="G50" s="6">
        <v>2</v>
      </c>
      <c r="H50" s="6">
        <v>6</v>
      </c>
      <c r="I50" s="6">
        <v>2</v>
      </c>
      <c r="J50" s="6">
        <v>1</v>
      </c>
      <c r="K50" s="1" t="s">
        <v>140</v>
      </c>
    </row>
    <row r="51" spans="1:11" ht="25" customHeight="1">
      <c r="A51" s="1"/>
      <c r="B51" s="1" t="s">
        <v>104</v>
      </c>
      <c r="C51" s="1" t="s">
        <v>50</v>
      </c>
      <c r="D51" s="5">
        <v>7646</v>
      </c>
      <c r="E51" s="6">
        <v>8</v>
      </c>
      <c r="F51" s="6">
        <v>9</v>
      </c>
      <c r="G51" s="6">
        <v>0</v>
      </c>
      <c r="H51" s="6">
        <v>8</v>
      </c>
      <c r="I51" s="6">
        <v>1</v>
      </c>
      <c r="J51" s="6">
        <v>-1</v>
      </c>
      <c r="K51" s="1" t="s">
        <v>140</v>
      </c>
    </row>
    <row r="52" spans="1:11" ht="25" customHeight="1">
      <c r="A52" s="1"/>
      <c r="B52" s="1" t="s">
        <v>104</v>
      </c>
      <c r="C52" s="1" t="s">
        <v>55</v>
      </c>
      <c r="D52" s="5">
        <v>5186</v>
      </c>
      <c r="E52" s="6">
        <v>5</v>
      </c>
      <c r="F52" s="6">
        <v>7</v>
      </c>
      <c r="G52" s="6">
        <v>-3</v>
      </c>
      <c r="H52" s="6">
        <v>8</v>
      </c>
      <c r="I52" s="6">
        <v>2</v>
      </c>
      <c r="J52" s="6">
        <v>-2</v>
      </c>
      <c r="K52" s="1" t="s">
        <v>140</v>
      </c>
    </row>
    <row r="53" spans="1:11" ht="25" customHeight="1">
      <c r="A53" s="1"/>
      <c r="B53" s="1" t="s">
        <v>104</v>
      </c>
      <c r="C53" s="1" t="s">
        <v>133</v>
      </c>
      <c r="D53" s="5">
        <v>144</v>
      </c>
      <c r="E53" s="6"/>
      <c r="F53" s="6"/>
      <c r="G53" s="6"/>
      <c r="H53" s="6"/>
      <c r="I53" s="6"/>
      <c r="J53" s="6"/>
      <c r="K53" s="1" t="s">
        <v>140</v>
      </c>
    </row>
    <row r="54" spans="1:11" ht="25" customHeight="1">
      <c r="A54" s="1"/>
      <c r="B54" s="1" t="s">
        <v>104</v>
      </c>
      <c r="C54" s="1" t="s">
        <v>134</v>
      </c>
      <c r="D54" s="5">
        <v>21871</v>
      </c>
      <c r="E54" s="6">
        <v>6</v>
      </c>
      <c r="F54" s="6">
        <v>7</v>
      </c>
      <c r="G54" s="6">
        <v>-1</v>
      </c>
      <c r="H54" s="6">
        <v>7</v>
      </c>
      <c r="I54" s="6">
        <v>1</v>
      </c>
      <c r="J54" s="6">
        <v>-1</v>
      </c>
      <c r="K54" s="1" t="s">
        <v>140</v>
      </c>
    </row>
    <row r="55" spans="1:11" ht="25" customHeight="1">
      <c r="A55" s="1"/>
      <c r="B55" s="1" t="s">
        <v>105</v>
      </c>
      <c r="C55" s="1" t="s">
        <v>34</v>
      </c>
      <c r="D55" s="5">
        <v>3849</v>
      </c>
      <c r="E55" s="6">
        <v>1</v>
      </c>
      <c r="F55" s="6">
        <v>1</v>
      </c>
      <c r="G55" s="6">
        <v>-1</v>
      </c>
      <c r="H55" s="6">
        <v>4</v>
      </c>
      <c r="I55" s="6">
        <v>-3</v>
      </c>
      <c r="J55" s="6">
        <v>-1</v>
      </c>
      <c r="K55" s="1" t="s">
        <v>141</v>
      </c>
    </row>
    <row r="56" spans="1:11" ht="25" customHeight="1">
      <c r="A56" s="1"/>
      <c r="B56" s="1" t="s">
        <v>105</v>
      </c>
      <c r="C56" s="1" t="s">
        <v>43</v>
      </c>
      <c r="D56" s="5">
        <v>1734</v>
      </c>
      <c r="E56" s="6">
        <v>6</v>
      </c>
      <c r="F56" s="6">
        <v>9</v>
      </c>
      <c r="G56" s="6">
        <v>1</v>
      </c>
      <c r="H56" s="6">
        <v>7</v>
      </c>
      <c r="I56" s="6">
        <v>1</v>
      </c>
      <c r="J56" s="6">
        <v>-3</v>
      </c>
      <c r="K56" s="1" t="s">
        <v>141</v>
      </c>
    </row>
    <row r="57" spans="1:11" ht="25" customHeight="1">
      <c r="A57" s="1"/>
      <c r="B57" s="1" t="s">
        <v>105</v>
      </c>
      <c r="C57" s="1" t="s">
        <v>45</v>
      </c>
      <c r="D57" s="5">
        <v>3172</v>
      </c>
      <c r="E57" s="6">
        <v>4</v>
      </c>
      <c r="F57" s="6">
        <v>2</v>
      </c>
      <c r="G57" s="6">
        <v>-4</v>
      </c>
      <c r="H57" s="6">
        <v>5</v>
      </c>
      <c r="I57" s="6">
        <v>1</v>
      </c>
      <c r="J57" s="6">
        <v>2</v>
      </c>
      <c r="K57" s="1" t="s">
        <v>141</v>
      </c>
    </row>
    <row r="58" spans="1:11" ht="25" customHeight="1">
      <c r="A58" s="1"/>
      <c r="B58" s="1" t="s">
        <v>105</v>
      </c>
      <c r="C58" s="1" t="s">
        <v>50</v>
      </c>
      <c r="D58" s="5">
        <v>7415</v>
      </c>
      <c r="E58" s="6">
        <v>5</v>
      </c>
      <c r="F58" s="6">
        <v>6</v>
      </c>
      <c r="G58" s="6">
        <v>1</v>
      </c>
      <c r="H58" s="6">
        <v>4</v>
      </c>
      <c r="I58" s="6">
        <v>1</v>
      </c>
      <c r="J58" s="6">
        <v>0</v>
      </c>
      <c r="K58" s="1" t="s">
        <v>141</v>
      </c>
    </row>
    <row r="59" spans="1:11" ht="25" customHeight="1">
      <c r="A59" s="1"/>
      <c r="B59" s="1" t="s">
        <v>105</v>
      </c>
      <c r="C59" s="1" t="s">
        <v>55</v>
      </c>
      <c r="D59" s="5">
        <v>5146</v>
      </c>
      <c r="E59" s="6">
        <v>2</v>
      </c>
      <c r="F59" s="6">
        <v>3</v>
      </c>
      <c r="G59" s="6">
        <v>-2</v>
      </c>
      <c r="H59" s="6">
        <v>4</v>
      </c>
      <c r="I59" s="6">
        <v>1</v>
      </c>
      <c r="J59" s="6">
        <v>-1</v>
      </c>
      <c r="K59" s="1" t="s">
        <v>141</v>
      </c>
    </row>
    <row r="60" spans="1:11" ht="25" customHeight="1">
      <c r="A60" s="1"/>
      <c r="B60" s="1" t="s">
        <v>105</v>
      </c>
      <c r="C60" s="1" t="s">
        <v>133</v>
      </c>
      <c r="D60" s="5">
        <v>126</v>
      </c>
      <c r="E60" s="6"/>
      <c r="F60" s="6"/>
      <c r="G60" s="6"/>
      <c r="H60" s="6"/>
      <c r="I60" s="6"/>
      <c r="J60" s="6"/>
      <c r="K60" s="1" t="s">
        <v>141</v>
      </c>
    </row>
    <row r="61" spans="1:11" ht="25" customHeight="1">
      <c r="A61" s="1"/>
      <c r="B61" s="1" t="s">
        <v>105</v>
      </c>
      <c r="C61" s="1" t="s">
        <v>134</v>
      </c>
      <c r="D61" s="5">
        <v>21441</v>
      </c>
      <c r="E61" s="6">
        <v>3</v>
      </c>
      <c r="F61" s="6">
        <v>4</v>
      </c>
      <c r="G61" s="6">
        <v>-1</v>
      </c>
      <c r="H61" s="6">
        <v>4</v>
      </c>
      <c r="I61" s="6">
        <v>0</v>
      </c>
      <c r="J61" s="6">
        <v>-1</v>
      </c>
      <c r="K61" s="1" t="s">
        <v>141</v>
      </c>
    </row>
    <row r="62" spans="1:11" ht="25" customHeight="1">
      <c r="A62" s="1"/>
      <c r="B62" s="1" t="s">
        <v>106</v>
      </c>
      <c r="C62" s="1" t="s">
        <v>34</v>
      </c>
      <c r="D62" s="5">
        <v>3550</v>
      </c>
      <c r="E62" s="6">
        <v>2</v>
      </c>
      <c r="F62" s="6">
        <v>3</v>
      </c>
      <c r="G62" s="6">
        <v>1</v>
      </c>
      <c r="H62" s="6">
        <v>4</v>
      </c>
      <c r="I62" s="6">
        <v>-1</v>
      </c>
      <c r="J62" s="6">
        <v>-3</v>
      </c>
      <c r="K62" s="1" t="s">
        <v>142</v>
      </c>
    </row>
    <row r="63" spans="1:11" ht="25" customHeight="1">
      <c r="A63" s="1"/>
      <c r="B63" s="1" t="s">
        <v>106</v>
      </c>
      <c r="C63" s="1" t="s">
        <v>43</v>
      </c>
      <c r="D63" s="5">
        <v>1539</v>
      </c>
      <c r="E63" s="6">
        <v>3</v>
      </c>
      <c r="F63" s="6">
        <v>10</v>
      </c>
      <c r="G63" s="6">
        <v>2</v>
      </c>
      <c r="H63" s="6">
        <v>10</v>
      </c>
      <c r="I63" s="6">
        <v>-1</v>
      </c>
      <c r="J63" s="6">
        <v>-7</v>
      </c>
      <c r="K63" s="1" t="s">
        <v>142</v>
      </c>
    </row>
    <row r="64" spans="1:11" ht="25" customHeight="1">
      <c r="A64" s="1"/>
      <c r="B64" s="1" t="s">
        <v>106</v>
      </c>
      <c r="C64" s="1" t="s">
        <v>45</v>
      </c>
      <c r="D64" s="5">
        <v>2873</v>
      </c>
      <c r="E64" s="6">
        <v>2</v>
      </c>
      <c r="F64" s="6">
        <v>2</v>
      </c>
      <c r="G64" s="6">
        <v>-4</v>
      </c>
      <c r="H64" s="6">
        <v>4</v>
      </c>
      <c r="I64" s="6">
        <v>3</v>
      </c>
      <c r="J64" s="6">
        <v>-1</v>
      </c>
      <c r="K64" s="1" t="s">
        <v>142</v>
      </c>
    </row>
    <row r="65" spans="1:11" ht="25" customHeight="1">
      <c r="A65" s="1"/>
      <c r="B65" s="1" t="s">
        <v>106</v>
      </c>
      <c r="C65" s="1" t="s">
        <v>50</v>
      </c>
      <c r="D65" s="5">
        <v>7169</v>
      </c>
      <c r="E65" s="6">
        <v>2</v>
      </c>
      <c r="F65" s="6">
        <v>3</v>
      </c>
      <c r="G65" s="6">
        <v>1</v>
      </c>
      <c r="H65" s="6">
        <v>2</v>
      </c>
      <c r="I65" s="6">
        <v>0</v>
      </c>
      <c r="J65" s="6">
        <v>-1</v>
      </c>
      <c r="K65" s="1" t="s">
        <v>142</v>
      </c>
    </row>
    <row r="66" spans="1:11" ht="25" customHeight="1">
      <c r="A66" s="1"/>
      <c r="B66" s="1" t="s">
        <v>106</v>
      </c>
      <c r="C66" s="1" t="s">
        <v>55</v>
      </c>
      <c r="D66" s="5">
        <v>4936</v>
      </c>
      <c r="E66" s="6">
        <v>-2</v>
      </c>
      <c r="F66" s="6">
        <v>0</v>
      </c>
      <c r="G66" s="6">
        <v>-3</v>
      </c>
      <c r="H66" s="6">
        <v>2</v>
      </c>
      <c r="I66" s="6">
        <v>1</v>
      </c>
      <c r="J66" s="6">
        <v>-2</v>
      </c>
      <c r="K66" s="1" t="s">
        <v>142</v>
      </c>
    </row>
    <row r="67" spans="1:11" ht="25" customHeight="1">
      <c r="A67" s="1"/>
      <c r="B67" s="1" t="s">
        <v>106</v>
      </c>
      <c r="C67" s="1" t="s">
        <v>133</v>
      </c>
      <c r="D67" s="5">
        <v>128</v>
      </c>
      <c r="E67" s="6"/>
      <c r="F67" s="6"/>
      <c r="G67" s="6"/>
      <c r="H67" s="6"/>
      <c r="I67" s="6"/>
      <c r="J67" s="6"/>
      <c r="K67" s="1" t="s">
        <v>142</v>
      </c>
    </row>
    <row r="68" spans="1:11" ht="25" customHeight="1">
      <c r="A68" s="1"/>
      <c r="B68" s="1" t="s">
        <v>106</v>
      </c>
      <c r="C68" s="1" t="s">
        <v>134</v>
      </c>
      <c r="D68" s="5">
        <v>20195</v>
      </c>
      <c r="E68" s="6">
        <v>1</v>
      </c>
      <c r="F68" s="6">
        <v>3</v>
      </c>
      <c r="G68" s="6">
        <v>0</v>
      </c>
      <c r="H68" s="6">
        <v>3</v>
      </c>
      <c r="I68" s="6">
        <v>0</v>
      </c>
      <c r="J68" s="6">
        <v>-2</v>
      </c>
      <c r="K68" s="1" t="s">
        <v>142</v>
      </c>
    </row>
    <row r="69" spans="1:11" ht="25" customHeight="1">
      <c r="A69" s="1"/>
      <c r="B69" s="1" t="s">
        <v>107</v>
      </c>
      <c r="C69" s="1" t="s">
        <v>34</v>
      </c>
      <c r="D69" s="5">
        <v>3724</v>
      </c>
      <c r="E69" s="6">
        <v>-1</v>
      </c>
      <c r="F69" s="6">
        <v>3</v>
      </c>
      <c r="G69" s="6">
        <v>1</v>
      </c>
      <c r="H69" s="6">
        <v>3</v>
      </c>
      <c r="I69" s="6">
        <v>0</v>
      </c>
      <c r="J69" s="6">
        <v>-3</v>
      </c>
      <c r="K69" s="1" t="s">
        <v>143</v>
      </c>
    </row>
    <row r="70" spans="1:11" ht="25" customHeight="1">
      <c r="A70" s="1"/>
      <c r="B70" s="1" t="s">
        <v>107</v>
      </c>
      <c r="C70" s="1" t="s">
        <v>43</v>
      </c>
      <c r="D70" s="5">
        <v>1657</v>
      </c>
      <c r="E70" s="6">
        <v>0</v>
      </c>
      <c r="F70" s="6">
        <v>7</v>
      </c>
      <c r="G70" s="6">
        <v>2</v>
      </c>
      <c r="H70" s="6">
        <v>5</v>
      </c>
      <c r="I70" s="6">
        <v>0</v>
      </c>
      <c r="J70" s="6">
        <v>-7</v>
      </c>
      <c r="K70" s="1" t="s">
        <v>143</v>
      </c>
    </row>
    <row r="71" spans="1:11" ht="25" customHeight="1">
      <c r="A71" s="1"/>
      <c r="B71" s="1" t="s">
        <v>107</v>
      </c>
      <c r="C71" s="1" t="s">
        <v>45</v>
      </c>
      <c r="D71" s="5">
        <v>2674</v>
      </c>
      <c r="E71" s="6">
        <v>3</v>
      </c>
      <c r="F71" s="6">
        <v>4</v>
      </c>
      <c r="G71" s="6">
        <v>1</v>
      </c>
      <c r="H71" s="6">
        <v>2</v>
      </c>
      <c r="I71" s="6">
        <v>1</v>
      </c>
      <c r="J71" s="6">
        <v>-1</v>
      </c>
      <c r="K71" s="1" t="s">
        <v>143</v>
      </c>
    </row>
    <row r="72" spans="1:11" ht="25" customHeight="1">
      <c r="A72" s="1"/>
      <c r="B72" s="1" t="s">
        <v>107</v>
      </c>
      <c r="C72" s="1" t="s">
        <v>50</v>
      </c>
      <c r="D72" s="5">
        <v>7265</v>
      </c>
      <c r="E72" s="6">
        <v>0</v>
      </c>
      <c r="F72" s="6">
        <v>2</v>
      </c>
      <c r="G72" s="6">
        <v>3</v>
      </c>
      <c r="H72" s="6">
        <v>-1</v>
      </c>
      <c r="I72" s="6">
        <v>1</v>
      </c>
      <c r="J72" s="6">
        <v>-1</v>
      </c>
      <c r="K72" s="1" t="s">
        <v>143</v>
      </c>
    </row>
    <row r="73" spans="1:11" ht="25" customHeight="1">
      <c r="A73" s="1"/>
      <c r="B73" s="1" t="s">
        <v>107</v>
      </c>
      <c r="C73" s="1" t="s">
        <v>55</v>
      </c>
      <c r="D73" s="5">
        <v>5009</v>
      </c>
      <c r="E73" s="6">
        <v>-3</v>
      </c>
      <c r="F73" s="6">
        <v>-1</v>
      </c>
      <c r="G73" s="6">
        <v>-1</v>
      </c>
      <c r="H73" s="6">
        <v>0</v>
      </c>
      <c r="I73" s="6">
        <v>0</v>
      </c>
      <c r="J73" s="6">
        <v>-2</v>
      </c>
      <c r="K73" s="1" t="s">
        <v>143</v>
      </c>
    </row>
    <row r="74" spans="1:11" ht="25" customHeight="1">
      <c r="A74" s="1"/>
      <c r="B74" s="1" t="s">
        <v>107</v>
      </c>
      <c r="C74" s="1" t="s">
        <v>133</v>
      </c>
      <c r="D74" s="5">
        <v>202</v>
      </c>
      <c r="E74" s="6"/>
      <c r="F74" s="6"/>
      <c r="G74" s="6"/>
      <c r="H74" s="6"/>
      <c r="I74" s="6"/>
      <c r="J74" s="6"/>
      <c r="K74" s="1" t="s">
        <v>143</v>
      </c>
    </row>
    <row r="75" spans="1:11" ht="25" customHeight="1">
      <c r="A75" s="1"/>
      <c r="B75" s="1" t="s">
        <v>107</v>
      </c>
      <c r="C75" s="1" t="s">
        <v>134</v>
      </c>
      <c r="D75" s="5">
        <v>20532</v>
      </c>
      <c r="E75" s="6">
        <v>0</v>
      </c>
      <c r="F75" s="6">
        <v>2</v>
      </c>
      <c r="G75" s="6">
        <v>2</v>
      </c>
      <c r="H75" s="6">
        <v>1</v>
      </c>
      <c r="I75" s="6">
        <v>0</v>
      </c>
      <c r="J75" s="6">
        <v>-2</v>
      </c>
      <c r="K75" s="1" t="s">
        <v>143</v>
      </c>
    </row>
    <row r="76" spans="1:11" ht="25" customHeight="1">
      <c r="A76" s="1"/>
      <c r="B76" s="1" t="s">
        <v>108</v>
      </c>
      <c r="C76" s="1" t="s">
        <v>34</v>
      </c>
      <c r="D76" s="5">
        <v>3892</v>
      </c>
      <c r="E76" s="6">
        <v>-5</v>
      </c>
      <c r="F76" s="6">
        <v>-2</v>
      </c>
      <c r="G76" s="6">
        <v>0</v>
      </c>
      <c r="H76" s="6">
        <v>1</v>
      </c>
      <c r="I76" s="6">
        <v>-3</v>
      </c>
      <c r="J76" s="6">
        <v>-1</v>
      </c>
      <c r="K76" s="1" t="s">
        <v>144</v>
      </c>
    </row>
    <row r="77" spans="1:11" ht="25" customHeight="1">
      <c r="A77" s="1"/>
      <c r="B77" s="1" t="s">
        <v>108</v>
      </c>
      <c r="C77" s="1" t="s">
        <v>43</v>
      </c>
      <c r="D77" s="5">
        <v>1723</v>
      </c>
      <c r="E77" s="6">
        <v>0</v>
      </c>
      <c r="F77" s="6">
        <v>3</v>
      </c>
      <c r="G77" s="6">
        <v>5</v>
      </c>
      <c r="H77" s="6">
        <v>1</v>
      </c>
      <c r="I77" s="6">
        <v>-3</v>
      </c>
      <c r="J77" s="6">
        <v>-2</v>
      </c>
      <c r="K77" s="1" t="s">
        <v>144</v>
      </c>
    </row>
    <row r="78" spans="1:11" ht="25" customHeight="1">
      <c r="A78" s="1"/>
      <c r="B78" s="1" t="s">
        <v>108</v>
      </c>
      <c r="C78" s="1" t="s">
        <v>45</v>
      </c>
      <c r="D78" s="5">
        <v>3147</v>
      </c>
      <c r="E78" s="6">
        <v>2</v>
      </c>
      <c r="F78" s="6">
        <v>4</v>
      </c>
      <c r="G78" s="6">
        <v>-1</v>
      </c>
      <c r="H78" s="6">
        <v>1</v>
      </c>
      <c r="I78" s="6">
        <v>4</v>
      </c>
      <c r="J78" s="6">
        <v>-1</v>
      </c>
      <c r="K78" s="1" t="s">
        <v>144</v>
      </c>
    </row>
    <row r="79" spans="1:11" ht="25" customHeight="1">
      <c r="A79" s="1"/>
      <c r="B79" s="1" t="s">
        <v>108</v>
      </c>
      <c r="C79" s="1" t="s">
        <v>50</v>
      </c>
      <c r="D79" s="5">
        <v>7710</v>
      </c>
      <c r="E79" s="6">
        <v>1</v>
      </c>
      <c r="F79" s="6">
        <v>3</v>
      </c>
      <c r="G79" s="6">
        <v>1</v>
      </c>
      <c r="H79" s="6">
        <v>0</v>
      </c>
      <c r="I79" s="6">
        <v>1</v>
      </c>
      <c r="J79" s="6">
        <v>-1</v>
      </c>
      <c r="K79" s="1" t="s">
        <v>144</v>
      </c>
    </row>
    <row r="80" spans="1:11" ht="25" customHeight="1">
      <c r="A80" s="1"/>
      <c r="B80" s="1" t="s">
        <v>108</v>
      </c>
      <c r="C80" s="1" t="s">
        <v>55</v>
      </c>
      <c r="D80" s="5">
        <v>5102</v>
      </c>
      <c r="E80" s="6">
        <v>-2</v>
      </c>
      <c r="F80" s="6">
        <v>0</v>
      </c>
      <c r="G80" s="6">
        <v>-1</v>
      </c>
      <c r="H80" s="6">
        <v>0</v>
      </c>
      <c r="I80" s="6">
        <v>0</v>
      </c>
      <c r="J80" s="6">
        <v>-1</v>
      </c>
      <c r="K80" s="1" t="s">
        <v>144</v>
      </c>
    </row>
    <row r="81" spans="1:11" ht="25" customHeight="1">
      <c r="A81" s="1"/>
      <c r="B81" s="1" t="s">
        <v>108</v>
      </c>
      <c r="C81" s="1" t="s">
        <v>133</v>
      </c>
      <c r="D81" s="5">
        <v>163</v>
      </c>
      <c r="E81" s="6"/>
      <c r="F81" s="6"/>
      <c r="G81" s="6"/>
      <c r="H81" s="6"/>
      <c r="I81" s="6"/>
      <c r="J81" s="6"/>
      <c r="K81" s="1" t="s">
        <v>144</v>
      </c>
    </row>
    <row r="82" spans="1:11" ht="25" customHeight="1">
      <c r="A82" s="1"/>
      <c r="B82" s="1" t="s">
        <v>108</v>
      </c>
      <c r="C82" s="1" t="s">
        <v>134</v>
      </c>
      <c r="D82" s="5">
        <v>21737</v>
      </c>
      <c r="E82" s="6">
        <v>-1</v>
      </c>
      <c r="F82" s="6">
        <v>2</v>
      </c>
      <c r="G82" s="6">
        <v>1</v>
      </c>
      <c r="H82" s="6">
        <v>1</v>
      </c>
      <c r="I82" s="6">
        <v>0</v>
      </c>
      <c r="J82" s="6">
        <v>-1</v>
      </c>
      <c r="K82" s="1" t="s">
        <v>144</v>
      </c>
    </row>
    <row r="83" spans="1:11" ht="25" customHeight="1">
      <c r="A83" s="1"/>
      <c r="B83" s="1" t="s">
        <v>109</v>
      </c>
      <c r="C83" s="1" t="s">
        <v>34</v>
      </c>
      <c r="D83" s="5">
        <v>3848</v>
      </c>
      <c r="E83" s="6">
        <v>0</v>
      </c>
      <c r="F83" s="6">
        <v>2</v>
      </c>
      <c r="G83" s="6">
        <v>0</v>
      </c>
      <c r="H83" s="6">
        <v>2</v>
      </c>
      <c r="I83" s="6">
        <v>0</v>
      </c>
      <c r="J83" s="6">
        <v>-1</v>
      </c>
      <c r="K83" s="1" t="s">
        <v>145</v>
      </c>
    </row>
    <row r="84" spans="1:11" ht="25" customHeight="1">
      <c r="A84" s="1"/>
      <c r="B84" s="1" t="s">
        <v>109</v>
      </c>
      <c r="C84" s="1" t="s">
        <v>43</v>
      </c>
      <c r="D84" s="5">
        <v>1752</v>
      </c>
      <c r="E84" s="6">
        <v>1</v>
      </c>
      <c r="F84" s="6">
        <v>2</v>
      </c>
      <c r="G84" s="6">
        <v>2</v>
      </c>
      <c r="H84" s="6">
        <v>1</v>
      </c>
      <c r="I84" s="6">
        <v>-1</v>
      </c>
      <c r="J84" s="6">
        <v>-1</v>
      </c>
      <c r="K84" s="1" t="s">
        <v>145</v>
      </c>
    </row>
    <row r="85" spans="1:11" ht="25" customHeight="1">
      <c r="A85" s="1"/>
      <c r="B85" s="1" t="s">
        <v>109</v>
      </c>
      <c r="C85" s="1" t="s">
        <v>45</v>
      </c>
      <c r="D85" s="5">
        <v>3249</v>
      </c>
      <c r="E85" s="6">
        <v>2</v>
      </c>
      <c r="F85" s="6">
        <v>3</v>
      </c>
      <c r="G85" s="6">
        <v>0</v>
      </c>
      <c r="H85" s="6">
        <v>1</v>
      </c>
      <c r="I85" s="6">
        <v>2</v>
      </c>
      <c r="J85" s="6">
        <v>0</v>
      </c>
      <c r="K85" s="1" t="s">
        <v>145</v>
      </c>
    </row>
    <row r="86" spans="1:11" ht="25" customHeight="1">
      <c r="A86" s="1"/>
      <c r="B86" s="1" t="s">
        <v>109</v>
      </c>
      <c r="C86" s="1" t="s">
        <v>50</v>
      </c>
      <c r="D86" s="5">
        <v>7575</v>
      </c>
      <c r="E86" s="6">
        <v>2</v>
      </c>
      <c r="F86" s="6">
        <v>3</v>
      </c>
      <c r="G86" s="6">
        <v>2</v>
      </c>
      <c r="H86" s="6">
        <v>0</v>
      </c>
      <c r="I86" s="6">
        <v>1</v>
      </c>
      <c r="J86" s="6">
        <v>0</v>
      </c>
      <c r="K86" s="1" t="s">
        <v>145</v>
      </c>
    </row>
    <row r="87" spans="1:11" ht="25" customHeight="1">
      <c r="A87" s="1"/>
      <c r="B87" s="1" t="s">
        <v>109</v>
      </c>
      <c r="C87" s="1" t="s">
        <v>55</v>
      </c>
      <c r="D87" s="5">
        <v>5298</v>
      </c>
      <c r="E87" s="6">
        <v>3</v>
      </c>
      <c r="F87" s="6">
        <v>4</v>
      </c>
      <c r="G87" s="6">
        <v>4</v>
      </c>
      <c r="H87" s="6">
        <v>-1</v>
      </c>
      <c r="I87" s="6">
        <v>0</v>
      </c>
      <c r="J87" s="6">
        <v>0</v>
      </c>
      <c r="K87" s="1" t="s">
        <v>145</v>
      </c>
    </row>
    <row r="88" spans="1:11" ht="25" customHeight="1">
      <c r="A88" s="1"/>
      <c r="B88" s="1" t="s">
        <v>109</v>
      </c>
      <c r="C88" s="1" t="s">
        <v>133</v>
      </c>
      <c r="D88" s="5">
        <v>159</v>
      </c>
      <c r="E88" s="6"/>
      <c r="F88" s="6"/>
      <c r="G88" s="6"/>
      <c r="H88" s="6"/>
      <c r="I88" s="6"/>
      <c r="J88" s="6"/>
      <c r="K88" s="1" t="s">
        <v>145</v>
      </c>
    </row>
    <row r="89" spans="1:11" ht="25" customHeight="1">
      <c r="A89" s="1"/>
      <c r="B89" s="1" t="s">
        <v>109</v>
      </c>
      <c r="C89" s="1" t="s">
        <v>134</v>
      </c>
      <c r="D89" s="5">
        <v>21882</v>
      </c>
      <c r="E89" s="6">
        <v>2</v>
      </c>
      <c r="F89" s="6">
        <v>3</v>
      </c>
      <c r="G89" s="6">
        <v>2</v>
      </c>
      <c r="H89" s="6">
        <v>0</v>
      </c>
      <c r="I89" s="6">
        <v>1</v>
      </c>
      <c r="J89" s="6">
        <v>0</v>
      </c>
      <c r="K89" s="1" t="s">
        <v>145</v>
      </c>
    </row>
    <row r="90" spans="1:11" ht="25" customHeight="1">
      <c r="A90" s="1"/>
      <c r="B90" s="1" t="s">
        <v>110</v>
      </c>
      <c r="C90" s="1" t="s">
        <v>34</v>
      </c>
      <c r="D90" s="5">
        <v>3490</v>
      </c>
      <c r="E90" s="6">
        <v>-2</v>
      </c>
      <c r="F90" s="6">
        <v>2</v>
      </c>
      <c r="G90" s="6">
        <v>1</v>
      </c>
      <c r="H90" s="6">
        <v>3</v>
      </c>
      <c r="I90" s="6">
        <v>-2</v>
      </c>
      <c r="J90" s="6">
        <v>-3</v>
      </c>
      <c r="K90" s="1" t="s">
        <v>146</v>
      </c>
    </row>
    <row r="91" spans="1:11" ht="25" customHeight="1">
      <c r="A91" s="1"/>
      <c r="B91" s="1" t="s">
        <v>110</v>
      </c>
      <c r="C91" s="1" t="s">
        <v>43</v>
      </c>
      <c r="D91" s="5">
        <v>1505</v>
      </c>
      <c r="E91" s="6">
        <v>-2</v>
      </c>
      <c r="F91" s="6">
        <v>3</v>
      </c>
      <c r="G91" s="6">
        <v>1</v>
      </c>
      <c r="H91" s="6">
        <v>2</v>
      </c>
      <c r="I91" s="6">
        <v>0</v>
      </c>
      <c r="J91" s="6">
        <v>-4</v>
      </c>
      <c r="K91" s="1" t="s">
        <v>146</v>
      </c>
    </row>
    <row r="92" spans="1:11" ht="25" customHeight="1">
      <c r="A92" s="1"/>
      <c r="B92" s="1" t="s">
        <v>110</v>
      </c>
      <c r="C92" s="1" t="s">
        <v>45</v>
      </c>
      <c r="D92" s="5">
        <v>2880</v>
      </c>
      <c r="E92" s="6">
        <v>0</v>
      </c>
      <c r="F92" s="6">
        <v>4</v>
      </c>
      <c r="G92" s="6">
        <v>-1</v>
      </c>
      <c r="H92" s="6">
        <v>1</v>
      </c>
      <c r="I92" s="6">
        <v>3</v>
      </c>
      <c r="J92" s="6">
        <v>-3</v>
      </c>
      <c r="K92" s="1" t="s">
        <v>146</v>
      </c>
    </row>
    <row r="93" spans="1:11" ht="25" customHeight="1">
      <c r="A93" s="1"/>
      <c r="B93" s="1" t="s">
        <v>110</v>
      </c>
      <c r="C93" s="1" t="s">
        <v>50</v>
      </c>
      <c r="D93" s="5">
        <v>6948</v>
      </c>
      <c r="E93" s="6">
        <v>-3</v>
      </c>
      <c r="F93" s="6">
        <v>0</v>
      </c>
      <c r="G93" s="6">
        <v>0</v>
      </c>
      <c r="H93" s="6">
        <v>0</v>
      </c>
      <c r="I93" s="6">
        <v>0</v>
      </c>
      <c r="J93" s="6">
        <v>-2</v>
      </c>
      <c r="K93" s="1" t="s">
        <v>146</v>
      </c>
    </row>
    <row r="94" spans="1:11" ht="25" customHeight="1">
      <c r="A94" s="1"/>
      <c r="B94" s="1" t="s">
        <v>110</v>
      </c>
      <c r="C94" s="1" t="s">
        <v>55</v>
      </c>
      <c r="D94" s="5">
        <v>4755</v>
      </c>
      <c r="E94" s="6">
        <v>-4</v>
      </c>
      <c r="F94" s="6">
        <v>-1</v>
      </c>
      <c r="G94" s="6">
        <v>-2</v>
      </c>
      <c r="H94" s="6">
        <v>0</v>
      </c>
      <c r="I94" s="6">
        <v>1</v>
      </c>
      <c r="J94" s="6">
        <v>-2</v>
      </c>
      <c r="K94" s="1" t="s">
        <v>146</v>
      </c>
    </row>
    <row r="95" spans="1:11" ht="25" customHeight="1">
      <c r="A95" s="1"/>
      <c r="B95" s="1" t="s">
        <v>110</v>
      </c>
      <c r="C95" s="1" t="s">
        <v>133</v>
      </c>
      <c r="D95" s="5">
        <v>198</v>
      </c>
      <c r="E95" s="6"/>
      <c r="F95" s="6"/>
      <c r="G95" s="6"/>
      <c r="H95" s="6"/>
      <c r="I95" s="6"/>
      <c r="J95" s="6"/>
      <c r="K95" s="1" t="s">
        <v>146</v>
      </c>
    </row>
    <row r="96" spans="1:11" ht="25" customHeight="1">
      <c r="A96" s="1"/>
      <c r="B96" s="1" t="s">
        <v>110</v>
      </c>
      <c r="C96" s="1" t="s">
        <v>134</v>
      </c>
      <c r="D96" s="5">
        <v>19776</v>
      </c>
      <c r="E96" s="6">
        <v>-2</v>
      </c>
      <c r="F96" s="6">
        <v>1</v>
      </c>
      <c r="G96" s="6">
        <v>0</v>
      </c>
      <c r="H96" s="6">
        <v>1</v>
      </c>
      <c r="I96" s="6">
        <v>0</v>
      </c>
      <c r="J96" s="6">
        <v>-2</v>
      </c>
      <c r="K96" s="1" t="s">
        <v>146</v>
      </c>
    </row>
    <row r="97" spans="1:11" ht="25" customHeight="1">
      <c r="A97" s="1"/>
      <c r="B97" s="1" t="s">
        <v>111</v>
      </c>
      <c r="C97" s="1" t="s">
        <v>34</v>
      </c>
      <c r="D97" s="5">
        <v>3733</v>
      </c>
      <c r="E97" s="6">
        <v>0</v>
      </c>
      <c r="F97" s="6">
        <v>1</v>
      </c>
      <c r="G97" s="6">
        <v>1</v>
      </c>
      <c r="H97" s="6">
        <v>1</v>
      </c>
      <c r="I97" s="6">
        <v>-1</v>
      </c>
      <c r="J97" s="6">
        <v>-1</v>
      </c>
      <c r="K97" s="1" t="s">
        <v>147</v>
      </c>
    </row>
    <row r="98" spans="1:11" ht="25" customHeight="1">
      <c r="A98" s="1"/>
      <c r="B98" s="1" t="s">
        <v>111</v>
      </c>
      <c r="C98" s="1" t="s">
        <v>43</v>
      </c>
      <c r="D98" s="5">
        <v>1683</v>
      </c>
      <c r="E98" s="6">
        <v>2</v>
      </c>
      <c r="F98" s="6">
        <v>1</v>
      </c>
      <c r="G98" s="6">
        <v>-1</v>
      </c>
      <c r="H98" s="6">
        <v>4</v>
      </c>
      <c r="I98" s="6">
        <v>-1</v>
      </c>
      <c r="J98" s="6">
        <v>0</v>
      </c>
      <c r="K98" s="1" t="s">
        <v>147</v>
      </c>
    </row>
    <row r="99" spans="1:11" ht="25" customHeight="1">
      <c r="A99" s="1"/>
      <c r="B99" s="1" t="s">
        <v>111</v>
      </c>
      <c r="C99" s="1" t="s">
        <v>45</v>
      </c>
      <c r="D99" s="5">
        <v>2722</v>
      </c>
      <c r="E99" s="6">
        <v>2</v>
      </c>
      <c r="F99" s="6">
        <v>2</v>
      </c>
      <c r="G99" s="6">
        <v>-2</v>
      </c>
      <c r="H99" s="6">
        <v>1</v>
      </c>
      <c r="I99" s="6">
        <v>3</v>
      </c>
      <c r="J99" s="6">
        <v>0</v>
      </c>
      <c r="K99" s="1" t="s">
        <v>147</v>
      </c>
    </row>
    <row r="100" spans="1:11" ht="25" customHeight="1">
      <c r="A100" s="1"/>
      <c r="B100" s="1" t="s">
        <v>111</v>
      </c>
      <c r="C100" s="1" t="s">
        <v>50</v>
      </c>
      <c r="D100" s="5">
        <v>7385</v>
      </c>
      <c r="E100" s="6">
        <v>2</v>
      </c>
      <c r="F100" s="6">
        <v>1</v>
      </c>
      <c r="G100" s="6">
        <v>0</v>
      </c>
      <c r="H100" s="6">
        <v>1</v>
      </c>
      <c r="I100" s="6">
        <v>0</v>
      </c>
      <c r="J100" s="6">
        <v>1</v>
      </c>
      <c r="K100" s="1" t="s">
        <v>147</v>
      </c>
    </row>
    <row r="101" spans="1:11" ht="25" customHeight="1">
      <c r="A101" s="1"/>
      <c r="B101" s="1" t="s">
        <v>111</v>
      </c>
      <c r="C101" s="1" t="s">
        <v>55</v>
      </c>
      <c r="D101" s="5">
        <v>5093</v>
      </c>
      <c r="E101" s="6">
        <v>2</v>
      </c>
      <c r="F101" s="6">
        <v>1</v>
      </c>
      <c r="G101" s="6">
        <v>0</v>
      </c>
      <c r="H101" s="6">
        <v>1</v>
      </c>
      <c r="I101" s="6">
        <v>0</v>
      </c>
      <c r="J101" s="6">
        <v>1</v>
      </c>
      <c r="K101" s="1" t="s">
        <v>147</v>
      </c>
    </row>
    <row r="102" spans="1:11" ht="25" customHeight="1">
      <c r="A102" s="1"/>
      <c r="B102" s="1" t="s">
        <v>111</v>
      </c>
      <c r="C102" s="1" t="s">
        <v>133</v>
      </c>
      <c r="D102" s="5">
        <v>274</v>
      </c>
      <c r="E102" s="6"/>
      <c r="F102" s="6"/>
      <c r="G102" s="6"/>
      <c r="H102" s="6"/>
      <c r="I102" s="6"/>
      <c r="J102" s="6"/>
      <c r="K102" s="1" t="s">
        <v>147</v>
      </c>
    </row>
    <row r="103" spans="1:11" ht="25" customHeight="1">
      <c r="A103" s="1"/>
      <c r="B103" s="1" t="s">
        <v>111</v>
      </c>
      <c r="C103" s="1" t="s">
        <v>134</v>
      </c>
      <c r="D103" s="5">
        <v>20889</v>
      </c>
      <c r="E103" s="6">
        <v>2</v>
      </c>
      <c r="F103" s="6">
        <v>2</v>
      </c>
      <c r="G103" s="6">
        <v>0</v>
      </c>
      <c r="H103" s="6">
        <v>1</v>
      </c>
      <c r="I103" s="6">
        <v>1</v>
      </c>
      <c r="J103" s="6">
        <v>0</v>
      </c>
      <c r="K103" s="1" t="s">
        <v>147</v>
      </c>
    </row>
    <row r="104" spans="1:11" ht="25" customHeight="1">
      <c r="A104" s="1"/>
      <c r="B104" s="1" t="s">
        <v>112</v>
      </c>
      <c r="C104" s="1" t="s">
        <v>34</v>
      </c>
      <c r="D104" s="5">
        <v>4143</v>
      </c>
      <c r="E104" s="6">
        <v>6</v>
      </c>
      <c r="F104" s="6">
        <v>6</v>
      </c>
      <c r="G104" s="6">
        <v>4</v>
      </c>
      <c r="H104" s="6">
        <v>2</v>
      </c>
      <c r="I104" s="6">
        <v>-1</v>
      </c>
      <c r="J104" s="6">
        <v>1</v>
      </c>
      <c r="K104" s="1" t="s">
        <v>148</v>
      </c>
    </row>
    <row r="105" spans="1:11" ht="25" customHeight="1">
      <c r="A105" s="1"/>
      <c r="B105" s="1" t="s">
        <v>112</v>
      </c>
      <c r="C105" s="1" t="s">
        <v>43</v>
      </c>
      <c r="D105" s="5">
        <v>1817</v>
      </c>
      <c r="E105" s="6">
        <v>5</v>
      </c>
      <c r="F105" s="6">
        <v>3</v>
      </c>
      <c r="G105" s="6">
        <v>1</v>
      </c>
      <c r="H105" s="6">
        <v>4</v>
      </c>
      <c r="I105" s="6">
        <v>-2</v>
      </c>
      <c r="J105" s="6">
        <v>2</v>
      </c>
      <c r="K105" s="1" t="s">
        <v>148</v>
      </c>
    </row>
    <row r="106" spans="1:11" ht="25" customHeight="1">
      <c r="A106" s="1"/>
      <c r="B106" s="1" t="s">
        <v>112</v>
      </c>
      <c r="C106" s="1" t="s">
        <v>45</v>
      </c>
      <c r="D106" s="5">
        <v>3220</v>
      </c>
      <c r="E106" s="6">
        <v>2</v>
      </c>
      <c r="F106" s="6">
        <v>1</v>
      </c>
      <c r="G106" s="6">
        <v>-2</v>
      </c>
      <c r="H106" s="6">
        <v>1</v>
      </c>
      <c r="I106" s="6">
        <v>2</v>
      </c>
      <c r="J106" s="6">
        <v>1</v>
      </c>
      <c r="K106" s="1" t="s">
        <v>148</v>
      </c>
    </row>
    <row r="107" spans="1:11" ht="25" customHeight="1">
      <c r="A107" s="1"/>
      <c r="B107" s="1" t="s">
        <v>112</v>
      </c>
      <c r="C107" s="1" t="s">
        <v>50</v>
      </c>
      <c r="D107" s="5">
        <v>7793</v>
      </c>
      <c r="E107" s="6">
        <v>1</v>
      </c>
      <c r="F107" s="6">
        <v>0</v>
      </c>
      <c r="G107" s="6">
        <v>-2</v>
      </c>
      <c r="H107" s="6">
        <v>1</v>
      </c>
      <c r="I107" s="6">
        <v>0</v>
      </c>
      <c r="J107" s="6">
        <v>2</v>
      </c>
      <c r="K107" s="1" t="s">
        <v>148</v>
      </c>
    </row>
    <row r="108" spans="1:11" ht="25" customHeight="1">
      <c r="A108" s="1"/>
      <c r="B108" s="1" t="s">
        <v>112</v>
      </c>
      <c r="C108" s="1" t="s">
        <v>55</v>
      </c>
      <c r="D108" s="5">
        <v>5171</v>
      </c>
      <c r="E108" s="6">
        <v>1</v>
      </c>
      <c r="F108" s="6">
        <v>0</v>
      </c>
      <c r="G108" s="6">
        <v>0</v>
      </c>
      <c r="H108" s="6">
        <v>0</v>
      </c>
      <c r="I108" s="6">
        <v>0</v>
      </c>
      <c r="J108" s="6">
        <v>1</v>
      </c>
      <c r="K108" s="1" t="s">
        <v>148</v>
      </c>
    </row>
    <row r="109" spans="1:11" ht="25" customHeight="1">
      <c r="A109" s="1"/>
      <c r="B109" s="1" t="s">
        <v>112</v>
      </c>
      <c r="C109" s="1" t="s">
        <v>133</v>
      </c>
      <c r="D109" s="5">
        <v>242</v>
      </c>
      <c r="E109" s="6"/>
      <c r="F109" s="6"/>
      <c r="G109" s="6"/>
      <c r="H109" s="6"/>
      <c r="I109" s="6"/>
      <c r="J109" s="6"/>
      <c r="K109" s="1" t="s">
        <v>148</v>
      </c>
    </row>
    <row r="110" spans="1:11" ht="25" customHeight="1">
      <c r="A110" s="1"/>
      <c r="B110" s="1" t="s">
        <v>112</v>
      </c>
      <c r="C110" s="1" t="s">
        <v>134</v>
      </c>
      <c r="D110" s="5">
        <v>22386</v>
      </c>
      <c r="E110" s="6">
        <v>3</v>
      </c>
      <c r="F110" s="6">
        <v>2</v>
      </c>
      <c r="G110" s="6">
        <v>0</v>
      </c>
      <c r="H110" s="6">
        <v>1</v>
      </c>
      <c r="I110" s="6">
        <v>1</v>
      </c>
      <c r="J110" s="6">
        <v>1</v>
      </c>
      <c r="K110" s="1" t="s">
        <v>148</v>
      </c>
    </row>
    <row r="111" spans="1:11" ht="25" customHeight="1">
      <c r="A111" s="1"/>
      <c r="B111" s="1" t="s">
        <v>113</v>
      </c>
      <c r="C111" s="1" t="s">
        <v>34</v>
      </c>
      <c r="D111" s="5">
        <v>4039</v>
      </c>
      <c r="E111" s="6">
        <v>5</v>
      </c>
      <c r="F111" s="6">
        <v>4</v>
      </c>
      <c r="G111" s="6">
        <v>3</v>
      </c>
      <c r="H111" s="6">
        <v>2</v>
      </c>
      <c r="I111" s="6">
        <v>-1</v>
      </c>
      <c r="J111" s="6">
        <v>1</v>
      </c>
      <c r="K111" s="1" t="s">
        <v>149</v>
      </c>
    </row>
    <row r="112" spans="1:11" ht="25" customHeight="1">
      <c r="A112" s="1"/>
      <c r="B112" s="1" t="s">
        <v>113</v>
      </c>
      <c r="C112" s="1" t="s">
        <v>43</v>
      </c>
      <c r="D112" s="5">
        <v>1794</v>
      </c>
      <c r="E112" s="6">
        <v>2</v>
      </c>
      <c r="F112" s="6">
        <v>0</v>
      </c>
      <c r="G112" s="6">
        <v>-2</v>
      </c>
      <c r="H112" s="6">
        <v>2</v>
      </c>
      <c r="I112" s="6">
        <v>0</v>
      </c>
      <c r="J112" s="6">
        <v>2</v>
      </c>
      <c r="K112" s="1" t="s">
        <v>149</v>
      </c>
    </row>
    <row r="113" spans="1:11" ht="25" customHeight="1">
      <c r="A113" s="1"/>
      <c r="B113" s="1" t="s">
        <v>113</v>
      </c>
      <c r="C113" s="1" t="s">
        <v>45</v>
      </c>
      <c r="D113" s="5">
        <v>3406</v>
      </c>
      <c r="E113" s="6">
        <v>5</v>
      </c>
      <c r="F113" s="6">
        <v>3</v>
      </c>
      <c r="G113" s="6">
        <v>-1</v>
      </c>
      <c r="H113" s="6">
        <v>1</v>
      </c>
      <c r="I113" s="6">
        <v>2</v>
      </c>
      <c r="J113" s="6">
        <v>2</v>
      </c>
      <c r="K113" s="1" t="s">
        <v>149</v>
      </c>
    </row>
    <row r="114" spans="1:11" ht="25" customHeight="1">
      <c r="A114" s="1"/>
      <c r="B114" s="1" t="s">
        <v>113</v>
      </c>
      <c r="C114" s="1" t="s">
        <v>50</v>
      </c>
      <c r="D114" s="5">
        <v>7686</v>
      </c>
      <c r="E114" s="6">
        <v>1</v>
      </c>
      <c r="F114" s="6">
        <v>0</v>
      </c>
      <c r="G114" s="6">
        <v>0</v>
      </c>
      <c r="H114" s="6">
        <v>1</v>
      </c>
      <c r="I114" s="6">
        <v>-1</v>
      </c>
      <c r="J114" s="6">
        <v>1</v>
      </c>
      <c r="K114" s="1" t="s">
        <v>149</v>
      </c>
    </row>
    <row r="115" spans="1:11" ht="25" customHeight="1">
      <c r="A115" s="1"/>
      <c r="B115" s="1" t="s">
        <v>113</v>
      </c>
      <c r="C115" s="1" t="s">
        <v>55</v>
      </c>
      <c r="D115" s="5">
        <v>5123</v>
      </c>
      <c r="E115" s="6">
        <v>-3</v>
      </c>
      <c r="F115" s="6">
        <v>-4</v>
      </c>
      <c r="G115" s="6">
        <v>-5</v>
      </c>
      <c r="H115" s="6">
        <v>0</v>
      </c>
      <c r="I115" s="6">
        <v>0</v>
      </c>
      <c r="J115" s="6">
        <v>1</v>
      </c>
      <c r="K115" s="1" t="s">
        <v>149</v>
      </c>
    </row>
    <row r="116" spans="1:11" ht="25" customHeight="1">
      <c r="A116" s="1"/>
      <c r="B116" s="1" t="s">
        <v>113</v>
      </c>
      <c r="C116" s="1" t="s">
        <v>133</v>
      </c>
      <c r="D116" s="5">
        <v>160</v>
      </c>
      <c r="E116" s="6"/>
      <c r="F116" s="6"/>
      <c r="G116" s="6"/>
      <c r="H116" s="6"/>
      <c r="I116" s="6"/>
      <c r="J116" s="6"/>
      <c r="K116" s="1" t="s">
        <v>149</v>
      </c>
    </row>
    <row r="117" spans="1:11" ht="25" customHeight="1">
      <c r="A117" s="1"/>
      <c r="B117" s="1" t="s">
        <v>113</v>
      </c>
      <c r="C117" s="1" t="s">
        <v>134</v>
      </c>
      <c r="D117" s="5">
        <v>22208</v>
      </c>
      <c r="E117" s="6">
        <v>1</v>
      </c>
      <c r="F117" s="6">
        <v>0</v>
      </c>
      <c r="G117" s="6">
        <v>-1</v>
      </c>
      <c r="H117" s="6">
        <v>1</v>
      </c>
      <c r="I117" s="6">
        <v>0</v>
      </c>
      <c r="J117" s="6">
        <v>1</v>
      </c>
      <c r="K117" s="1" t="s">
        <v>149</v>
      </c>
    </row>
    <row r="118" spans="1:11" ht="25" customHeight="1">
      <c r="A118" s="1"/>
      <c r="B118" s="1" t="s">
        <v>114</v>
      </c>
      <c r="C118" s="1" t="s">
        <v>34</v>
      </c>
      <c r="D118" s="5">
        <v>3866</v>
      </c>
      <c r="E118" s="6">
        <v>11</v>
      </c>
      <c r="F118" s="6">
        <v>7</v>
      </c>
      <c r="G118" s="6">
        <v>5</v>
      </c>
      <c r="H118" s="6">
        <v>1</v>
      </c>
      <c r="I118" s="6">
        <v>1</v>
      </c>
      <c r="J118" s="6">
        <v>4</v>
      </c>
      <c r="K118" s="1" t="s">
        <v>77</v>
      </c>
    </row>
    <row r="119" spans="1:11" ht="25" customHeight="1">
      <c r="A119" s="1"/>
      <c r="B119" s="1" t="s">
        <v>114</v>
      </c>
      <c r="C119" s="1" t="s">
        <v>43</v>
      </c>
      <c r="D119" s="5">
        <v>1608</v>
      </c>
      <c r="E119" s="6">
        <v>7</v>
      </c>
      <c r="F119" s="6">
        <v>1</v>
      </c>
      <c r="G119" s="6">
        <v>-2</v>
      </c>
      <c r="H119" s="6">
        <v>3</v>
      </c>
      <c r="I119" s="6">
        <v>0</v>
      </c>
      <c r="J119" s="6">
        <v>6</v>
      </c>
      <c r="K119" s="1" t="s">
        <v>77</v>
      </c>
    </row>
    <row r="120" spans="1:11" ht="25" customHeight="1">
      <c r="A120" s="1"/>
      <c r="B120" s="1" t="s">
        <v>114</v>
      </c>
      <c r="C120" s="1" t="s">
        <v>45</v>
      </c>
      <c r="D120" s="5">
        <v>3073</v>
      </c>
      <c r="E120" s="6">
        <v>7</v>
      </c>
      <c r="F120" s="6">
        <v>2</v>
      </c>
      <c r="G120" s="6">
        <v>-2</v>
      </c>
      <c r="H120" s="6">
        <v>2</v>
      </c>
      <c r="I120" s="6">
        <v>1</v>
      </c>
      <c r="J120" s="6">
        <v>5</v>
      </c>
      <c r="K120" s="1" t="s">
        <v>77</v>
      </c>
    </row>
    <row r="121" spans="1:11" ht="25" customHeight="1">
      <c r="A121" s="1"/>
      <c r="B121" s="1" t="s">
        <v>114</v>
      </c>
      <c r="C121" s="1" t="s">
        <v>50</v>
      </c>
      <c r="D121" s="5">
        <v>7403</v>
      </c>
      <c r="E121" s="6">
        <v>7</v>
      </c>
      <c r="F121" s="6">
        <v>3</v>
      </c>
      <c r="G121" s="6">
        <v>2</v>
      </c>
      <c r="H121" s="6">
        <v>1</v>
      </c>
      <c r="I121" s="6">
        <v>0</v>
      </c>
      <c r="J121" s="6">
        <v>4</v>
      </c>
      <c r="K121" s="1" t="s">
        <v>77</v>
      </c>
    </row>
    <row r="122" spans="1:11" ht="25" customHeight="1">
      <c r="A122" s="1"/>
      <c r="B122" s="1" t="s">
        <v>114</v>
      </c>
      <c r="C122" s="1" t="s">
        <v>55</v>
      </c>
      <c r="D122" s="17">
        <v>5058</v>
      </c>
      <c r="E122" s="6">
        <v>6</v>
      </c>
      <c r="F122" s="6">
        <v>3</v>
      </c>
      <c r="G122" s="18">
        <v>3</v>
      </c>
      <c r="H122" s="6">
        <v>0</v>
      </c>
      <c r="I122" s="6">
        <v>0</v>
      </c>
      <c r="J122" s="6">
        <v>3</v>
      </c>
      <c r="K122" s="1" t="s">
        <v>77</v>
      </c>
    </row>
    <row r="123" spans="1:11" ht="25" customHeight="1">
      <c r="A123" s="1"/>
      <c r="B123" s="1" t="s">
        <v>114</v>
      </c>
      <c r="C123" s="1" t="s">
        <v>133</v>
      </c>
      <c r="D123" s="5">
        <v>225</v>
      </c>
      <c r="E123" s="6"/>
      <c r="F123" s="6"/>
      <c r="G123" s="6"/>
      <c r="H123" s="6"/>
      <c r="I123" s="6"/>
      <c r="J123" s="6"/>
      <c r="K123" s="1" t="s">
        <v>77</v>
      </c>
    </row>
    <row r="124" spans="1:11" ht="25" customHeight="1">
      <c r="A124" s="1"/>
      <c r="B124" s="1" t="s">
        <v>114</v>
      </c>
      <c r="C124" s="1" t="s">
        <v>134</v>
      </c>
      <c r="D124" s="5">
        <v>21235</v>
      </c>
      <c r="E124" s="6">
        <v>7</v>
      </c>
      <c r="F124" s="6">
        <v>3</v>
      </c>
      <c r="G124" s="6">
        <v>2</v>
      </c>
      <c r="H124" s="6">
        <v>1</v>
      </c>
      <c r="I124" s="6">
        <v>0</v>
      </c>
      <c r="J124" s="6">
        <v>4</v>
      </c>
      <c r="K124" s="1" t="s">
        <v>77</v>
      </c>
    </row>
    <row r="125" spans="1:11" ht="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spans="1:11" ht="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</sheetData>
  <phoneticPr fontId="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84"/>
  <sheetViews>
    <sheetView showGridLines="0" workbookViewId="0">
      <pane ySplit="5" topLeftCell="A6" activePane="bottomLeft" state="frozen"/>
      <selection pane="bottomLeft"/>
    </sheetView>
  </sheetViews>
  <sheetFormatPr baseColWidth="10" defaultColWidth="8.83203125" defaultRowHeight="14"/>
  <cols>
    <col min="1" max="1" width="3" customWidth="1"/>
    <col min="2" max="2" width="22" customWidth="1"/>
    <col min="3" max="4" width="19" customWidth="1"/>
    <col min="5" max="5" width="20" customWidth="1"/>
    <col min="6" max="6" width="68" customWidth="1"/>
    <col min="7" max="7" width="65" customWidth="1"/>
  </cols>
  <sheetData>
    <row r="1" spans="1:7" ht="25" customHeight="1">
      <c r="A1" s="1"/>
      <c r="B1" s="1"/>
      <c r="C1" s="1"/>
      <c r="D1" s="1"/>
      <c r="E1" s="1"/>
      <c r="F1" s="1"/>
      <c r="G1" s="1"/>
    </row>
    <row r="2" spans="1:7" ht="25" customHeight="1">
      <c r="A2" s="1"/>
      <c r="B2" s="2" t="s">
        <v>150</v>
      </c>
      <c r="C2" s="1"/>
      <c r="D2" s="1"/>
      <c r="E2" s="1"/>
      <c r="F2" s="1"/>
      <c r="G2" s="1"/>
    </row>
    <row r="3" spans="1:7" ht="25" customHeight="1">
      <c r="A3" s="1"/>
      <c r="B3" s="1"/>
      <c r="C3" s="1"/>
      <c r="D3" s="1"/>
      <c r="E3" s="1"/>
      <c r="F3" s="1"/>
      <c r="G3" s="1"/>
    </row>
    <row r="4" spans="1:7" ht="25" customHeight="1">
      <c r="A4" s="1"/>
      <c r="B4" s="1"/>
      <c r="C4" s="1"/>
      <c r="D4" s="1"/>
      <c r="E4" s="1"/>
      <c r="F4" s="1"/>
      <c r="G4" s="1"/>
    </row>
    <row r="5" spans="1:7" ht="44" customHeight="1">
      <c r="A5" s="1"/>
      <c r="B5" s="3" t="s">
        <v>116</v>
      </c>
      <c r="C5" s="3" t="s">
        <v>71</v>
      </c>
      <c r="D5" s="3" t="s">
        <v>151</v>
      </c>
      <c r="E5" s="3" t="s">
        <v>152</v>
      </c>
      <c r="F5" s="3" t="s">
        <v>153</v>
      </c>
      <c r="G5" s="3" t="s">
        <v>154</v>
      </c>
    </row>
    <row r="6" spans="1:7" ht="25" customHeight="1">
      <c r="A6" s="1"/>
      <c r="B6" s="1" t="s">
        <v>82</v>
      </c>
      <c r="C6" s="1" t="s">
        <v>77</v>
      </c>
      <c r="D6" s="1" t="s">
        <v>155</v>
      </c>
      <c r="E6" s="7">
        <v>29812</v>
      </c>
      <c r="F6" s="1" t="s">
        <v>156</v>
      </c>
      <c r="G6" s="1" t="s">
        <v>157</v>
      </c>
    </row>
    <row r="7" spans="1:7" ht="25" customHeight="1">
      <c r="A7" s="1"/>
      <c r="B7" s="1" t="s">
        <v>82</v>
      </c>
      <c r="C7" s="1" t="s">
        <v>77</v>
      </c>
      <c r="D7" s="1" t="s">
        <v>158</v>
      </c>
      <c r="E7" s="7">
        <v>29636</v>
      </c>
      <c r="F7" s="1" t="s">
        <v>156</v>
      </c>
      <c r="G7" s="1" t="s">
        <v>157</v>
      </c>
    </row>
    <row r="8" spans="1:7" ht="25" customHeight="1">
      <c r="A8" s="1"/>
      <c r="B8" s="1" t="s">
        <v>82</v>
      </c>
      <c r="C8" s="1" t="s">
        <v>77</v>
      </c>
      <c r="D8" s="1" t="s">
        <v>159</v>
      </c>
      <c r="E8" s="7">
        <v>32090</v>
      </c>
      <c r="F8" s="1" t="s">
        <v>156</v>
      </c>
      <c r="G8" s="1" t="s">
        <v>157</v>
      </c>
    </row>
    <row r="9" spans="1:7" ht="25" customHeight="1">
      <c r="A9" s="1"/>
      <c r="B9" s="1" t="s">
        <v>82</v>
      </c>
      <c r="C9" s="1" t="s">
        <v>77</v>
      </c>
      <c r="D9" s="1" t="s">
        <v>160</v>
      </c>
      <c r="E9" s="7">
        <v>31957</v>
      </c>
      <c r="F9" s="1" t="s">
        <v>156</v>
      </c>
      <c r="G9" s="1" t="s">
        <v>157</v>
      </c>
    </row>
    <row r="10" spans="1:7" ht="25" customHeight="1">
      <c r="A10" s="1"/>
      <c r="B10" s="1" t="s">
        <v>82</v>
      </c>
      <c r="C10" s="1" t="s">
        <v>77</v>
      </c>
      <c r="D10" s="1" t="s">
        <v>161</v>
      </c>
      <c r="E10" s="7">
        <v>31321</v>
      </c>
      <c r="F10" s="1" t="s">
        <v>156</v>
      </c>
      <c r="G10" s="1" t="s">
        <v>157</v>
      </c>
    </row>
    <row r="11" spans="1:7" ht="25" customHeight="1">
      <c r="A11" s="1"/>
      <c r="B11" s="1" t="s">
        <v>82</v>
      </c>
      <c r="C11" s="1" t="s">
        <v>77</v>
      </c>
      <c r="D11" s="1" t="s">
        <v>162</v>
      </c>
      <c r="E11" s="7">
        <v>32334</v>
      </c>
      <c r="F11" s="1" t="s">
        <v>156</v>
      </c>
      <c r="G11" s="1" t="s">
        <v>157</v>
      </c>
    </row>
    <row r="12" spans="1:7" ht="25" customHeight="1">
      <c r="A12" s="1"/>
      <c r="B12" s="1" t="s">
        <v>82</v>
      </c>
      <c r="C12" s="1" t="s">
        <v>77</v>
      </c>
      <c r="D12" s="1" t="s">
        <v>163</v>
      </c>
      <c r="E12" s="7">
        <v>32225</v>
      </c>
      <c r="F12" s="1" t="s">
        <v>156</v>
      </c>
      <c r="G12" s="1" t="s">
        <v>157</v>
      </c>
    </row>
    <row r="13" spans="1:7" ht="25" customHeight="1">
      <c r="A13" s="1"/>
      <c r="B13" s="1" t="s">
        <v>82</v>
      </c>
      <c r="C13" s="1" t="s">
        <v>77</v>
      </c>
      <c r="D13" s="1" t="s">
        <v>164</v>
      </c>
      <c r="E13" s="7">
        <v>32429</v>
      </c>
      <c r="F13" s="1" t="s">
        <v>156</v>
      </c>
      <c r="G13" s="1" t="s">
        <v>157</v>
      </c>
    </row>
    <row r="14" spans="1:7" ht="25" customHeight="1">
      <c r="A14" s="1"/>
      <c r="B14" s="1" t="s">
        <v>82</v>
      </c>
      <c r="C14" s="1" t="s">
        <v>77</v>
      </c>
      <c r="D14" s="1" t="s">
        <v>165</v>
      </c>
      <c r="E14" s="7">
        <v>32183</v>
      </c>
      <c r="F14" s="1" t="s">
        <v>156</v>
      </c>
      <c r="G14" s="1" t="s">
        <v>157</v>
      </c>
    </row>
    <row r="15" spans="1:7" ht="25" customHeight="1">
      <c r="A15" s="1"/>
      <c r="B15" s="1" t="s">
        <v>82</v>
      </c>
      <c r="C15" s="1" t="s">
        <v>77</v>
      </c>
      <c r="D15" s="1" t="s">
        <v>166</v>
      </c>
      <c r="E15" s="7">
        <v>32099</v>
      </c>
      <c r="F15" s="1" t="s">
        <v>156</v>
      </c>
      <c r="G15" s="1" t="s">
        <v>157</v>
      </c>
    </row>
    <row r="16" spans="1:7" ht="25" customHeight="1">
      <c r="A16" s="1"/>
      <c r="B16" s="1" t="s">
        <v>82</v>
      </c>
      <c r="C16" s="1" t="s">
        <v>77</v>
      </c>
      <c r="D16" s="1" t="s">
        <v>167</v>
      </c>
      <c r="E16" s="7">
        <v>32490</v>
      </c>
      <c r="F16" s="1" t="s">
        <v>156</v>
      </c>
      <c r="G16" s="1" t="s">
        <v>157</v>
      </c>
    </row>
    <row r="17" spans="1:7" ht="25" customHeight="1">
      <c r="A17" s="1"/>
      <c r="B17" s="1" t="s">
        <v>82</v>
      </c>
      <c r="C17" s="1" t="s">
        <v>77</v>
      </c>
      <c r="D17" s="1" t="s">
        <v>168</v>
      </c>
      <c r="E17" s="7">
        <v>32390</v>
      </c>
      <c r="F17" s="1" t="s">
        <v>156</v>
      </c>
      <c r="G17" s="1" t="s">
        <v>157</v>
      </c>
    </row>
    <row r="18" spans="1:7" ht="25" customHeight="1">
      <c r="A18" s="1"/>
      <c r="B18" s="1" t="s">
        <v>82</v>
      </c>
      <c r="C18" s="1" t="s">
        <v>77</v>
      </c>
      <c r="D18" s="1" t="s">
        <v>169</v>
      </c>
      <c r="E18" s="7">
        <v>32664</v>
      </c>
      <c r="F18" s="1" t="s">
        <v>156</v>
      </c>
      <c r="G18" s="1" t="s">
        <v>157</v>
      </c>
    </row>
    <row r="19" spans="1:7" ht="25" customHeight="1">
      <c r="A19" s="1"/>
      <c r="B19" s="1" t="s">
        <v>82</v>
      </c>
      <c r="C19" s="1" t="s">
        <v>77</v>
      </c>
      <c r="D19" s="1" t="s">
        <v>170</v>
      </c>
      <c r="E19" s="7">
        <v>32416</v>
      </c>
      <c r="F19" s="1" t="s">
        <v>156</v>
      </c>
      <c r="G19" s="1" t="s">
        <v>157</v>
      </c>
    </row>
    <row r="20" spans="1:7" ht="25" customHeight="1">
      <c r="A20" s="1"/>
      <c r="B20" s="1" t="s">
        <v>82</v>
      </c>
      <c r="C20" s="1" t="s">
        <v>77</v>
      </c>
      <c r="D20" s="1" t="s">
        <v>171</v>
      </c>
      <c r="E20" s="7">
        <v>32553</v>
      </c>
      <c r="F20" s="1" t="s">
        <v>156</v>
      </c>
      <c r="G20" s="1" t="s">
        <v>157</v>
      </c>
    </row>
    <row r="21" spans="1:7" ht="25" customHeight="1">
      <c r="A21" s="1"/>
      <c r="B21" s="1" t="s">
        <v>82</v>
      </c>
      <c r="C21" s="1" t="s">
        <v>77</v>
      </c>
      <c r="D21" s="1" t="s">
        <v>172</v>
      </c>
      <c r="E21" s="7">
        <v>32838</v>
      </c>
      <c r="F21" s="1" t="s">
        <v>156</v>
      </c>
      <c r="G21" s="1" t="s">
        <v>157</v>
      </c>
    </row>
    <row r="22" spans="1:7" ht="25" customHeight="1">
      <c r="A22" s="1"/>
      <c r="B22" s="1" t="s">
        <v>82</v>
      </c>
      <c r="C22" s="1" t="s">
        <v>77</v>
      </c>
      <c r="D22" s="1" t="s">
        <v>173</v>
      </c>
      <c r="E22" s="7">
        <v>32656</v>
      </c>
      <c r="F22" s="1" t="s">
        <v>156</v>
      </c>
      <c r="G22" s="1" t="s">
        <v>157</v>
      </c>
    </row>
    <row r="23" spans="1:7" ht="25" customHeight="1">
      <c r="A23" s="1"/>
      <c r="B23" s="1" t="s">
        <v>82</v>
      </c>
      <c r="C23" s="1" t="s">
        <v>77</v>
      </c>
      <c r="D23" s="1" t="s">
        <v>174</v>
      </c>
      <c r="E23" s="7">
        <v>33212</v>
      </c>
      <c r="F23" s="1" t="s">
        <v>156</v>
      </c>
      <c r="G23" s="1" t="s">
        <v>157</v>
      </c>
    </row>
    <row r="24" spans="1:7" ht="25" customHeight="1">
      <c r="A24" s="1"/>
      <c r="B24" s="1" t="s">
        <v>82</v>
      </c>
      <c r="C24" s="1" t="s">
        <v>77</v>
      </c>
      <c r="D24" s="1" t="s">
        <v>175</v>
      </c>
      <c r="E24" s="7">
        <v>33431</v>
      </c>
      <c r="F24" s="1" t="s">
        <v>156</v>
      </c>
      <c r="G24" s="1" t="s">
        <v>157</v>
      </c>
    </row>
    <row r="25" spans="1:7" ht="25" customHeight="1">
      <c r="A25" s="1"/>
      <c r="B25" s="1" t="s">
        <v>82</v>
      </c>
      <c r="C25" s="1" t="s">
        <v>77</v>
      </c>
      <c r="D25" s="1" t="s">
        <v>176</v>
      </c>
      <c r="E25" s="7">
        <v>33318</v>
      </c>
      <c r="F25" s="1" t="s">
        <v>156</v>
      </c>
      <c r="G25" s="1" t="s">
        <v>157</v>
      </c>
    </row>
    <row r="26" spans="1:7" ht="25" customHeight="1">
      <c r="A26" s="1"/>
      <c r="B26" s="1" t="s">
        <v>82</v>
      </c>
      <c r="C26" s="1" t="s">
        <v>77</v>
      </c>
      <c r="D26" s="1" t="s">
        <v>177</v>
      </c>
      <c r="E26" s="7">
        <v>33529</v>
      </c>
      <c r="F26" s="1" t="s">
        <v>156</v>
      </c>
      <c r="G26" s="1" t="s">
        <v>157</v>
      </c>
    </row>
    <row r="27" spans="1:7" ht="25" customHeight="1">
      <c r="A27" s="1"/>
      <c r="B27" s="1" t="s">
        <v>82</v>
      </c>
      <c r="C27" s="1" t="s">
        <v>77</v>
      </c>
      <c r="D27" s="1" t="s">
        <v>178</v>
      </c>
      <c r="E27" s="7">
        <v>33673</v>
      </c>
      <c r="F27" s="1" t="s">
        <v>156</v>
      </c>
      <c r="G27" s="1" t="s">
        <v>157</v>
      </c>
    </row>
    <row r="28" spans="1:7" ht="25" customHeight="1">
      <c r="A28" s="1"/>
      <c r="B28" s="1" t="s">
        <v>82</v>
      </c>
      <c r="C28" s="1" t="s">
        <v>77</v>
      </c>
      <c r="D28" s="1" t="s">
        <v>179</v>
      </c>
      <c r="E28" s="7">
        <v>33896</v>
      </c>
      <c r="F28" s="1" t="s">
        <v>156</v>
      </c>
      <c r="G28" s="1" t="s">
        <v>157</v>
      </c>
    </row>
    <row r="29" spans="1:7" ht="25" customHeight="1">
      <c r="A29" s="1"/>
      <c r="B29" s="1" t="s">
        <v>82</v>
      </c>
      <c r="C29" s="1" t="s">
        <v>77</v>
      </c>
      <c r="D29" s="1" t="s">
        <v>180</v>
      </c>
      <c r="E29" s="7">
        <v>33098</v>
      </c>
      <c r="F29" s="1" t="s">
        <v>156</v>
      </c>
      <c r="G29" s="1" t="s">
        <v>157</v>
      </c>
    </row>
    <row r="30" spans="1:7" ht="25" customHeight="1">
      <c r="A30" s="1"/>
      <c r="B30" s="1" t="s">
        <v>82</v>
      </c>
      <c r="C30" s="1" t="s">
        <v>77</v>
      </c>
      <c r="D30" s="1" t="s">
        <v>181</v>
      </c>
      <c r="E30" s="7">
        <v>34603</v>
      </c>
      <c r="F30" s="1" t="s">
        <v>156</v>
      </c>
      <c r="G30" s="1" t="s">
        <v>157</v>
      </c>
    </row>
    <row r="31" spans="1:7" ht="25" customHeight="1">
      <c r="A31" s="1"/>
      <c r="B31" s="1" t="s">
        <v>82</v>
      </c>
      <c r="C31" s="1" t="s">
        <v>77</v>
      </c>
      <c r="D31" s="1" t="s">
        <v>182</v>
      </c>
      <c r="E31" s="7">
        <v>35070</v>
      </c>
      <c r="F31" s="1" t="s">
        <v>156</v>
      </c>
      <c r="G31" s="1" t="s">
        <v>157</v>
      </c>
    </row>
    <row r="32" spans="1:7" ht="25" customHeight="1">
      <c r="A32" s="1"/>
      <c r="B32" s="1" t="s">
        <v>82</v>
      </c>
      <c r="C32" s="1" t="s">
        <v>77</v>
      </c>
      <c r="D32" s="1" t="s">
        <v>183</v>
      </c>
      <c r="E32" s="7">
        <v>35207</v>
      </c>
      <c r="F32" s="1" t="s">
        <v>156</v>
      </c>
      <c r="G32" s="1" t="s">
        <v>157</v>
      </c>
    </row>
    <row r="33" spans="1:7" ht="25" customHeight="1">
      <c r="A33" s="1"/>
      <c r="B33" s="1" t="s">
        <v>82</v>
      </c>
      <c r="C33" s="1" t="s">
        <v>77</v>
      </c>
      <c r="D33" s="1" t="s">
        <v>184</v>
      </c>
      <c r="E33" s="7">
        <v>35493</v>
      </c>
      <c r="F33" s="1" t="s">
        <v>156</v>
      </c>
      <c r="G33" s="1" t="s">
        <v>157</v>
      </c>
    </row>
    <row r="34" spans="1:7" ht="25" customHeight="1">
      <c r="A34" s="1"/>
      <c r="B34" s="1" t="s">
        <v>82</v>
      </c>
      <c r="C34" s="1" t="s">
        <v>77</v>
      </c>
      <c r="D34" s="1" t="s">
        <v>185</v>
      </c>
      <c r="E34" s="7">
        <v>35745</v>
      </c>
      <c r="F34" s="1" t="s">
        <v>156</v>
      </c>
      <c r="G34" s="1" t="s">
        <v>157</v>
      </c>
    </row>
    <row r="35" spans="1:7" ht="25" customHeight="1">
      <c r="A35" s="1"/>
      <c r="B35" s="1" t="s">
        <v>82</v>
      </c>
      <c r="C35" s="1" t="s">
        <v>77</v>
      </c>
      <c r="D35" s="1" t="s">
        <v>186</v>
      </c>
      <c r="E35" s="7">
        <v>35734</v>
      </c>
      <c r="F35" s="1" t="s">
        <v>156</v>
      </c>
      <c r="G35" s="1" t="s">
        <v>157</v>
      </c>
    </row>
    <row r="36" spans="1:7" ht="25" customHeight="1">
      <c r="A36" s="1"/>
      <c r="B36" s="1" t="s">
        <v>82</v>
      </c>
      <c r="C36" s="1" t="s">
        <v>77</v>
      </c>
      <c r="D36" s="1" t="s">
        <v>187</v>
      </c>
      <c r="E36" s="7">
        <v>35455</v>
      </c>
      <c r="F36" s="1" t="s">
        <v>156</v>
      </c>
      <c r="G36" s="1" t="s">
        <v>157</v>
      </c>
    </row>
    <row r="37" spans="1:7" ht="25" customHeight="1">
      <c r="A37" s="1"/>
      <c r="B37" s="1" t="s">
        <v>82</v>
      </c>
      <c r="C37" s="1" t="s">
        <v>77</v>
      </c>
      <c r="D37" s="1" t="s">
        <v>188</v>
      </c>
      <c r="E37" s="7">
        <v>36097</v>
      </c>
      <c r="F37" s="1" t="s">
        <v>156</v>
      </c>
      <c r="G37" s="1" t="s">
        <v>157</v>
      </c>
    </row>
    <row r="38" spans="1:7" ht="25" customHeight="1">
      <c r="A38" s="1"/>
      <c r="B38" s="1" t="s">
        <v>82</v>
      </c>
      <c r="C38" s="1" t="s">
        <v>77</v>
      </c>
      <c r="D38" s="1" t="s">
        <v>189</v>
      </c>
      <c r="E38" s="7">
        <v>36011</v>
      </c>
      <c r="F38" s="1" t="s">
        <v>156</v>
      </c>
      <c r="G38" s="1" t="s">
        <v>157</v>
      </c>
    </row>
    <row r="39" spans="1:7" ht="25" customHeight="1">
      <c r="A39" s="1"/>
      <c r="B39" s="1" t="s">
        <v>82</v>
      </c>
      <c r="C39" s="1" t="s">
        <v>77</v>
      </c>
      <c r="D39" s="1" t="s">
        <v>190</v>
      </c>
      <c r="E39" s="7">
        <v>37298</v>
      </c>
      <c r="F39" s="1" t="s">
        <v>156</v>
      </c>
      <c r="G39" s="1" t="s">
        <v>157</v>
      </c>
    </row>
    <row r="40" spans="1:7" ht="25" customHeight="1">
      <c r="A40" s="1"/>
      <c r="B40" s="1" t="s">
        <v>82</v>
      </c>
      <c r="C40" s="1" t="s">
        <v>77</v>
      </c>
      <c r="D40" s="1" t="s">
        <v>191</v>
      </c>
      <c r="E40" s="7">
        <v>37150</v>
      </c>
      <c r="F40" s="1" t="s">
        <v>156</v>
      </c>
      <c r="G40" s="1" t="s">
        <v>157</v>
      </c>
    </row>
    <row r="41" spans="1:7" ht="25" customHeight="1">
      <c r="A41" s="1"/>
      <c r="B41" s="1" t="s">
        <v>82</v>
      </c>
      <c r="C41" s="1" t="s">
        <v>77</v>
      </c>
      <c r="D41" s="1" t="s">
        <v>192</v>
      </c>
      <c r="E41" s="7">
        <v>36210</v>
      </c>
      <c r="F41" s="1" t="s">
        <v>156</v>
      </c>
      <c r="G41" s="1" t="s">
        <v>157</v>
      </c>
    </row>
    <row r="42" spans="1:7" ht="25" customHeight="1">
      <c r="A42" s="1"/>
      <c r="B42" s="1" t="s">
        <v>82</v>
      </c>
      <c r="C42" s="1" t="s">
        <v>77</v>
      </c>
      <c r="D42" s="1" t="s">
        <v>193</v>
      </c>
      <c r="E42" s="7">
        <v>35827</v>
      </c>
      <c r="F42" s="1" t="s">
        <v>156</v>
      </c>
      <c r="G42" s="1" t="s">
        <v>157</v>
      </c>
    </row>
    <row r="43" spans="1:7" ht="25" customHeight="1">
      <c r="A43" s="1"/>
      <c r="B43" s="1" t="s">
        <v>82</v>
      </c>
      <c r="C43" s="1" t="s">
        <v>77</v>
      </c>
      <c r="D43" s="1" t="s">
        <v>194</v>
      </c>
      <c r="E43" s="7">
        <v>35765</v>
      </c>
      <c r="F43" s="1" t="s">
        <v>156</v>
      </c>
      <c r="G43" s="1" t="s">
        <v>157</v>
      </c>
    </row>
    <row r="44" spans="1:7" ht="25" customHeight="1">
      <c r="A44" s="1"/>
      <c r="B44" s="1" t="s">
        <v>82</v>
      </c>
      <c r="C44" s="1" t="s">
        <v>77</v>
      </c>
      <c r="D44" s="1" t="s">
        <v>195</v>
      </c>
      <c r="E44" s="7">
        <v>35624</v>
      </c>
      <c r="F44" s="1" t="s">
        <v>156</v>
      </c>
      <c r="G44" s="1" t="s">
        <v>157</v>
      </c>
    </row>
    <row r="45" spans="1:7" ht="25" customHeight="1">
      <c r="A45" s="1"/>
      <c r="B45" s="1" t="s">
        <v>82</v>
      </c>
      <c r="C45" s="1" t="s">
        <v>77</v>
      </c>
      <c r="D45" s="1" t="s">
        <v>196</v>
      </c>
      <c r="E45" s="7">
        <v>35778</v>
      </c>
      <c r="F45" s="1" t="s">
        <v>156</v>
      </c>
      <c r="G45" s="1" t="s">
        <v>157</v>
      </c>
    </row>
    <row r="46" spans="1:7" ht="25" customHeight="1">
      <c r="A46" s="1"/>
      <c r="B46" s="1" t="s">
        <v>82</v>
      </c>
      <c r="C46" s="1" t="s">
        <v>77</v>
      </c>
      <c r="D46" s="1" t="s">
        <v>197</v>
      </c>
      <c r="E46" s="7">
        <v>36028</v>
      </c>
      <c r="F46" s="1" t="s">
        <v>156</v>
      </c>
      <c r="G46" s="1" t="s">
        <v>157</v>
      </c>
    </row>
    <row r="47" spans="1:7" ht="25" customHeight="1">
      <c r="A47" s="1"/>
      <c r="B47" s="1" t="s">
        <v>82</v>
      </c>
      <c r="C47" s="1" t="s">
        <v>77</v>
      </c>
      <c r="D47" s="1" t="s">
        <v>198</v>
      </c>
      <c r="E47" s="7">
        <v>36021</v>
      </c>
      <c r="F47" s="1" t="s">
        <v>156</v>
      </c>
      <c r="G47" s="1" t="s">
        <v>157</v>
      </c>
    </row>
    <row r="48" spans="1:7" ht="25" customHeight="1">
      <c r="A48" s="1"/>
      <c r="B48" s="1" t="s">
        <v>82</v>
      </c>
      <c r="C48" s="1" t="s">
        <v>77</v>
      </c>
      <c r="D48" s="1" t="s">
        <v>199</v>
      </c>
      <c r="E48" s="7">
        <v>37535</v>
      </c>
      <c r="F48" s="1" t="s">
        <v>156</v>
      </c>
      <c r="G48" s="1" t="s">
        <v>157</v>
      </c>
    </row>
    <row r="49" spans="1:7" ht="25" customHeight="1">
      <c r="A49" s="1"/>
      <c r="B49" s="1" t="s">
        <v>82</v>
      </c>
      <c r="C49" s="1" t="s">
        <v>77</v>
      </c>
      <c r="D49" s="1" t="s">
        <v>200</v>
      </c>
      <c r="E49" s="7">
        <v>37678</v>
      </c>
      <c r="F49" s="1" t="s">
        <v>156</v>
      </c>
      <c r="G49" s="1" t="s">
        <v>157</v>
      </c>
    </row>
    <row r="50" spans="1:7" ht="25" customHeight="1">
      <c r="A50" s="1"/>
      <c r="B50" s="1" t="s">
        <v>82</v>
      </c>
      <c r="C50" s="1" t="s">
        <v>77</v>
      </c>
      <c r="D50" s="1" t="s">
        <v>201</v>
      </c>
      <c r="E50" s="7">
        <v>38360</v>
      </c>
      <c r="F50" s="1" t="s">
        <v>156</v>
      </c>
      <c r="G50" s="1" t="s">
        <v>157</v>
      </c>
    </row>
    <row r="51" spans="1:7" ht="25" customHeight="1">
      <c r="A51" s="1"/>
      <c r="B51" s="1" t="s">
        <v>82</v>
      </c>
      <c r="C51" s="1" t="s">
        <v>77</v>
      </c>
      <c r="D51" s="1" t="s">
        <v>202</v>
      </c>
      <c r="E51" s="7">
        <v>38196</v>
      </c>
      <c r="F51" s="1" t="s">
        <v>156</v>
      </c>
      <c r="G51" s="1" t="s">
        <v>157</v>
      </c>
    </row>
    <row r="52" spans="1:7" ht="25" customHeight="1">
      <c r="A52" s="1"/>
      <c r="B52" s="1" t="s">
        <v>82</v>
      </c>
      <c r="C52" s="1" t="s">
        <v>77</v>
      </c>
      <c r="D52" s="1" t="s">
        <v>203</v>
      </c>
      <c r="E52" s="7">
        <v>38085</v>
      </c>
      <c r="F52" s="1" t="s">
        <v>156</v>
      </c>
      <c r="G52" s="1" t="s">
        <v>157</v>
      </c>
    </row>
    <row r="53" spans="1:7" ht="25" customHeight="1">
      <c r="A53" s="1"/>
      <c r="B53" s="1" t="s">
        <v>82</v>
      </c>
      <c r="C53" s="1" t="s">
        <v>77</v>
      </c>
      <c r="D53" s="1" t="s">
        <v>204</v>
      </c>
      <c r="E53" s="7">
        <v>37831</v>
      </c>
      <c r="F53" s="1" t="s">
        <v>156</v>
      </c>
      <c r="G53" s="1" t="s">
        <v>157</v>
      </c>
    </row>
    <row r="54" spans="1:7" ht="25" customHeight="1">
      <c r="A54" s="1"/>
      <c r="B54" s="1" t="s">
        <v>82</v>
      </c>
      <c r="C54" s="1" t="s">
        <v>77</v>
      </c>
      <c r="D54" s="1" t="s">
        <v>205</v>
      </c>
      <c r="E54" s="7">
        <v>37806</v>
      </c>
      <c r="F54" s="1" t="s">
        <v>156</v>
      </c>
      <c r="G54" s="1" t="s">
        <v>157</v>
      </c>
    </row>
    <row r="55" spans="1:7" ht="25" customHeight="1">
      <c r="A55" s="1"/>
      <c r="B55" s="1" t="s">
        <v>82</v>
      </c>
      <c r="C55" s="1" t="s">
        <v>77</v>
      </c>
      <c r="D55" s="1" t="s">
        <v>206</v>
      </c>
      <c r="E55" s="7">
        <v>38865</v>
      </c>
      <c r="F55" s="1" t="s">
        <v>156</v>
      </c>
      <c r="G55" s="1" t="s">
        <v>157</v>
      </c>
    </row>
    <row r="56" spans="1:7" ht="25" customHeight="1">
      <c r="A56" s="1"/>
      <c r="B56" s="1" t="s">
        <v>82</v>
      </c>
      <c r="C56" s="1" t="s">
        <v>77</v>
      </c>
      <c r="D56" s="1" t="s">
        <v>207</v>
      </c>
      <c r="E56" s="7">
        <v>39224</v>
      </c>
      <c r="F56" s="1" t="s">
        <v>156</v>
      </c>
      <c r="G56" s="1" t="s">
        <v>157</v>
      </c>
    </row>
    <row r="57" spans="1:7" ht="25" customHeight="1">
      <c r="A57" s="1"/>
      <c r="B57" s="1" t="s">
        <v>82</v>
      </c>
      <c r="C57" s="1" t="s">
        <v>77</v>
      </c>
      <c r="D57" s="1" t="s">
        <v>208</v>
      </c>
      <c r="E57" s="7">
        <v>38881</v>
      </c>
      <c r="F57" s="1" t="s">
        <v>156</v>
      </c>
      <c r="G57" s="1" t="s">
        <v>157</v>
      </c>
    </row>
    <row r="58" spans="1:7" ht="25" customHeight="1">
      <c r="A58" s="1"/>
      <c r="B58" s="1" t="s">
        <v>82</v>
      </c>
      <c r="C58" s="1" t="s">
        <v>77</v>
      </c>
      <c r="D58" s="1" t="s">
        <v>209</v>
      </c>
      <c r="E58" s="7">
        <v>39104</v>
      </c>
      <c r="F58" s="1" t="s">
        <v>156</v>
      </c>
      <c r="G58" s="1" t="s">
        <v>157</v>
      </c>
    </row>
    <row r="59" spans="1:7" ht="25" customHeight="1">
      <c r="A59" s="1"/>
      <c r="B59" s="1" t="s">
        <v>82</v>
      </c>
      <c r="C59" s="1" t="s">
        <v>77</v>
      </c>
      <c r="D59" s="1" t="s">
        <v>210</v>
      </c>
      <c r="E59" s="7">
        <v>39517</v>
      </c>
      <c r="F59" s="1" t="s">
        <v>156</v>
      </c>
      <c r="G59" s="1" t="s">
        <v>157</v>
      </c>
    </row>
    <row r="60" spans="1:7" ht="25" customHeight="1">
      <c r="A60" s="1"/>
      <c r="B60" s="1" t="s">
        <v>82</v>
      </c>
      <c r="C60" s="1" t="s">
        <v>77</v>
      </c>
      <c r="D60" s="1" t="s">
        <v>211</v>
      </c>
      <c r="E60" s="7">
        <v>40182</v>
      </c>
      <c r="F60" s="1" t="s">
        <v>156</v>
      </c>
      <c r="G60" s="1" t="s">
        <v>157</v>
      </c>
    </row>
    <row r="61" spans="1:7" ht="25" customHeight="1">
      <c r="A61" s="1"/>
      <c r="B61" s="1" t="s">
        <v>82</v>
      </c>
      <c r="C61" s="1" t="s">
        <v>77</v>
      </c>
      <c r="D61" s="1" t="s">
        <v>212</v>
      </c>
      <c r="E61" s="7">
        <v>40118</v>
      </c>
      <c r="F61" s="1" t="s">
        <v>156</v>
      </c>
      <c r="G61" s="1" t="s">
        <v>157</v>
      </c>
    </row>
    <row r="62" spans="1:7" ht="25" customHeight="1">
      <c r="A62" s="1"/>
      <c r="B62" s="1" t="s">
        <v>82</v>
      </c>
      <c r="C62" s="1" t="s">
        <v>77</v>
      </c>
      <c r="D62" s="1" t="s">
        <v>213</v>
      </c>
      <c r="E62" s="7">
        <v>40637</v>
      </c>
      <c r="F62" s="1" t="s">
        <v>156</v>
      </c>
      <c r="G62" s="1" t="s">
        <v>157</v>
      </c>
    </row>
    <row r="63" spans="1:7" ht="25" customHeight="1">
      <c r="A63" s="1"/>
      <c r="B63" s="1" t="s">
        <v>82</v>
      </c>
      <c r="C63" s="1" t="s">
        <v>77</v>
      </c>
      <c r="D63" s="1" t="s">
        <v>214</v>
      </c>
      <c r="E63" s="7">
        <v>40456</v>
      </c>
      <c r="F63" s="1" t="s">
        <v>156</v>
      </c>
      <c r="G63" s="1" t="s">
        <v>157</v>
      </c>
    </row>
    <row r="64" spans="1:7" ht="25" customHeight="1">
      <c r="A64" s="1"/>
      <c r="B64" s="1" t="s">
        <v>82</v>
      </c>
      <c r="C64" s="1" t="s">
        <v>77</v>
      </c>
      <c r="D64" s="1" t="s">
        <v>215</v>
      </c>
      <c r="E64" s="7">
        <v>40222</v>
      </c>
      <c r="F64" s="1" t="s">
        <v>156</v>
      </c>
      <c r="G64" s="1" t="s">
        <v>157</v>
      </c>
    </row>
    <row r="65" spans="1:7" ht="25" customHeight="1">
      <c r="A65" s="1"/>
      <c r="B65" s="1" t="s">
        <v>82</v>
      </c>
      <c r="C65" s="1" t="s">
        <v>77</v>
      </c>
      <c r="D65" s="1" t="s">
        <v>216</v>
      </c>
      <c r="E65" s="7">
        <v>40119</v>
      </c>
      <c r="F65" s="1" t="s">
        <v>156</v>
      </c>
      <c r="G65" s="1" t="s">
        <v>157</v>
      </c>
    </row>
    <row r="66" spans="1:7" ht="25" customHeight="1">
      <c r="A66" s="1"/>
      <c r="B66" s="1" t="s">
        <v>82</v>
      </c>
      <c r="C66" s="1" t="s">
        <v>77</v>
      </c>
      <c r="D66" s="1" t="s">
        <v>217</v>
      </c>
      <c r="E66" s="7">
        <v>38913</v>
      </c>
      <c r="F66" s="1" t="s">
        <v>156</v>
      </c>
      <c r="G66" s="1" t="s">
        <v>157</v>
      </c>
    </row>
    <row r="67" spans="1:7" ht="25" customHeight="1">
      <c r="A67" s="1"/>
      <c r="B67" s="1" t="s">
        <v>82</v>
      </c>
      <c r="C67" s="1" t="s">
        <v>77</v>
      </c>
      <c r="D67" s="1" t="s">
        <v>218</v>
      </c>
      <c r="E67" s="7">
        <v>39686</v>
      </c>
      <c r="F67" s="1" t="s">
        <v>156</v>
      </c>
      <c r="G67" s="1" t="s">
        <v>157</v>
      </c>
    </row>
    <row r="68" spans="1:7" ht="25" customHeight="1">
      <c r="A68" s="1"/>
      <c r="B68" s="1" t="s">
        <v>82</v>
      </c>
      <c r="C68" s="1" t="s">
        <v>77</v>
      </c>
      <c r="D68" s="1" t="s">
        <v>19</v>
      </c>
      <c r="E68" s="7">
        <v>39866</v>
      </c>
      <c r="F68" s="1" t="s">
        <v>156</v>
      </c>
      <c r="G68" s="1" t="s">
        <v>157</v>
      </c>
    </row>
    <row r="69" spans="1:7" ht="25" customHeight="1">
      <c r="A69" s="1"/>
      <c r="B69" s="1" t="s">
        <v>82</v>
      </c>
      <c r="C69" s="1" t="s">
        <v>83</v>
      </c>
      <c r="D69" s="1" t="s">
        <v>155</v>
      </c>
      <c r="E69" s="7">
        <v>29812</v>
      </c>
      <c r="F69" s="1" t="s">
        <v>156</v>
      </c>
      <c r="G69" s="1" t="s">
        <v>219</v>
      </c>
    </row>
    <row r="70" spans="1:7" ht="25" customHeight="1">
      <c r="A70" s="1"/>
      <c r="B70" s="1" t="s">
        <v>82</v>
      </c>
      <c r="C70" s="1" t="s">
        <v>83</v>
      </c>
      <c r="D70" s="1" t="s">
        <v>158</v>
      </c>
      <c r="E70" s="7">
        <v>29636</v>
      </c>
      <c r="F70" s="1" t="s">
        <v>156</v>
      </c>
      <c r="G70" s="1" t="s">
        <v>219</v>
      </c>
    </row>
    <row r="71" spans="1:7" ht="25" customHeight="1">
      <c r="A71" s="1"/>
      <c r="B71" s="1" t="s">
        <v>82</v>
      </c>
      <c r="C71" s="1" t="s">
        <v>83</v>
      </c>
      <c r="D71" s="1" t="s">
        <v>159</v>
      </c>
      <c r="E71" s="7">
        <v>32090</v>
      </c>
      <c r="F71" s="1" t="s">
        <v>156</v>
      </c>
      <c r="G71" s="1" t="s">
        <v>219</v>
      </c>
    </row>
    <row r="72" spans="1:7" ht="25" customHeight="1">
      <c r="A72" s="1"/>
      <c r="B72" s="1" t="s">
        <v>82</v>
      </c>
      <c r="C72" s="1" t="s">
        <v>83</v>
      </c>
      <c r="D72" s="1" t="s">
        <v>160</v>
      </c>
      <c r="E72" s="7">
        <v>31957</v>
      </c>
      <c r="F72" s="1" t="s">
        <v>156</v>
      </c>
      <c r="G72" s="1" t="s">
        <v>219</v>
      </c>
    </row>
    <row r="73" spans="1:7" ht="25" customHeight="1">
      <c r="A73" s="1"/>
      <c r="B73" s="1" t="s">
        <v>82</v>
      </c>
      <c r="C73" s="1" t="s">
        <v>83</v>
      </c>
      <c r="D73" s="1" t="s">
        <v>161</v>
      </c>
      <c r="E73" s="7">
        <v>31321</v>
      </c>
      <c r="F73" s="1" t="s">
        <v>156</v>
      </c>
      <c r="G73" s="1" t="s">
        <v>219</v>
      </c>
    </row>
    <row r="74" spans="1:7" ht="25" customHeight="1">
      <c r="A74" s="1"/>
      <c r="B74" s="1" t="s">
        <v>82</v>
      </c>
      <c r="C74" s="1" t="s">
        <v>83</v>
      </c>
      <c r="D74" s="1" t="s">
        <v>162</v>
      </c>
      <c r="E74" s="7">
        <v>32334</v>
      </c>
      <c r="F74" s="1" t="s">
        <v>156</v>
      </c>
      <c r="G74" s="1" t="s">
        <v>219</v>
      </c>
    </row>
    <row r="75" spans="1:7" ht="25" customHeight="1">
      <c r="A75" s="1"/>
      <c r="B75" s="1" t="s">
        <v>82</v>
      </c>
      <c r="C75" s="1" t="s">
        <v>83</v>
      </c>
      <c r="D75" s="1" t="s">
        <v>163</v>
      </c>
      <c r="E75" s="7">
        <v>32225</v>
      </c>
      <c r="F75" s="1" t="s">
        <v>156</v>
      </c>
      <c r="G75" s="1" t="s">
        <v>219</v>
      </c>
    </row>
    <row r="76" spans="1:7" ht="25" customHeight="1">
      <c r="A76" s="1"/>
      <c r="B76" s="1" t="s">
        <v>82</v>
      </c>
      <c r="C76" s="1" t="s">
        <v>83</v>
      </c>
      <c r="D76" s="1" t="s">
        <v>164</v>
      </c>
      <c r="E76" s="7">
        <v>32429</v>
      </c>
      <c r="F76" s="1" t="s">
        <v>156</v>
      </c>
      <c r="G76" s="1" t="s">
        <v>219</v>
      </c>
    </row>
    <row r="77" spans="1:7" ht="25" customHeight="1">
      <c r="A77" s="1"/>
      <c r="B77" s="1" t="s">
        <v>82</v>
      </c>
      <c r="C77" s="1" t="s">
        <v>83</v>
      </c>
      <c r="D77" s="1" t="s">
        <v>165</v>
      </c>
      <c r="E77" s="7">
        <v>32183</v>
      </c>
      <c r="F77" s="1" t="s">
        <v>156</v>
      </c>
      <c r="G77" s="1" t="s">
        <v>219</v>
      </c>
    </row>
    <row r="78" spans="1:7" ht="25" customHeight="1">
      <c r="A78" s="1"/>
      <c r="B78" s="1" t="s">
        <v>82</v>
      </c>
      <c r="C78" s="1" t="s">
        <v>83</v>
      </c>
      <c r="D78" s="1" t="s">
        <v>166</v>
      </c>
      <c r="E78" s="7">
        <v>32099</v>
      </c>
      <c r="F78" s="1" t="s">
        <v>156</v>
      </c>
      <c r="G78" s="1" t="s">
        <v>219</v>
      </c>
    </row>
    <row r="79" spans="1:7" ht="25" customHeight="1">
      <c r="A79" s="1"/>
      <c r="B79" s="1" t="s">
        <v>82</v>
      </c>
      <c r="C79" s="1" t="s">
        <v>83</v>
      </c>
      <c r="D79" s="1" t="s">
        <v>167</v>
      </c>
      <c r="E79" s="7">
        <v>32490</v>
      </c>
      <c r="F79" s="1" t="s">
        <v>156</v>
      </c>
      <c r="G79" s="1" t="s">
        <v>219</v>
      </c>
    </row>
    <row r="80" spans="1:7" ht="25" customHeight="1">
      <c r="A80" s="1"/>
      <c r="B80" s="1" t="s">
        <v>82</v>
      </c>
      <c r="C80" s="1" t="s">
        <v>83</v>
      </c>
      <c r="D80" s="1" t="s">
        <v>168</v>
      </c>
      <c r="E80" s="7">
        <v>32390</v>
      </c>
      <c r="F80" s="1" t="s">
        <v>156</v>
      </c>
      <c r="G80" s="1" t="s">
        <v>219</v>
      </c>
    </row>
    <row r="81" spans="1:7" ht="25" customHeight="1">
      <c r="A81" s="1"/>
      <c r="B81" s="1" t="s">
        <v>82</v>
      </c>
      <c r="C81" s="1" t="s">
        <v>83</v>
      </c>
      <c r="D81" s="1" t="s">
        <v>169</v>
      </c>
      <c r="E81" s="7">
        <v>32664</v>
      </c>
      <c r="F81" s="1" t="s">
        <v>156</v>
      </c>
      <c r="G81" s="1" t="s">
        <v>219</v>
      </c>
    </row>
    <row r="82" spans="1:7" ht="25" customHeight="1">
      <c r="A82" s="1"/>
      <c r="B82" s="1" t="s">
        <v>82</v>
      </c>
      <c r="C82" s="1" t="s">
        <v>83</v>
      </c>
      <c r="D82" s="1" t="s">
        <v>170</v>
      </c>
      <c r="E82" s="7">
        <v>32416</v>
      </c>
      <c r="F82" s="1" t="s">
        <v>156</v>
      </c>
      <c r="G82" s="1" t="s">
        <v>219</v>
      </c>
    </row>
    <row r="83" spans="1:7" ht="25" customHeight="1">
      <c r="A83" s="1"/>
      <c r="B83" s="1" t="s">
        <v>82</v>
      </c>
      <c r="C83" s="1" t="s">
        <v>83</v>
      </c>
      <c r="D83" s="1" t="s">
        <v>171</v>
      </c>
      <c r="E83" s="7">
        <v>32553</v>
      </c>
      <c r="F83" s="1" t="s">
        <v>156</v>
      </c>
      <c r="G83" s="1" t="s">
        <v>219</v>
      </c>
    </row>
    <row r="84" spans="1:7" ht="25" customHeight="1">
      <c r="A84" s="1"/>
      <c r="B84" s="1" t="s">
        <v>82</v>
      </c>
      <c r="C84" s="1" t="s">
        <v>83</v>
      </c>
      <c r="D84" s="1" t="s">
        <v>172</v>
      </c>
      <c r="E84" s="7">
        <v>32838</v>
      </c>
      <c r="F84" s="1" t="s">
        <v>156</v>
      </c>
      <c r="G84" s="1" t="s">
        <v>219</v>
      </c>
    </row>
    <row r="85" spans="1:7" ht="25" customHeight="1">
      <c r="A85" s="1"/>
      <c r="B85" s="1" t="s">
        <v>82</v>
      </c>
      <c r="C85" s="1" t="s">
        <v>83</v>
      </c>
      <c r="D85" s="1" t="s">
        <v>173</v>
      </c>
      <c r="E85" s="7">
        <v>32656</v>
      </c>
      <c r="F85" s="1" t="s">
        <v>156</v>
      </c>
      <c r="G85" s="1" t="s">
        <v>219</v>
      </c>
    </row>
    <row r="86" spans="1:7" ht="25" customHeight="1">
      <c r="A86" s="1"/>
      <c r="B86" s="1" t="s">
        <v>82</v>
      </c>
      <c r="C86" s="1" t="s">
        <v>83</v>
      </c>
      <c r="D86" s="1" t="s">
        <v>174</v>
      </c>
      <c r="E86" s="7">
        <v>33212</v>
      </c>
      <c r="F86" s="1" t="s">
        <v>156</v>
      </c>
      <c r="G86" s="1" t="s">
        <v>219</v>
      </c>
    </row>
    <row r="87" spans="1:7" ht="25" customHeight="1">
      <c r="A87" s="1"/>
      <c r="B87" s="1" t="s">
        <v>82</v>
      </c>
      <c r="C87" s="1" t="s">
        <v>83</v>
      </c>
      <c r="D87" s="1" t="s">
        <v>175</v>
      </c>
      <c r="E87" s="7">
        <v>33431</v>
      </c>
      <c r="F87" s="1" t="s">
        <v>156</v>
      </c>
      <c r="G87" s="1" t="s">
        <v>219</v>
      </c>
    </row>
    <row r="88" spans="1:7" ht="25" customHeight="1">
      <c r="A88" s="1"/>
      <c r="B88" s="1" t="s">
        <v>82</v>
      </c>
      <c r="C88" s="1" t="s">
        <v>83</v>
      </c>
      <c r="D88" s="1" t="s">
        <v>176</v>
      </c>
      <c r="E88" s="7">
        <v>33318</v>
      </c>
      <c r="F88" s="1" t="s">
        <v>156</v>
      </c>
      <c r="G88" s="1" t="s">
        <v>219</v>
      </c>
    </row>
    <row r="89" spans="1:7" ht="25" customHeight="1">
      <c r="A89" s="1"/>
      <c r="B89" s="1" t="s">
        <v>82</v>
      </c>
      <c r="C89" s="1" t="s">
        <v>83</v>
      </c>
      <c r="D89" s="1" t="s">
        <v>177</v>
      </c>
      <c r="E89" s="7">
        <v>33529</v>
      </c>
      <c r="F89" s="1" t="s">
        <v>156</v>
      </c>
      <c r="G89" s="1" t="s">
        <v>219</v>
      </c>
    </row>
    <row r="90" spans="1:7" ht="25" customHeight="1">
      <c r="A90" s="1"/>
      <c r="B90" s="1" t="s">
        <v>82</v>
      </c>
      <c r="C90" s="1" t="s">
        <v>83</v>
      </c>
      <c r="D90" s="1" t="s">
        <v>178</v>
      </c>
      <c r="E90" s="7">
        <v>33673</v>
      </c>
      <c r="F90" s="1" t="s">
        <v>156</v>
      </c>
      <c r="G90" s="1" t="s">
        <v>219</v>
      </c>
    </row>
    <row r="91" spans="1:7" ht="25" customHeight="1">
      <c r="A91" s="1"/>
      <c r="B91" s="1" t="s">
        <v>82</v>
      </c>
      <c r="C91" s="1" t="s">
        <v>83</v>
      </c>
      <c r="D91" s="1" t="s">
        <v>179</v>
      </c>
      <c r="E91" s="7">
        <v>33896</v>
      </c>
      <c r="F91" s="1" t="s">
        <v>156</v>
      </c>
      <c r="G91" s="1" t="s">
        <v>219</v>
      </c>
    </row>
    <row r="92" spans="1:7" ht="25" customHeight="1">
      <c r="A92" s="1"/>
      <c r="B92" s="1" t="s">
        <v>82</v>
      </c>
      <c r="C92" s="1" t="s">
        <v>83</v>
      </c>
      <c r="D92" s="1" t="s">
        <v>180</v>
      </c>
      <c r="E92" s="7">
        <v>33098</v>
      </c>
      <c r="F92" s="1" t="s">
        <v>156</v>
      </c>
      <c r="G92" s="1" t="s">
        <v>219</v>
      </c>
    </row>
    <row r="93" spans="1:7" ht="25" customHeight="1">
      <c r="A93" s="1"/>
      <c r="B93" s="1" t="s">
        <v>82</v>
      </c>
      <c r="C93" s="1" t="s">
        <v>83</v>
      </c>
      <c r="D93" s="1" t="s">
        <v>181</v>
      </c>
      <c r="E93" s="7">
        <v>34603</v>
      </c>
      <c r="F93" s="1" t="s">
        <v>156</v>
      </c>
      <c r="G93" s="1" t="s">
        <v>219</v>
      </c>
    </row>
    <row r="94" spans="1:7" ht="25" customHeight="1">
      <c r="A94" s="1"/>
      <c r="B94" s="1" t="s">
        <v>82</v>
      </c>
      <c r="C94" s="1" t="s">
        <v>83</v>
      </c>
      <c r="D94" s="1" t="s">
        <v>182</v>
      </c>
      <c r="E94" s="7">
        <v>35070</v>
      </c>
      <c r="F94" s="1" t="s">
        <v>156</v>
      </c>
      <c r="G94" s="1" t="s">
        <v>219</v>
      </c>
    </row>
    <row r="95" spans="1:7" ht="25" customHeight="1">
      <c r="A95" s="1"/>
      <c r="B95" s="1" t="s">
        <v>82</v>
      </c>
      <c r="C95" s="1" t="s">
        <v>83</v>
      </c>
      <c r="D95" s="1" t="s">
        <v>183</v>
      </c>
      <c r="E95" s="7">
        <v>35207</v>
      </c>
      <c r="F95" s="1" t="s">
        <v>156</v>
      </c>
      <c r="G95" s="1" t="s">
        <v>219</v>
      </c>
    </row>
    <row r="96" spans="1:7" ht="25" customHeight="1">
      <c r="A96" s="1"/>
      <c r="B96" s="1" t="s">
        <v>82</v>
      </c>
      <c r="C96" s="1" t="s">
        <v>83</v>
      </c>
      <c r="D96" s="1" t="s">
        <v>184</v>
      </c>
      <c r="E96" s="7">
        <v>35493</v>
      </c>
      <c r="F96" s="1" t="s">
        <v>156</v>
      </c>
      <c r="G96" s="1" t="s">
        <v>219</v>
      </c>
    </row>
    <row r="97" spans="1:7" ht="25" customHeight="1">
      <c r="A97" s="1"/>
      <c r="B97" s="1" t="s">
        <v>82</v>
      </c>
      <c r="C97" s="1" t="s">
        <v>83</v>
      </c>
      <c r="D97" s="1" t="s">
        <v>185</v>
      </c>
      <c r="E97" s="7">
        <v>35745</v>
      </c>
      <c r="F97" s="1" t="s">
        <v>156</v>
      </c>
      <c r="G97" s="1" t="s">
        <v>219</v>
      </c>
    </row>
    <row r="98" spans="1:7" ht="25" customHeight="1">
      <c r="A98" s="1"/>
      <c r="B98" s="1" t="s">
        <v>82</v>
      </c>
      <c r="C98" s="1" t="s">
        <v>83</v>
      </c>
      <c r="D98" s="1" t="s">
        <v>186</v>
      </c>
      <c r="E98" s="7">
        <v>35734</v>
      </c>
      <c r="F98" s="1" t="s">
        <v>156</v>
      </c>
      <c r="G98" s="1" t="s">
        <v>219</v>
      </c>
    </row>
    <row r="99" spans="1:7" ht="25" customHeight="1">
      <c r="A99" s="1"/>
      <c r="B99" s="1" t="s">
        <v>82</v>
      </c>
      <c r="C99" s="1" t="s">
        <v>83</v>
      </c>
      <c r="D99" s="1" t="s">
        <v>187</v>
      </c>
      <c r="E99" s="7">
        <v>35455</v>
      </c>
      <c r="F99" s="1" t="s">
        <v>156</v>
      </c>
      <c r="G99" s="1" t="s">
        <v>219</v>
      </c>
    </row>
    <row r="100" spans="1:7" ht="25" customHeight="1">
      <c r="A100" s="1"/>
      <c r="B100" s="1" t="s">
        <v>82</v>
      </c>
      <c r="C100" s="1" t="s">
        <v>83</v>
      </c>
      <c r="D100" s="1" t="s">
        <v>188</v>
      </c>
      <c r="E100" s="7">
        <v>36097</v>
      </c>
      <c r="F100" s="1" t="s">
        <v>156</v>
      </c>
      <c r="G100" s="1" t="s">
        <v>219</v>
      </c>
    </row>
    <row r="101" spans="1:7" ht="25" customHeight="1">
      <c r="A101" s="1"/>
      <c r="B101" s="1" t="s">
        <v>82</v>
      </c>
      <c r="C101" s="1" t="s">
        <v>83</v>
      </c>
      <c r="D101" s="1" t="s">
        <v>189</v>
      </c>
      <c r="E101" s="7">
        <v>36011</v>
      </c>
      <c r="F101" s="1" t="s">
        <v>156</v>
      </c>
      <c r="G101" s="1" t="s">
        <v>219</v>
      </c>
    </row>
    <row r="102" spans="1:7" ht="25" customHeight="1">
      <c r="A102" s="1"/>
      <c r="B102" s="1" t="s">
        <v>82</v>
      </c>
      <c r="C102" s="1" t="s">
        <v>83</v>
      </c>
      <c r="D102" s="1" t="s">
        <v>190</v>
      </c>
      <c r="E102" s="7">
        <v>37298</v>
      </c>
      <c r="F102" s="1" t="s">
        <v>156</v>
      </c>
      <c r="G102" s="1" t="s">
        <v>219</v>
      </c>
    </row>
    <row r="103" spans="1:7" ht="25" customHeight="1">
      <c r="A103" s="1"/>
      <c r="B103" s="1" t="s">
        <v>82</v>
      </c>
      <c r="C103" s="1" t="s">
        <v>83</v>
      </c>
      <c r="D103" s="1" t="s">
        <v>191</v>
      </c>
      <c r="E103" s="7">
        <v>37150</v>
      </c>
      <c r="F103" s="1" t="s">
        <v>156</v>
      </c>
      <c r="G103" s="1" t="s">
        <v>219</v>
      </c>
    </row>
    <row r="104" spans="1:7" ht="25" customHeight="1">
      <c r="A104" s="1"/>
      <c r="B104" s="1" t="s">
        <v>82</v>
      </c>
      <c r="C104" s="1" t="s">
        <v>83</v>
      </c>
      <c r="D104" s="1" t="s">
        <v>192</v>
      </c>
      <c r="E104" s="7">
        <v>36210</v>
      </c>
      <c r="F104" s="1" t="s">
        <v>156</v>
      </c>
      <c r="G104" s="1" t="s">
        <v>219</v>
      </c>
    </row>
    <row r="105" spans="1:7" ht="25" customHeight="1">
      <c r="A105" s="1"/>
      <c r="B105" s="1" t="s">
        <v>82</v>
      </c>
      <c r="C105" s="1" t="s">
        <v>83</v>
      </c>
      <c r="D105" s="1" t="s">
        <v>193</v>
      </c>
      <c r="E105" s="7">
        <v>35827</v>
      </c>
      <c r="F105" s="1" t="s">
        <v>156</v>
      </c>
      <c r="G105" s="1" t="s">
        <v>219</v>
      </c>
    </row>
    <row r="106" spans="1:7" ht="25" customHeight="1">
      <c r="A106" s="1"/>
      <c r="B106" s="1" t="s">
        <v>82</v>
      </c>
      <c r="C106" s="1" t="s">
        <v>83</v>
      </c>
      <c r="D106" s="1" t="s">
        <v>194</v>
      </c>
      <c r="E106" s="7">
        <v>35765</v>
      </c>
      <c r="F106" s="1" t="s">
        <v>156</v>
      </c>
      <c r="G106" s="1" t="s">
        <v>219</v>
      </c>
    </row>
    <row r="107" spans="1:7" ht="25" customHeight="1">
      <c r="A107" s="1"/>
      <c r="B107" s="1" t="s">
        <v>82</v>
      </c>
      <c r="C107" s="1" t="s">
        <v>83</v>
      </c>
      <c r="D107" s="1" t="s">
        <v>195</v>
      </c>
      <c r="E107" s="7">
        <v>35624</v>
      </c>
      <c r="F107" s="1" t="s">
        <v>156</v>
      </c>
      <c r="G107" s="1" t="s">
        <v>219</v>
      </c>
    </row>
    <row r="108" spans="1:7" ht="25" customHeight="1">
      <c r="A108" s="1"/>
      <c r="B108" s="1" t="s">
        <v>82</v>
      </c>
      <c r="C108" s="1" t="s">
        <v>83</v>
      </c>
      <c r="D108" s="1" t="s">
        <v>196</v>
      </c>
      <c r="E108" s="7">
        <v>35778</v>
      </c>
      <c r="F108" s="1" t="s">
        <v>156</v>
      </c>
      <c r="G108" s="1" t="s">
        <v>219</v>
      </c>
    </row>
    <row r="109" spans="1:7" ht="25" customHeight="1">
      <c r="A109" s="1"/>
      <c r="B109" s="1" t="s">
        <v>82</v>
      </c>
      <c r="C109" s="1" t="s">
        <v>83</v>
      </c>
      <c r="D109" s="1" t="s">
        <v>197</v>
      </c>
      <c r="E109" s="7">
        <v>36028</v>
      </c>
      <c r="F109" s="1" t="s">
        <v>156</v>
      </c>
      <c r="G109" s="1" t="s">
        <v>219</v>
      </c>
    </row>
    <row r="110" spans="1:7" ht="25" customHeight="1">
      <c r="A110" s="1"/>
      <c r="B110" s="1" t="s">
        <v>82</v>
      </c>
      <c r="C110" s="1" t="s">
        <v>83</v>
      </c>
      <c r="D110" s="1" t="s">
        <v>198</v>
      </c>
      <c r="E110" s="7">
        <v>36021</v>
      </c>
      <c r="F110" s="1" t="s">
        <v>156</v>
      </c>
      <c r="G110" s="1" t="s">
        <v>219</v>
      </c>
    </row>
    <row r="111" spans="1:7" ht="25" customHeight="1">
      <c r="A111" s="1"/>
      <c r="B111" s="1" t="s">
        <v>82</v>
      </c>
      <c r="C111" s="1" t="s">
        <v>83</v>
      </c>
      <c r="D111" s="1" t="s">
        <v>199</v>
      </c>
      <c r="E111" s="7">
        <v>37535</v>
      </c>
      <c r="F111" s="1" t="s">
        <v>156</v>
      </c>
      <c r="G111" s="1" t="s">
        <v>219</v>
      </c>
    </row>
    <row r="112" spans="1:7" ht="25" customHeight="1">
      <c r="A112" s="1"/>
      <c r="B112" s="1" t="s">
        <v>82</v>
      </c>
      <c r="C112" s="1" t="s">
        <v>83</v>
      </c>
      <c r="D112" s="1" t="s">
        <v>200</v>
      </c>
      <c r="E112" s="7">
        <v>37678</v>
      </c>
      <c r="F112" s="1" t="s">
        <v>156</v>
      </c>
      <c r="G112" s="1" t="s">
        <v>219</v>
      </c>
    </row>
    <row r="113" spans="1:7" ht="25" customHeight="1">
      <c r="A113" s="1"/>
      <c r="B113" s="1" t="s">
        <v>82</v>
      </c>
      <c r="C113" s="1" t="s">
        <v>83</v>
      </c>
      <c r="D113" s="1" t="s">
        <v>201</v>
      </c>
      <c r="E113" s="7">
        <v>38360</v>
      </c>
      <c r="F113" s="1" t="s">
        <v>156</v>
      </c>
      <c r="G113" s="1" t="s">
        <v>219</v>
      </c>
    </row>
    <row r="114" spans="1:7" ht="25" customHeight="1">
      <c r="A114" s="1"/>
      <c r="B114" s="1" t="s">
        <v>82</v>
      </c>
      <c r="C114" s="1" t="s">
        <v>83</v>
      </c>
      <c r="D114" s="1" t="s">
        <v>202</v>
      </c>
      <c r="E114" s="7">
        <v>38196</v>
      </c>
      <c r="F114" s="1" t="s">
        <v>156</v>
      </c>
      <c r="G114" s="1" t="s">
        <v>219</v>
      </c>
    </row>
    <row r="115" spans="1:7" ht="25" customHeight="1">
      <c r="A115" s="1"/>
      <c r="B115" s="1" t="s">
        <v>82</v>
      </c>
      <c r="C115" s="1" t="s">
        <v>83</v>
      </c>
      <c r="D115" s="1" t="s">
        <v>203</v>
      </c>
      <c r="E115" s="7">
        <v>38085</v>
      </c>
      <c r="F115" s="1" t="s">
        <v>156</v>
      </c>
      <c r="G115" s="1" t="s">
        <v>219</v>
      </c>
    </row>
    <row r="116" spans="1:7" ht="25" customHeight="1">
      <c r="A116" s="1"/>
      <c r="B116" s="1" t="s">
        <v>82</v>
      </c>
      <c r="C116" s="1" t="s">
        <v>83</v>
      </c>
      <c r="D116" s="1" t="s">
        <v>204</v>
      </c>
      <c r="E116" s="7">
        <v>37831</v>
      </c>
      <c r="F116" s="1" t="s">
        <v>156</v>
      </c>
      <c r="G116" s="1" t="s">
        <v>219</v>
      </c>
    </row>
    <row r="117" spans="1:7" ht="25" customHeight="1">
      <c r="A117" s="1"/>
      <c r="B117" s="1" t="s">
        <v>82</v>
      </c>
      <c r="C117" s="1" t="s">
        <v>83</v>
      </c>
      <c r="D117" s="1" t="s">
        <v>205</v>
      </c>
      <c r="E117" s="7">
        <v>37806</v>
      </c>
      <c r="F117" s="1" t="s">
        <v>156</v>
      </c>
      <c r="G117" s="1" t="s">
        <v>219</v>
      </c>
    </row>
    <row r="118" spans="1:7" ht="25" customHeight="1">
      <c r="A118" s="1"/>
      <c r="B118" s="1" t="s">
        <v>82</v>
      </c>
      <c r="C118" s="1" t="s">
        <v>83</v>
      </c>
      <c r="D118" s="1" t="s">
        <v>206</v>
      </c>
      <c r="E118" s="7">
        <v>38865</v>
      </c>
      <c r="F118" s="1" t="s">
        <v>156</v>
      </c>
      <c r="G118" s="1" t="s">
        <v>219</v>
      </c>
    </row>
    <row r="119" spans="1:7" ht="25" customHeight="1">
      <c r="A119" s="1"/>
      <c r="B119" s="1" t="s">
        <v>82</v>
      </c>
      <c r="C119" s="1" t="s">
        <v>83</v>
      </c>
      <c r="D119" s="1" t="s">
        <v>207</v>
      </c>
      <c r="E119" s="7">
        <v>39145</v>
      </c>
      <c r="F119" s="1" t="s">
        <v>156</v>
      </c>
      <c r="G119" s="1" t="s">
        <v>219</v>
      </c>
    </row>
    <row r="120" spans="1:7" ht="25" customHeight="1">
      <c r="A120" s="1"/>
      <c r="B120" s="1" t="s">
        <v>82</v>
      </c>
      <c r="C120" s="1" t="s">
        <v>83</v>
      </c>
      <c r="D120" s="1" t="s">
        <v>208</v>
      </c>
      <c r="E120" s="7">
        <v>39198</v>
      </c>
      <c r="F120" s="1" t="s">
        <v>156</v>
      </c>
      <c r="G120" s="1" t="s">
        <v>219</v>
      </c>
    </row>
    <row r="121" spans="1:7" ht="25" customHeight="1">
      <c r="A121" s="1"/>
      <c r="B121" s="1" t="s">
        <v>82</v>
      </c>
      <c r="C121" s="1" t="s">
        <v>83</v>
      </c>
      <c r="D121" s="1" t="s">
        <v>209</v>
      </c>
      <c r="E121" s="7">
        <v>39104</v>
      </c>
      <c r="F121" s="1" t="s">
        <v>156</v>
      </c>
      <c r="G121" s="1" t="s">
        <v>219</v>
      </c>
    </row>
    <row r="122" spans="1:7" ht="25" customHeight="1">
      <c r="A122" s="1"/>
      <c r="B122" s="1" t="s">
        <v>82</v>
      </c>
      <c r="C122" s="1" t="s">
        <v>83</v>
      </c>
      <c r="D122" s="1" t="s">
        <v>210</v>
      </c>
      <c r="E122" s="7">
        <v>39517</v>
      </c>
      <c r="F122" s="1" t="s">
        <v>156</v>
      </c>
      <c r="G122" s="1" t="s">
        <v>219</v>
      </c>
    </row>
    <row r="123" spans="1:7" ht="25" customHeight="1">
      <c r="A123" s="1"/>
      <c r="B123" s="1" t="s">
        <v>82</v>
      </c>
      <c r="C123" s="1" t="s">
        <v>83</v>
      </c>
      <c r="D123" s="1" t="s">
        <v>211</v>
      </c>
      <c r="E123" s="7">
        <v>40182</v>
      </c>
      <c r="F123" s="1" t="s">
        <v>156</v>
      </c>
      <c r="G123" s="1" t="s">
        <v>219</v>
      </c>
    </row>
    <row r="124" spans="1:7" ht="25" customHeight="1">
      <c r="A124" s="1"/>
      <c r="B124" s="1" t="s">
        <v>82</v>
      </c>
      <c r="C124" s="1" t="s">
        <v>83</v>
      </c>
      <c r="D124" s="1" t="s">
        <v>212</v>
      </c>
      <c r="E124" s="7">
        <v>40118</v>
      </c>
      <c r="F124" s="1" t="s">
        <v>156</v>
      </c>
      <c r="G124" s="1" t="s">
        <v>219</v>
      </c>
    </row>
    <row r="125" spans="1:7" ht="25" customHeight="1">
      <c r="A125" s="1"/>
      <c r="B125" s="1" t="s">
        <v>82</v>
      </c>
      <c r="C125" s="1" t="s">
        <v>83</v>
      </c>
      <c r="D125" s="1" t="s">
        <v>213</v>
      </c>
      <c r="E125" s="7">
        <v>40637</v>
      </c>
      <c r="F125" s="1" t="s">
        <v>156</v>
      </c>
      <c r="G125" s="1" t="s">
        <v>219</v>
      </c>
    </row>
    <row r="126" spans="1:7" ht="25" customHeight="1">
      <c r="A126" s="1"/>
      <c r="B126" s="1" t="s">
        <v>82</v>
      </c>
      <c r="C126" s="1" t="s">
        <v>83</v>
      </c>
      <c r="D126" s="1" t="s">
        <v>214</v>
      </c>
      <c r="E126" s="7">
        <v>40456</v>
      </c>
      <c r="F126" s="1" t="s">
        <v>156</v>
      </c>
      <c r="G126" s="1" t="s">
        <v>219</v>
      </c>
    </row>
    <row r="127" spans="1:7" ht="25" customHeight="1">
      <c r="A127" s="1"/>
      <c r="B127" s="1" t="s">
        <v>82</v>
      </c>
      <c r="C127" s="1" t="s">
        <v>83</v>
      </c>
      <c r="D127" s="1" t="s">
        <v>215</v>
      </c>
      <c r="E127" s="7">
        <v>40222</v>
      </c>
      <c r="F127" s="1" t="s">
        <v>156</v>
      </c>
      <c r="G127" s="1" t="s">
        <v>219</v>
      </c>
    </row>
    <row r="128" spans="1:7" ht="25" customHeight="1">
      <c r="A128" s="1"/>
      <c r="B128" s="1" t="s">
        <v>82</v>
      </c>
      <c r="C128" s="1" t="s">
        <v>83</v>
      </c>
      <c r="D128" s="1" t="s">
        <v>216</v>
      </c>
      <c r="E128" s="7">
        <v>40119</v>
      </c>
      <c r="F128" s="1" t="s">
        <v>156</v>
      </c>
      <c r="G128" s="1" t="s">
        <v>219</v>
      </c>
    </row>
    <row r="129" spans="1:7" ht="25" customHeight="1">
      <c r="A129" s="1"/>
      <c r="B129" s="1" t="s">
        <v>82</v>
      </c>
      <c r="C129" s="1" t="s">
        <v>83</v>
      </c>
      <c r="D129" s="1" t="s">
        <v>217</v>
      </c>
      <c r="E129" s="7">
        <v>38913</v>
      </c>
      <c r="F129" s="1" t="s">
        <v>156</v>
      </c>
      <c r="G129" s="1" t="s">
        <v>219</v>
      </c>
    </row>
    <row r="130" spans="1:7" ht="25" customHeight="1">
      <c r="A130" s="1"/>
      <c r="B130" s="1" t="s">
        <v>82</v>
      </c>
      <c r="C130" s="1" t="s">
        <v>83</v>
      </c>
      <c r="D130" s="1" t="s">
        <v>218</v>
      </c>
      <c r="E130" s="7">
        <v>39681</v>
      </c>
      <c r="F130" s="1" t="s">
        <v>156</v>
      </c>
      <c r="G130" s="1" t="s">
        <v>219</v>
      </c>
    </row>
    <row r="131" spans="1:7" ht="25" customHeight="1">
      <c r="A131" s="1"/>
      <c r="B131" s="1" t="s">
        <v>82</v>
      </c>
      <c r="C131" s="1" t="s">
        <v>83</v>
      </c>
      <c r="D131" s="1" t="s">
        <v>19</v>
      </c>
      <c r="E131" s="7">
        <v>40106</v>
      </c>
      <c r="F131" s="1" t="s">
        <v>156</v>
      </c>
      <c r="G131" s="1" t="s">
        <v>219</v>
      </c>
    </row>
    <row r="132" spans="1:7" ht="25" customHeight="1">
      <c r="A132" s="1"/>
      <c r="B132" s="1" t="s">
        <v>82</v>
      </c>
      <c r="C132" s="1" t="s">
        <v>83</v>
      </c>
      <c r="D132" s="1" t="s">
        <v>16</v>
      </c>
      <c r="E132" s="7">
        <v>40099</v>
      </c>
      <c r="F132" s="1" t="s">
        <v>156</v>
      </c>
      <c r="G132" s="1" t="s">
        <v>219</v>
      </c>
    </row>
    <row r="133" spans="1:7" ht="25" customHeight="1">
      <c r="A133" s="1"/>
      <c r="B133" s="1" t="s">
        <v>76</v>
      </c>
      <c r="C133" s="1" t="s">
        <v>77</v>
      </c>
      <c r="D133" s="1" t="s">
        <v>155</v>
      </c>
      <c r="E133" s="7">
        <v>3196.8</v>
      </c>
      <c r="F133" s="1" t="s">
        <v>220</v>
      </c>
      <c r="G133" s="1" t="s">
        <v>221</v>
      </c>
    </row>
    <row r="134" spans="1:7" ht="25" customHeight="1">
      <c r="A134" s="1"/>
      <c r="B134" s="1" t="s">
        <v>76</v>
      </c>
      <c r="C134" s="1" t="s">
        <v>77</v>
      </c>
      <c r="D134" s="1" t="s">
        <v>158</v>
      </c>
      <c r="E134" s="7">
        <v>3136.7</v>
      </c>
      <c r="F134" s="1" t="s">
        <v>220</v>
      </c>
      <c r="G134" s="1" t="s">
        <v>221</v>
      </c>
    </row>
    <row r="135" spans="1:7" ht="25" customHeight="1">
      <c r="A135" s="1"/>
      <c r="B135" s="1" t="s">
        <v>76</v>
      </c>
      <c r="C135" s="1" t="s">
        <v>77</v>
      </c>
      <c r="D135" s="1" t="s">
        <v>159</v>
      </c>
      <c r="E135" s="7">
        <v>3322.2</v>
      </c>
      <c r="F135" s="1" t="s">
        <v>220</v>
      </c>
      <c r="G135" s="1" t="s">
        <v>221</v>
      </c>
    </row>
    <row r="136" spans="1:7" ht="25" customHeight="1">
      <c r="A136" s="1"/>
      <c r="B136" s="1" t="s">
        <v>76</v>
      </c>
      <c r="C136" s="1" t="s">
        <v>77</v>
      </c>
      <c r="D136" s="1" t="s">
        <v>160</v>
      </c>
      <c r="E136" s="7">
        <v>3323.4</v>
      </c>
      <c r="F136" s="1" t="s">
        <v>220</v>
      </c>
      <c r="G136" s="1" t="s">
        <v>221</v>
      </c>
    </row>
    <row r="137" spans="1:7" ht="25" customHeight="1">
      <c r="A137" s="1"/>
      <c r="B137" s="1" t="s">
        <v>76</v>
      </c>
      <c r="C137" s="1" t="s">
        <v>77</v>
      </c>
      <c r="D137" s="1" t="s">
        <v>161</v>
      </c>
      <c r="E137" s="7">
        <v>3315</v>
      </c>
      <c r="F137" s="1" t="s">
        <v>220</v>
      </c>
      <c r="G137" s="1" t="s">
        <v>221</v>
      </c>
    </row>
    <row r="138" spans="1:7" ht="25" customHeight="1">
      <c r="A138" s="1"/>
      <c r="B138" s="1" t="s">
        <v>76</v>
      </c>
      <c r="C138" s="1" t="s">
        <v>77</v>
      </c>
      <c r="D138" s="1" t="s">
        <v>162</v>
      </c>
      <c r="E138" s="7">
        <v>3370.5</v>
      </c>
      <c r="F138" s="1" t="s">
        <v>220</v>
      </c>
      <c r="G138" s="1" t="s">
        <v>221</v>
      </c>
    </row>
    <row r="139" spans="1:7" ht="25" customHeight="1">
      <c r="A139" s="1"/>
      <c r="B139" s="1" t="s">
        <v>76</v>
      </c>
      <c r="C139" s="1" t="s">
        <v>77</v>
      </c>
      <c r="D139" s="1" t="s">
        <v>163</v>
      </c>
      <c r="E139" s="7">
        <v>3316</v>
      </c>
      <c r="F139" s="1" t="s">
        <v>220</v>
      </c>
      <c r="G139" s="1" t="s">
        <v>221</v>
      </c>
    </row>
    <row r="140" spans="1:7" ht="25" customHeight="1">
      <c r="A140" s="1"/>
      <c r="B140" s="1" t="s">
        <v>76</v>
      </c>
      <c r="C140" s="1" t="s">
        <v>77</v>
      </c>
      <c r="D140" s="1" t="s">
        <v>164</v>
      </c>
      <c r="E140" s="7">
        <v>3358.1</v>
      </c>
      <c r="F140" s="1" t="s">
        <v>220</v>
      </c>
      <c r="G140" s="1" t="s">
        <v>221</v>
      </c>
    </row>
    <row r="141" spans="1:7" ht="25" customHeight="1">
      <c r="A141" s="1"/>
      <c r="B141" s="1" t="s">
        <v>76</v>
      </c>
      <c r="C141" s="1" t="s">
        <v>77</v>
      </c>
      <c r="D141" s="1" t="s">
        <v>165</v>
      </c>
      <c r="E141" s="7">
        <v>3353.8</v>
      </c>
      <c r="F141" s="1" t="s">
        <v>220</v>
      </c>
      <c r="G141" s="1" t="s">
        <v>221</v>
      </c>
    </row>
    <row r="142" spans="1:7" ht="25" customHeight="1">
      <c r="A142" s="1"/>
      <c r="B142" s="1" t="s">
        <v>76</v>
      </c>
      <c r="C142" s="1" t="s">
        <v>77</v>
      </c>
      <c r="D142" s="1" t="s">
        <v>166</v>
      </c>
      <c r="E142" s="7">
        <v>3364.3</v>
      </c>
      <c r="F142" s="1" t="s">
        <v>220</v>
      </c>
      <c r="G142" s="1" t="s">
        <v>221</v>
      </c>
    </row>
    <row r="143" spans="1:7" ht="25" customHeight="1">
      <c r="A143" s="1"/>
      <c r="B143" s="1" t="s">
        <v>76</v>
      </c>
      <c r="C143" s="1" t="s">
        <v>77</v>
      </c>
      <c r="D143" s="1" t="s">
        <v>167</v>
      </c>
      <c r="E143" s="7">
        <v>3370.8</v>
      </c>
      <c r="F143" s="1" t="s">
        <v>220</v>
      </c>
      <c r="G143" s="1" t="s">
        <v>221</v>
      </c>
    </row>
    <row r="144" spans="1:7" ht="25" customHeight="1">
      <c r="A144" s="1"/>
      <c r="B144" s="1" t="s">
        <v>76</v>
      </c>
      <c r="C144" s="1" t="s">
        <v>77</v>
      </c>
      <c r="D144" s="1" t="s">
        <v>168</v>
      </c>
      <c r="E144" s="7">
        <v>3344.9</v>
      </c>
      <c r="F144" s="1" t="s">
        <v>220</v>
      </c>
      <c r="G144" s="1" t="s">
        <v>221</v>
      </c>
    </row>
    <row r="145" spans="1:7" ht="25" customHeight="1">
      <c r="A145" s="1"/>
      <c r="B145" s="1" t="s">
        <v>76</v>
      </c>
      <c r="C145" s="1" t="s">
        <v>77</v>
      </c>
      <c r="D145" s="1" t="s">
        <v>169</v>
      </c>
      <c r="E145" s="7">
        <v>3340.6</v>
      </c>
      <c r="F145" s="1" t="s">
        <v>220</v>
      </c>
      <c r="G145" s="1" t="s">
        <v>221</v>
      </c>
    </row>
    <row r="146" spans="1:7" ht="25" customHeight="1">
      <c r="A146" s="1"/>
      <c r="B146" s="1" t="s">
        <v>76</v>
      </c>
      <c r="C146" s="1" t="s">
        <v>77</v>
      </c>
      <c r="D146" s="1" t="s">
        <v>170</v>
      </c>
      <c r="E146" s="7">
        <v>3328.9</v>
      </c>
      <c r="F146" s="1" t="s">
        <v>220</v>
      </c>
      <c r="G146" s="1" t="s">
        <v>221</v>
      </c>
    </row>
    <row r="147" spans="1:7" ht="25" customHeight="1">
      <c r="A147" s="1"/>
      <c r="B147" s="1" t="s">
        <v>76</v>
      </c>
      <c r="C147" s="1" t="s">
        <v>77</v>
      </c>
      <c r="D147" s="1" t="s">
        <v>171</v>
      </c>
      <c r="E147" s="7">
        <v>3333.7</v>
      </c>
      <c r="F147" s="1" t="s">
        <v>220</v>
      </c>
      <c r="G147" s="1" t="s">
        <v>221</v>
      </c>
    </row>
    <row r="148" spans="1:7" ht="25" customHeight="1">
      <c r="A148" s="1"/>
      <c r="B148" s="1" t="s">
        <v>76</v>
      </c>
      <c r="C148" s="1" t="s">
        <v>77</v>
      </c>
      <c r="D148" s="1" t="s">
        <v>172</v>
      </c>
      <c r="E148" s="7">
        <v>3334.7</v>
      </c>
      <c r="F148" s="1" t="s">
        <v>220</v>
      </c>
      <c r="G148" s="1" t="s">
        <v>221</v>
      </c>
    </row>
    <row r="149" spans="1:7" ht="25" customHeight="1">
      <c r="A149" s="1"/>
      <c r="B149" s="1" t="s">
        <v>76</v>
      </c>
      <c r="C149" s="1" t="s">
        <v>77</v>
      </c>
      <c r="D149" s="1" t="s">
        <v>173</v>
      </c>
      <c r="E149" s="7">
        <v>3339.6</v>
      </c>
      <c r="F149" s="1" t="s">
        <v>220</v>
      </c>
      <c r="G149" s="1" t="s">
        <v>221</v>
      </c>
    </row>
    <row r="150" spans="1:7" ht="25" customHeight="1">
      <c r="A150" s="1"/>
      <c r="B150" s="1" t="s">
        <v>76</v>
      </c>
      <c r="C150" s="1" t="s">
        <v>77</v>
      </c>
      <c r="D150" s="1" t="s">
        <v>174</v>
      </c>
      <c r="E150" s="7">
        <v>3330.8</v>
      </c>
      <c r="F150" s="1" t="s">
        <v>220</v>
      </c>
      <c r="G150" s="1" t="s">
        <v>221</v>
      </c>
    </row>
    <row r="151" spans="1:7" ht="25" customHeight="1">
      <c r="A151" s="1"/>
      <c r="B151" s="1" t="s">
        <v>76</v>
      </c>
      <c r="C151" s="1" t="s">
        <v>77</v>
      </c>
      <c r="D151" s="1" t="s">
        <v>175</v>
      </c>
      <c r="E151" s="7">
        <v>3293.4</v>
      </c>
      <c r="F151" s="1" t="s">
        <v>220</v>
      </c>
      <c r="G151" s="1" t="s">
        <v>221</v>
      </c>
    </row>
    <row r="152" spans="1:7" ht="25" customHeight="1">
      <c r="A152" s="1"/>
      <c r="B152" s="1" t="s">
        <v>76</v>
      </c>
      <c r="C152" s="1" t="s">
        <v>77</v>
      </c>
      <c r="D152" s="1" t="s">
        <v>176</v>
      </c>
      <c r="E152" s="7">
        <v>3313.4</v>
      </c>
      <c r="F152" s="1" t="s">
        <v>220</v>
      </c>
      <c r="G152" s="1" t="s">
        <v>221</v>
      </c>
    </row>
    <row r="153" spans="1:7" ht="25" customHeight="1">
      <c r="A153" s="1"/>
      <c r="B153" s="1" t="s">
        <v>76</v>
      </c>
      <c r="C153" s="1" t="s">
        <v>77</v>
      </c>
      <c r="D153" s="1" t="s">
        <v>177</v>
      </c>
      <c r="E153" s="7">
        <v>3323.4</v>
      </c>
      <c r="F153" s="1" t="s">
        <v>220</v>
      </c>
      <c r="G153" s="1" t="s">
        <v>221</v>
      </c>
    </row>
    <row r="154" spans="1:7" ht="25" customHeight="1">
      <c r="A154" s="1"/>
      <c r="B154" s="1" t="s">
        <v>76</v>
      </c>
      <c r="C154" s="1" t="s">
        <v>77</v>
      </c>
      <c r="D154" s="1" t="s">
        <v>178</v>
      </c>
      <c r="E154" s="7">
        <v>3319.6</v>
      </c>
      <c r="F154" s="1" t="s">
        <v>220</v>
      </c>
      <c r="G154" s="1" t="s">
        <v>221</v>
      </c>
    </row>
    <row r="155" spans="1:7" ht="25" customHeight="1">
      <c r="A155" s="1"/>
      <c r="B155" s="1" t="s">
        <v>76</v>
      </c>
      <c r="C155" s="1" t="s">
        <v>77</v>
      </c>
      <c r="D155" s="1" t="s">
        <v>179</v>
      </c>
      <c r="E155" s="7">
        <v>3300.9</v>
      </c>
      <c r="F155" s="1" t="s">
        <v>220</v>
      </c>
      <c r="G155" s="1" t="s">
        <v>221</v>
      </c>
    </row>
    <row r="156" spans="1:7" ht="25" customHeight="1">
      <c r="A156" s="1"/>
      <c r="B156" s="1" t="s">
        <v>76</v>
      </c>
      <c r="C156" s="1" t="s">
        <v>77</v>
      </c>
      <c r="D156" s="1" t="s">
        <v>180</v>
      </c>
      <c r="E156" s="7">
        <v>3287.3</v>
      </c>
      <c r="F156" s="1" t="s">
        <v>220</v>
      </c>
      <c r="G156" s="1" t="s">
        <v>221</v>
      </c>
    </row>
    <row r="157" spans="1:7" ht="25" customHeight="1">
      <c r="A157" s="1"/>
      <c r="B157" s="1" t="s">
        <v>76</v>
      </c>
      <c r="C157" s="1" t="s">
        <v>77</v>
      </c>
      <c r="D157" s="1" t="s">
        <v>181</v>
      </c>
      <c r="E157" s="7">
        <v>3320.4</v>
      </c>
      <c r="F157" s="1" t="s">
        <v>220</v>
      </c>
      <c r="G157" s="1" t="s">
        <v>221</v>
      </c>
    </row>
    <row r="158" spans="1:7" ht="25" customHeight="1">
      <c r="A158" s="1"/>
      <c r="B158" s="1" t="s">
        <v>76</v>
      </c>
      <c r="C158" s="1" t="s">
        <v>77</v>
      </c>
      <c r="D158" s="1" t="s">
        <v>182</v>
      </c>
      <c r="E158" s="7">
        <v>3332.3</v>
      </c>
      <c r="F158" s="1" t="s">
        <v>220</v>
      </c>
      <c r="G158" s="1" t="s">
        <v>221</v>
      </c>
    </row>
    <row r="159" spans="1:7" ht="25" customHeight="1">
      <c r="A159" s="1"/>
      <c r="B159" s="1" t="s">
        <v>76</v>
      </c>
      <c r="C159" s="1" t="s">
        <v>77</v>
      </c>
      <c r="D159" s="1" t="s">
        <v>183</v>
      </c>
      <c r="E159" s="7">
        <v>3299.1</v>
      </c>
      <c r="F159" s="1" t="s">
        <v>220</v>
      </c>
      <c r="G159" s="1" t="s">
        <v>221</v>
      </c>
    </row>
    <row r="160" spans="1:7" ht="25" customHeight="1">
      <c r="A160" s="1"/>
      <c r="B160" s="1" t="s">
        <v>76</v>
      </c>
      <c r="C160" s="1" t="s">
        <v>77</v>
      </c>
      <c r="D160" s="1" t="s">
        <v>184</v>
      </c>
      <c r="E160" s="7">
        <v>3323</v>
      </c>
      <c r="F160" s="1" t="s">
        <v>220</v>
      </c>
      <c r="G160" s="1" t="s">
        <v>221</v>
      </c>
    </row>
    <row r="161" spans="1:7" ht="25" customHeight="1">
      <c r="A161" s="1"/>
      <c r="B161" s="1" t="s">
        <v>76</v>
      </c>
      <c r="C161" s="1" t="s">
        <v>77</v>
      </c>
      <c r="D161" s="1" t="s">
        <v>185</v>
      </c>
      <c r="E161" s="7">
        <v>3314.1</v>
      </c>
      <c r="F161" s="1" t="s">
        <v>220</v>
      </c>
      <c r="G161" s="1" t="s">
        <v>221</v>
      </c>
    </row>
    <row r="162" spans="1:7" ht="25" customHeight="1">
      <c r="A162" s="1"/>
      <c r="B162" s="1" t="s">
        <v>76</v>
      </c>
      <c r="C162" s="1" t="s">
        <v>77</v>
      </c>
      <c r="D162" s="1" t="s">
        <v>186</v>
      </c>
      <c r="E162" s="7">
        <v>3329.6</v>
      </c>
      <c r="F162" s="1" t="s">
        <v>220</v>
      </c>
      <c r="G162" s="1" t="s">
        <v>221</v>
      </c>
    </row>
    <row r="163" spans="1:7" ht="25" customHeight="1">
      <c r="A163" s="1"/>
      <c r="B163" s="1" t="s">
        <v>76</v>
      </c>
      <c r="C163" s="1" t="s">
        <v>77</v>
      </c>
      <c r="D163" s="1" t="s">
        <v>187</v>
      </c>
      <c r="E163" s="7">
        <v>3342.7</v>
      </c>
      <c r="F163" s="1" t="s">
        <v>220</v>
      </c>
      <c r="G163" s="1" t="s">
        <v>221</v>
      </c>
    </row>
    <row r="164" spans="1:7" ht="25" customHeight="1">
      <c r="A164" s="1"/>
      <c r="B164" s="1" t="s">
        <v>76</v>
      </c>
      <c r="C164" s="1" t="s">
        <v>77</v>
      </c>
      <c r="D164" s="1" t="s">
        <v>188</v>
      </c>
      <c r="E164" s="7">
        <v>3349.1</v>
      </c>
      <c r="F164" s="1" t="s">
        <v>220</v>
      </c>
      <c r="G164" s="1" t="s">
        <v>221</v>
      </c>
    </row>
    <row r="165" spans="1:7" ht="25" customHeight="1">
      <c r="A165" s="1"/>
      <c r="B165" s="1" t="s">
        <v>76</v>
      </c>
      <c r="C165" s="1" t="s">
        <v>77</v>
      </c>
      <c r="D165" s="1" t="s">
        <v>189</v>
      </c>
      <c r="E165" s="7">
        <v>3356.5</v>
      </c>
      <c r="F165" s="1" t="s">
        <v>220</v>
      </c>
      <c r="G165" s="1" t="s">
        <v>221</v>
      </c>
    </row>
    <row r="166" spans="1:7" ht="25" customHeight="1">
      <c r="A166" s="1"/>
      <c r="B166" s="1" t="s">
        <v>76</v>
      </c>
      <c r="C166" s="1" t="s">
        <v>77</v>
      </c>
      <c r="D166" s="1" t="s">
        <v>190</v>
      </c>
      <c r="E166" s="7">
        <v>3366.7</v>
      </c>
      <c r="F166" s="1" t="s">
        <v>220</v>
      </c>
      <c r="G166" s="1" t="s">
        <v>221</v>
      </c>
    </row>
    <row r="167" spans="1:7" ht="25" customHeight="1">
      <c r="A167" s="1"/>
      <c r="B167" s="1" t="s">
        <v>76</v>
      </c>
      <c r="C167" s="1" t="s">
        <v>77</v>
      </c>
      <c r="D167" s="1" t="s">
        <v>191</v>
      </c>
      <c r="E167" s="7">
        <v>3375.4</v>
      </c>
      <c r="F167" s="1" t="s">
        <v>220</v>
      </c>
      <c r="G167" s="1" t="s">
        <v>221</v>
      </c>
    </row>
    <row r="168" spans="1:7" ht="25" customHeight="1">
      <c r="A168" s="1"/>
      <c r="B168" s="1" t="s">
        <v>76</v>
      </c>
      <c r="C168" s="1" t="s">
        <v>77</v>
      </c>
      <c r="D168" s="1" t="s">
        <v>192</v>
      </c>
      <c r="E168" s="7">
        <v>3386.2</v>
      </c>
      <c r="F168" s="1" t="s">
        <v>220</v>
      </c>
      <c r="G168" s="1" t="s">
        <v>221</v>
      </c>
    </row>
    <row r="169" spans="1:7" ht="25" customHeight="1">
      <c r="A169" s="1"/>
      <c r="B169" s="1" t="s">
        <v>76</v>
      </c>
      <c r="C169" s="1" t="s">
        <v>77</v>
      </c>
      <c r="D169" s="1" t="s">
        <v>193</v>
      </c>
      <c r="E169" s="7">
        <v>3356.8</v>
      </c>
      <c r="F169" s="1" t="s">
        <v>220</v>
      </c>
      <c r="G169" s="1" t="s">
        <v>221</v>
      </c>
    </row>
    <row r="170" spans="1:7" ht="25" customHeight="1">
      <c r="A170" s="1"/>
      <c r="B170" s="1" t="s">
        <v>76</v>
      </c>
      <c r="C170" s="1" t="s">
        <v>77</v>
      </c>
      <c r="D170" s="1" t="s">
        <v>194</v>
      </c>
      <c r="E170" s="7">
        <v>3348.5</v>
      </c>
      <c r="F170" s="1" t="s">
        <v>220</v>
      </c>
      <c r="G170" s="1" t="s">
        <v>221</v>
      </c>
    </row>
    <row r="171" spans="1:7" ht="25" customHeight="1">
      <c r="A171" s="1"/>
      <c r="B171" s="1" t="s">
        <v>76</v>
      </c>
      <c r="C171" s="1" t="s">
        <v>77</v>
      </c>
      <c r="D171" s="1" t="s">
        <v>195</v>
      </c>
      <c r="E171" s="7">
        <v>3383.1</v>
      </c>
      <c r="F171" s="1" t="s">
        <v>220</v>
      </c>
      <c r="G171" s="1" t="s">
        <v>221</v>
      </c>
    </row>
    <row r="172" spans="1:7" ht="25" customHeight="1">
      <c r="A172" s="1"/>
      <c r="B172" s="1" t="s">
        <v>76</v>
      </c>
      <c r="C172" s="1" t="s">
        <v>77</v>
      </c>
      <c r="D172" s="1" t="s">
        <v>196</v>
      </c>
      <c r="E172" s="7">
        <v>3384.9</v>
      </c>
      <c r="F172" s="1" t="s">
        <v>220</v>
      </c>
      <c r="G172" s="1" t="s">
        <v>221</v>
      </c>
    </row>
    <row r="173" spans="1:7" ht="25" customHeight="1">
      <c r="A173" s="1"/>
      <c r="B173" s="1" t="s">
        <v>76</v>
      </c>
      <c r="C173" s="1" t="s">
        <v>77</v>
      </c>
      <c r="D173" s="1" t="s">
        <v>197</v>
      </c>
      <c r="E173" s="7">
        <v>3399.9</v>
      </c>
      <c r="F173" s="1" t="s">
        <v>220</v>
      </c>
      <c r="G173" s="1" t="s">
        <v>221</v>
      </c>
    </row>
    <row r="174" spans="1:7" ht="25" customHeight="1">
      <c r="A174" s="1"/>
      <c r="B174" s="1" t="s">
        <v>76</v>
      </c>
      <c r="C174" s="1" t="s">
        <v>77</v>
      </c>
      <c r="D174" s="1" t="s">
        <v>198</v>
      </c>
      <c r="E174" s="7">
        <v>3409.2</v>
      </c>
      <c r="F174" s="1" t="s">
        <v>220</v>
      </c>
      <c r="G174" s="1" t="s">
        <v>221</v>
      </c>
    </row>
    <row r="175" spans="1:7" ht="25" customHeight="1">
      <c r="A175" s="1"/>
      <c r="B175" s="1" t="s">
        <v>76</v>
      </c>
      <c r="C175" s="1" t="s">
        <v>77</v>
      </c>
      <c r="D175" s="1" t="s">
        <v>199</v>
      </c>
      <c r="E175" s="7">
        <v>3428.5</v>
      </c>
      <c r="F175" s="1" t="s">
        <v>220</v>
      </c>
      <c r="G175" s="1" t="s">
        <v>221</v>
      </c>
    </row>
    <row r="176" spans="1:7" ht="25" customHeight="1">
      <c r="A176" s="1"/>
      <c r="B176" s="1" t="s">
        <v>76</v>
      </c>
      <c r="C176" s="1" t="s">
        <v>77</v>
      </c>
      <c r="D176" s="1" t="s">
        <v>200</v>
      </c>
      <c r="E176" s="7">
        <v>3421.8</v>
      </c>
      <c r="F176" s="1" t="s">
        <v>220</v>
      </c>
      <c r="G176" s="1" t="s">
        <v>221</v>
      </c>
    </row>
    <row r="177" spans="1:7" ht="25" customHeight="1">
      <c r="A177" s="1"/>
      <c r="B177" s="1" t="s">
        <v>76</v>
      </c>
      <c r="C177" s="1" t="s">
        <v>77</v>
      </c>
      <c r="D177" s="1" t="s">
        <v>201</v>
      </c>
      <c r="E177" s="7">
        <v>3464.3</v>
      </c>
      <c r="F177" s="1" t="s">
        <v>220</v>
      </c>
      <c r="G177" s="1" t="s">
        <v>221</v>
      </c>
    </row>
    <row r="178" spans="1:7" ht="25" customHeight="1">
      <c r="A178" s="1"/>
      <c r="B178" s="1" t="s">
        <v>76</v>
      </c>
      <c r="C178" s="1" t="s">
        <v>77</v>
      </c>
      <c r="D178" s="1" t="s">
        <v>202</v>
      </c>
      <c r="E178" s="7">
        <v>3459.5</v>
      </c>
      <c r="F178" s="1" t="s">
        <v>220</v>
      </c>
      <c r="G178" s="1" t="s">
        <v>221</v>
      </c>
    </row>
    <row r="179" spans="1:7" ht="25" customHeight="1">
      <c r="A179" s="1"/>
      <c r="B179" s="1" t="s">
        <v>76</v>
      </c>
      <c r="C179" s="1" t="s">
        <v>77</v>
      </c>
      <c r="D179" s="1" t="s">
        <v>203</v>
      </c>
      <c r="E179" s="7">
        <v>3458.9</v>
      </c>
      <c r="F179" s="1" t="s">
        <v>220</v>
      </c>
      <c r="G179" s="1" t="s">
        <v>221</v>
      </c>
    </row>
    <row r="180" spans="1:7" ht="25" customHeight="1">
      <c r="A180" s="1"/>
      <c r="B180" s="1" t="s">
        <v>76</v>
      </c>
      <c r="C180" s="1" t="s">
        <v>77</v>
      </c>
      <c r="D180" s="1" t="s">
        <v>204</v>
      </c>
      <c r="E180" s="7">
        <v>3492.2</v>
      </c>
      <c r="F180" s="1" t="s">
        <v>220</v>
      </c>
      <c r="G180" s="1" t="s">
        <v>221</v>
      </c>
    </row>
    <row r="181" spans="1:7" ht="25" customHeight="1">
      <c r="A181" s="1"/>
      <c r="B181" s="1" t="s">
        <v>76</v>
      </c>
      <c r="C181" s="1" t="s">
        <v>77</v>
      </c>
      <c r="D181" s="1" t="s">
        <v>205</v>
      </c>
      <c r="E181" s="7">
        <v>3474.2</v>
      </c>
      <c r="F181" s="1" t="s">
        <v>220</v>
      </c>
      <c r="G181" s="1" t="s">
        <v>221</v>
      </c>
    </row>
    <row r="182" spans="1:7" ht="25" customHeight="1">
      <c r="A182" s="1"/>
      <c r="B182" s="1" t="s">
        <v>76</v>
      </c>
      <c r="C182" s="1" t="s">
        <v>77</v>
      </c>
      <c r="D182" s="1" t="s">
        <v>206</v>
      </c>
      <c r="E182" s="7">
        <v>3489.5</v>
      </c>
      <c r="F182" s="1" t="s">
        <v>220</v>
      </c>
      <c r="G182" s="1" t="s">
        <v>221</v>
      </c>
    </row>
    <row r="183" spans="1:7" ht="25" customHeight="1">
      <c r="A183" s="1"/>
      <c r="B183" s="1" t="s">
        <v>76</v>
      </c>
      <c r="C183" s="1" t="s">
        <v>77</v>
      </c>
      <c r="D183" s="1" t="s">
        <v>207</v>
      </c>
      <c r="E183" s="7">
        <v>3503</v>
      </c>
      <c r="F183" s="1" t="s">
        <v>220</v>
      </c>
      <c r="G183" s="1" t="s">
        <v>221</v>
      </c>
    </row>
    <row r="184" spans="1:7" ht="25" customHeight="1">
      <c r="A184" s="1"/>
      <c r="B184" s="1" t="s">
        <v>76</v>
      </c>
      <c r="C184" s="1" t="s">
        <v>77</v>
      </c>
      <c r="D184" s="1" t="s">
        <v>208</v>
      </c>
      <c r="E184" s="7">
        <v>3502.5</v>
      </c>
      <c r="F184" s="1" t="s">
        <v>220</v>
      </c>
      <c r="G184" s="1" t="s">
        <v>221</v>
      </c>
    </row>
    <row r="185" spans="1:7" ht="25" customHeight="1">
      <c r="A185" s="1"/>
      <c r="B185" s="1" t="s">
        <v>76</v>
      </c>
      <c r="C185" s="1" t="s">
        <v>77</v>
      </c>
      <c r="D185" s="1" t="s">
        <v>209</v>
      </c>
      <c r="E185" s="7">
        <v>3498.3</v>
      </c>
      <c r="F185" s="1" t="s">
        <v>220</v>
      </c>
      <c r="G185" s="1" t="s">
        <v>221</v>
      </c>
    </row>
    <row r="186" spans="1:7" ht="25" customHeight="1">
      <c r="A186" s="1"/>
      <c r="B186" s="1" t="s">
        <v>76</v>
      </c>
      <c r="C186" s="1" t="s">
        <v>77</v>
      </c>
      <c r="D186" s="1" t="s">
        <v>210</v>
      </c>
      <c r="E186" s="7">
        <v>3522.8</v>
      </c>
      <c r="F186" s="1" t="s">
        <v>220</v>
      </c>
      <c r="G186" s="1" t="s">
        <v>221</v>
      </c>
    </row>
    <row r="187" spans="1:7" ht="25" customHeight="1">
      <c r="A187" s="1"/>
      <c r="B187" s="1" t="s">
        <v>76</v>
      </c>
      <c r="C187" s="1" t="s">
        <v>77</v>
      </c>
      <c r="D187" s="1" t="s">
        <v>211</v>
      </c>
      <c r="E187" s="7">
        <v>3533.2</v>
      </c>
      <c r="F187" s="1" t="s">
        <v>220</v>
      </c>
      <c r="G187" s="1" t="s">
        <v>221</v>
      </c>
    </row>
    <row r="188" spans="1:7" ht="25" customHeight="1">
      <c r="A188" s="1"/>
      <c r="B188" s="1" t="s">
        <v>76</v>
      </c>
      <c r="C188" s="1" t="s">
        <v>77</v>
      </c>
      <c r="D188" s="1" t="s">
        <v>212</v>
      </c>
      <c r="E188" s="7">
        <v>3551.6</v>
      </c>
      <c r="F188" s="1" t="s">
        <v>220</v>
      </c>
      <c r="G188" s="1" t="s">
        <v>221</v>
      </c>
    </row>
    <row r="189" spans="1:7" ht="25" customHeight="1">
      <c r="A189" s="1"/>
      <c r="B189" s="1" t="s">
        <v>76</v>
      </c>
      <c r="C189" s="1" t="s">
        <v>77</v>
      </c>
      <c r="D189" s="1" t="s">
        <v>213</v>
      </c>
      <c r="E189" s="7">
        <v>3538.9</v>
      </c>
      <c r="F189" s="1" t="s">
        <v>220</v>
      </c>
      <c r="G189" s="1" t="s">
        <v>221</v>
      </c>
    </row>
    <row r="190" spans="1:7" ht="25" customHeight="1">
      <c r="A190" s="1"/>
      <c r="B190" s="1" t="s">
        <v>76</v>
      </c>
      <c r="C190" s="1" t="s">
        <v>77</v>
      </c>
      <c r="D190" s="1" t="s">
        <v>214</v>
      </c>
      <c r="E190" s="7">
        <v>3544.2</v>
      </c>
      <c r="F190" s="1" t="s">
        <v>220</v>
      </c>
      <c r="G190" s="1" t="s">
        <v>221</v>
      </c>
    </row>
    <row r="191" spans="1:7" ht="25" customHeight="1">
      <c r="A191" s="1"/>
      <c r="B191" s="1" t="s">
        <v>76</v>
      </c>
      <c r="C191" s="1" t="s">
        <v>77</v>
      </c>
      <c r="D191" s="1" t="s">
        <v>215</v>
      </c>
      <c r="E191" s="7">
        <v>3548.9</v>
      </c>
      <c r="F191" s="1" t="s">
        <v>220</v>
      </c>
      <c r="G191" s="1" t="s">
        <v>221</v>
      </c>
    </row>
    <row r="192" spans="1:7" ht="25" customHeight="1">
      <c r="A192" s="1"/>
      <c r="B192" s="1" t="s">
        <v>76</v>
      </c>
      <c r="C192" s="1" t="s">
        <v>77</v>
      </c>
      <c r="D192" s="1" t="s">
        <v>216</v>
      </c>
      <c r="E192" s="7">
        <v>3541.1</v>
      </c>
      <c r="F192" s="1" t="s">
        <v>220</v>
      </c>
      <c r="G192" s="1" t="s">
        <v>221</v>
      </c>
    </row>
    <row r="193" spans="1:7" ht="25" customHeight="1">
      <c r="A193" s="1"/>
      <c r="B193" s="1" t="s">
        <v>76</v>
      </c>
      <c r="C193" s="1" t="s">
        <v>77</v>
      </c>
      <c r="D193" s="1" t="s">
        <v>217</v>
      </c>
      <c r="E193" s="7">
        <v>3529.7</v>
      </c>
      <c r="F193" s="1" t="s">
        <v>220</v>
      </c>
      <c r="G193" s="1" t="s">
        <v>221</v>
      </c>
    </row>
    <row r="194" spans="1:7" ht="25" customHeight="1">
      <c r="A194" s="1"/>
      <c r="B194" s="1" t="s">
        <v>76</v>
      </c>
      <c r="C194" s="1" t="s">
        <v>77</v>
      </c>
      <c r="D194" s="1" t="s">
        <v>218</v>
      </c>
      <c r="E194" s="7">
        <v>3521.4</v>
      </c>
      <c r="F194" s="1" t="s">
        <v>220</v>
      </c>
      <c r="G194" s="1" t="s">
        <v>221</v>
      </c>
    </row>
    <row r="195" spans="1:7" ht="25" customHeight="1">
      <c r="A195" s="1"/>
      <c r="B195" s="1" t="s">
        <v>76</v>
      </c>
      <c r="C195" s="1" t="s">
        <v>83</v>
      </c>
      <c r="D195" s="1" t="s">
        <v>155</v>
      </c>
      <c r="E195" s="7">
        <v>3196.8</v>
      </c>
      <c r="F195" s="1" t="s">
        <v>220</v>
      </c>
      <c r="G195" s="1" t="s">
        <v>222</v>
      </c>
    </row>
    <row r="196" spans="1:7" ht="25" customHeight="1">
      <c r="A196" s="1"/>
      <c r="B196" s="1" t="s">
        <v>76</v>
      </c>
      <c r="C196" s="1" t="s">
        <v>83</v>
      </c>
      <c r="D196" s="1" t="s">
        <v>158</v>
      </c>
      <c r="E196" s="7">
        <v>3136.7</v>
      </c>
      <c r="F196" s="1" t="s">
        <v>220</v>
      </c>
      <c r="G196" s="1" t="s">
        <v>222</v>
      </c>
    </row>
    <row r="197" spans="1:7" ht="25" customHeight="1">
      <c r="A197" s="1"/>
      <c r="B197" s="1" t="s">
        <v>76</v>
      </c>
      <c r="C197" s="1" t="s">
        <v>83</v>
      </c>
      <c r="D197" s="1" t="s">
        <v>159</v>
      </c>
      <c r="E197" s="7">
        <v>3322.2</v>
      </c>
      <c r="F197" s="1" t="s">
        <v>220</v>
      </c>
      <c r="G197" s="1" t="s">
        <v>222</v>
      </c>
    </row>
    <row r="198" spans="1:7" ht="25" customHeight="1">
      <c r="A198" s="1"/>
      <c r="B198" s="1" t="s">
        <v>76</v>
      </c>
      <c r="C198" s="1" t="s">
        <v>83</v>
      </c>
      <c r="D198" s="1" t="s">
        <v>160</v>
      </c>
      <c r="E198" s="7">
        <v>3323.4</v>
      </c>
      <c r="F198" s="1" t="s">
        <v>220</v>
      </c>
      <c r="G198" s="1" t="s">
        <v>222</v>
      </c>
    </row>
    <row r="199" spans="1:7" ht="25" customHeight="1">
      <c r="A199" s="1"/>
      <c r="B199" s="1" t="s">
        <v>76</v>
      </c>
      <c r="C199" s="1" t="s">
        <v>83</v>
      </c>
      <c r="D199" s="1" t="s">
        <v>161</v>
      </c>
      <c r="E199" s="7">
        <v>3315</v>
      </c>
      <c r="F199" s="1" t="s">
        <v>220</v>
      </c>
      <c r="G199" s="1" t="s">
        <v>222</v>
      </c>
    </row>
    <row r="200" spans="1:7" ht="25" customHeight="1">
      <c r="A200" s="1"/>
      <c r="B200" s="1" t="s">
        <v>76</v>
      </c>
      <c r="C200" s="1" t="s">
        <v>83</v>
      </c>
      <c r="D200" s="1" t="s">
        <v>162</v>
      </c>
      <c r="E200" s="7">
        <v>3370.5</v>
      </c>
      <c r="F200" s="1" t="s">
        <v>220</v>
      </c>
      <c r="G200" s="1" t="s">
        <v>222</v>
      </c>
    </row>
    <row r="201" spans="1:7" ht="25" customHeight="1">
      <c r="A201" s="1"/>
      <c r="B201" s="1" t="s">
        <v>76</v>
      </c>
      <c r="C201" s="1" t="s">
        <v>83</v>
      </c>
      <c r="D201" s="1" t="s">
        <v>163</v>
      </c>
      <c r="E201" s="7">
        <v>3316</v>
      </c>
      <c r="F201" s="1" t="s">
        <v>220</v>
      </c>
      <c r="G201" s="1" t="s">
        <v>222</v>
      </c>
    </row>
    <row r="202" spans="1:7" ht="25" customHeight="1">
      <c r="A202" s="1"/>
      <c r="B202" s="1" t="s">
        <v>76</v>
      </c>
      <c r="C202" s="1" t="s">
        <v>83</v>
      </c>
      <c r="D202" s="1" t="s">
        <v>164</v>
      </c>
      <c r="E202" s="7">
        <v>3358.1</v>
      </c>
      <c r="F202" s="1" t="s">
        <v>220</v>
      </c>
      <c r="G202" s="1" t="s">
        <v>222</v>
      </c>
    </row>
    <row r="203" spans="1:7" ht="25" customHeight="1">
      <c r="A203" s="1"/>
      <c r="B203" s="1" t="s">
        <v>76</v>
      </c>
      <c r="C203" s="1" t="s">
        <v>83</v>
      </c>
      <c r="D203" s="1" t="s">
        <v>165</v>
      </c>
      <c r="E203" s="7">
        <v>3353.8</v>
      </c>
      <c r="F203" s="1" t="s">
        <v>220</v>
      </c>
      <c r="G203" s="1" t="s">
        <v>222</v>
      </c>
    </row>
    <row r="204" spans="1:7" ht="25" customHeight="1">
      <c r="A204" s="1"/>
      <c r="B204" s="1" t="s">
        <v>76</v>
      </c>
      <c r="C204" s="1" t="s">
        <v>83</v>
      </c>
      <c r="D204" s="1" t="s">
        <v>166</v>
      </c>
      <c r="E204" s="7">
        <v>3364.3</v>
      </c>
      <c r="F204" s="1" t="s">
        <v>220</v>
      </c>
      <c r="G204" s="1" t="s">
        <v>222</v>
      </c>
    </row>
    <row r="205" spans="1:7" ht="25" customHeight="1">
      <c r="A205" s="1"/>
      <c r="B205" s="1" t="s">
        <v>76</v>
      </c>
      <c r="C205" s="1" t="s">
        <v>83</v>
      </c>
      <c r="D205" s="1" t="s">
        <v>167</v>
      </c>
      <c r="E205" s="7">
        <v>3370.8</v>
      </c>
      <c r="F205" s="1" t="s">
        <v>220</v>
      </c>
      <c r="G205" s="1" t="s">
        <v>222</v>
      </c>
    </row>
    <row r="206" spans="1:7" ht="25" customHeight="1">
      <c r="A206" s="1"/>
      <c r="B206" s="1" t="s">
        <v>76</v>
      </c>
      <c r="C206" s="1" t="s">
        <v>83</v>
      </c>
      <c r="D206" s="1" t="s">
        <v>168</v>
      </c>
      <c r="E206" s="7">
        <v>3344.9</v>
      </c>
      <c r="F206" s="1" t="s">
        <v>220</v>
      </c>
      <c r="G206" s="1" t="s">
        <v>222</v>
      </c>
    </row>
    <row r="207" spans="1:7" ht="25" customHeight="1">
      <c r="A207" s="1"/>
      <c r="B207" s="1" t="s">
        <v>76</v>
      </c>
      <c r="C207" s="1" t="s">
        <v>83</v>
      </c>
      <c r="D207" s="1" t="s">
        <v>169</v>
      </c>
      <c r="E207" s="7">
        <v>3340.6</v>
      </c>
      <c r="F207" s="1" t="s">
        <v>220</v>
      </c>
      <c r="G207" s="1" t="s">
        <v>222</v>
      </c>
    </row>
    <row r="208" spans="1:7" ht="25" customHeight="1">
      <c r="A208" s="1"/>
      <c r="B208" s="1" t="s">
        <v>76</v>
      </c>
      <c r="C208" s="1" t="s">
        <v>83</v>
      </c>
      <c r="D208" s="1" t="s">
        <v>170</v>
      </c>
      <c r="E208" s="7">
        <v>3328.9</v>
      </c>
      <c r="F208" s="1" t="s">
        <v>220</v>
      </c>
      <c r="G208" s="1" t="s">
        <v>222</v>
      </c>
    </row>
    <row r="209" spans="1:7" ht="25" customHeight="1">
      <c r="A209" s="1"/>
      <c r="B209" s="1" t="s">
        <v>76</v>
      </c>
      <c r="C209" s="1" t="s">
        <v>83</v>
      </c>
      <c r="D209" s="1" t="s">
        <v>171</v>
      </c>
      <c r="E209" s="7">
        <v>3333.7</v>
      </c>
      <c r="F209" s="1" t="s">
        <v>220</v>
      </c>
      <c r="G209" s="1" t="s">
        <v>222</v>
      </c>
    </row>
    <row r="210" spans="1:7" ht="25" customHeight="1">
      <c r="A210" s="1"/>
      <c r="B210" s="1" t="s">
        <v>76</v>
      </c>
      <c r="C210" s="1" t="s">
        <v>83</v>
      </c>
      <c r="D210" s="1" t="s">
        <v>172</v>
      </c>
      <c r="E210" s="7">
        <v>3334.7</v>
      </c>
      <c r="F210" s="1" t="s">
        <v>220</v>
      </c>
      <c r="G210" s="1" t="s">
        <v>222</v>
      </c>
    </row>
    <row r="211" spans="1:7" ht="25" customHeight="1">
      <c r="A211" s="1"/>
      <c r="B211" s="1" t="s">
        <v>76</v>
      </c>
      <c r="C211" s="1" t="s">
        <v>83</v>
      </c>
      <c r="D211" s="1" t="s">
        <v>173</v>
      </c>
      <c r="E211" s="7">
        <v>3339.6</v>
      </c>
      <c r="F211" s="1" t="s">
        <v>220</v>
      </c>
      <c r="G211" s="1" t="s">
        <v>222</v>
      </c>
    </row>
    <row r="212" spans="1:7" ht="25" customHeight="1">
      <c r="A212" s="1"/>
      <c r="B212" s="1" t="s">
        <v>76</v>
      </c>
      <c r="C212" s="1" t="s">
        <v>83</v>
      </c>
      <c r="D212" s="1" t="s">
        <v>174</v>
      </c>
      <c r="E212" s="7">
        <v>3330.8</v>
      </c>
      <c r="F212" s="1" t="s">
        <v>220</v>
      </c>
      <c r="G212" s="1" t="s">
        <v>222</v>
      </c>
    </row>
    <row r="213" spans="1:7" ht="25" customHeight="1">
      <c r="A213" s="1"/>
      <c r="B213" s="1" t="s">
        <v>76</v>
      </c>
      <c r="C213" s="1" t="s">
        <v>83</v>
      </c>
      <c r="D213" s="1" t="s">
        <v>175</v>
      </c>
      <c r="E213" s="7">
        <v>3293.4</v>
      </c>
      <c r="F213" s="1" t="s">
        <v>220</v>
      </c>
      <c r="G213" s="1" t="s">
        <v>222</v>
      </c>
    </row>
    <row r="214" spans="1:7" ht="25" customHeight="1">
      <c r="A214" s="1"/>
      <c r="B214" s="1" t="s">
        <v>76</v>
      </c>
      <c r="C214" s="1" t="s">
        <v>83</v>
      </c>
      <c r="D214" s="1" t="s">
        <v>176</v>
      </c>
      <c r="E214" s="7">
        <v>3313.4</v>
      </c>
      <c r="F214" s="1" t="s">
        <v>220</v>
      </c>
      <c r="G214" s="1" t="s">
        <v>222</v>
      </c>
    </row>
    <row r="215" spans="1:7" ht="25" customHeight="1">
      <c r="A215" s="1"/>
      <c r="B215" s="1" t="s">
        <v>76</v>
      </c>
      <c r="C215" s="1" t="s">
        <v>83</v>
      </c>
      <c r="D215" s="1" t="s">
        <v>177</v>
      </c>
      <c r="E215" s="7">
        <v>3323.4</v>
      </c>
      <c r="F215" s="1" t="s">
        <v>220</v>
      </c>
      <c r="G215" s="1" t="s">
        <v>222</v>
      </c>
    </row>
    <row r="216" spans="1:7" ht="25" customHeight="1">
      <c r="A216" s="1"/>
      <c r="B216" s="1" t="s">
        <v>76</v>
      </c>
      <c r="C216" s="1" t="s">
        <v>83</v>
      </c>
      <c r="D216" s="1" t="s">
        <v>178</v>
      </c>
      <c r="E216" s="7">
        <v>3319.6</v>
      </c>
      <c r="F216" s="1" t="s">
        <v>220</v>
      </c>
      <c r="G216" s="1" t="s">
        <v>222</v>
      </c>
    </row>
    <row r="217" spans="1:7" ht="25" customHeight="1">
      <c r="A217" s="1"/>
      <c r="B217" s="1" t="s">
        <v>76</v>
      </c>
      <c r="C217" s="1" t="s">
        <v>83</v>
      </c>
      <c r="D217" s="1" t="s">
        <v>179</v>
      </c>
      <c r="E217" s="7">
        <v>3300.9</v>
      </c>
      <c r="F217" s="1" t="s">
        <v>220</v>
      </c>
      <c r="G217" s="1" t="s">
        <v>222</v>
      </c>
    </row>
    <row r="218" spans="1:7" ht="25" customHeight="1">
      <c r="A218" s="1"/>
      <c r="B218" s="1" t="s">
        <v>76</v>
      </c>
      <c r="C218" s="1" t="s">
        <v>83</v>
      </c>
      <c r="D218" s="1" t="s">
        <v>180</v>
      </c>
      <c r="E218" s="7">
        <v>3287.3</v>
      </c>
      <c r="F218" s="1" t="s">
        <v>220</v>
      </c>
      <c r="G218" s="1" t="s">
        <v>222</v>
      </c>
    </row>
    <row r="219" spans="1:7" ht="25" customHeight="1">
      <c r="A219" s="1"/>
      <c r="B219" s="1" t="s">
        <v>76</v>
      </c>
      <c r="C219" s="1" t="s">
        <v>83</v>
      </c>
      <c r="D219" s="1" t="s">
        <v>181</v>
      </c>
      <c r="E219" s="7">
        <v>3320.4</v>
      </c>
      <c r="F219" s="1" t="s">
        <v>220</v>
      </c>
      <c r="G219" s="1" t="s">
        <v>222</v>
      </c>
    </row>
    <row r="220" spans="1:7" ht="25" customHeight="1">
      <c r="A220" s="1"/>
      <c r="B220" s="1" t="s">
        <v>76</v>
      </c>
      <c r="C220" s="1" t="s">
        <v>83</v>
      </c>
      <c r="D220" s="1" t="s">
        <v>182</v>
      </c>
      <c r="E220" s="7">
        <v>3332.3</v>
      </c>
      <c r="F220" s="1" t="s">
        <v>220</v>
      </c>
      <c r="G220" s="1" t="s">
        <v>222</v>
      </c>
    </row>
    <row r="221" spans="1:7" ht="25" customHeight="1">
      <c r="A221" s="1"/>
      <c r="B221" s="1" t="s">
        <v>76</v>
      </c>
      <c r="C221" s="1" t="s">
        <v>83</v>
      </c>
      <c r="D221" s="1" t="s">
        <v>183</v>
      </c>
      <c r="E221" s="7">
        <v>3299.1</v>
      </c>
      <c r="F221" s="1" t="s">
        <v>220</v>
      </c>
      <c r="G221" s="1" t="s">
        <v>222</v>
      </c>
    </row>
    <row r="222" spans="1:7" ht="25" customHeight="1">
      <c r="A222" s="1"/>
      <c r="B222" s="1" t="s">
        <v>76</v>
      </c>
      <c r="C222" s="1" t="s">
        <v>83</v>
      </c>
      <c r="D222" s="1" t="s">
        <v>184</v>
      </c>
      <c r="E222" s="7">
        <v>3323</v>
      </c>
      <c r="F222" s="1" t="s">
        <v>220</v>
      </c>
      <c r="G222" s="1" t="s">
        <v>222</v>
      </c>
    </row>
    <row r="223" spans="1:7" ht="25" customHeight="1">
      <c r="A223" s="1"/>
      <c r="B223" s="1" t="s">
        <v>76</v>
      </c>
      <c r="C223" s="1" t="s">
        <v>83</v>
      </c>
      <c r="D223" s="1" t="s">
        <v>185</v>
      </c>
      <c r="E223" s="7">
        <v>3314.1</v>
      </c>
      <c r="F223" s="1" t="s">
        <v>220</v>
      </c>
      <c r="G223" s="1" t="s">
        <v>222</v>
      </c>
    </row>
    <row r="224" spans="1:7" ht="25" customHeight="1">
      <c r="A224" s="1"/>
      <c r="B224" s="1" t="s">
        <v>76</v>
      </c>
      <c r="C224" s="1" t="s">
        <v>83</v>
      </c>
      <c r="D224" s="1" t="s">
        <v>186</v>
      </c>
      <c r="E224" s="7">
        <v>3329.6</v>
      </c>
      <c r="F224" s="1" t="s">
        <v>220</v>
      </c>
      <c r="G224" s="1" t="s">
        <v>222</v>
      </c>
    </row>
    <row r="225" spans="1:7" ht="25" customHeight="1">
      <c r="A225" s="1"/>
      <c r="B225" s="1" t="s">
        <v>76</v>
      </c>
      <c r="C225" s="1" t="s">
        <v>83</v>
      </c>
      <c r="D225" s="1" t="s">
        <v>187</v>
      </c>
      <c r="E225" s="7">
        <v>3342.7</v>
      </c>
      <c r="F225" s="1" t="s">
        <v>220</v>
      </c>
      <c r="G225" s="1" t="s">
        <v>222</v>
      </c>
    </row>
    <row r="226" spans="1:7" ht="25" customHeight="1">
      <c r="A226" s="1"/>
      <c r="B226" s="1" t="s">
        <v>76</v>
      </c>
      <c r="C226" s="1" t="s">
        <v>83</v>
      </c>
      <c r="D226" s="1" t="s">
        <v>188</v>
      </c>
      <c r="E226" s="7">
        <v>3349.1</v>
      </c>
      <c r="F226" s="1" t="s">
        <v>220</v>
      </c>
      <c r="G226" s="1" t="s">
        <v>222</v>
      </c>
    </row>
    <row r="227" spans="1:7" ht="25" customHeight="1">
      <c r="A227" s="1"/>
      <c r="B227" s="1" t="s">
        <v>76</v>
      </c>
      <c r="C227" s="1" t="s">
        <v>83</v>
      </c>
      <c r="D227" s="1" t="s">
        <v>189</v>
      </c>
      <c r="E227" s="7">
        <v>3356.5</v>
      </c>
      <c r="F227" s="1" t="s">
        <v>220</v>
      </c>
      <c r="G227" s="1" t="s">
        <v>222</v>
      </c>
    </row>
    <row r="228" spans="1:7" ht="25" customHeight="1">
      <c r="A228" s="1"/>
      <c r="B228" s="1" t="s">
        <v>76</v>
      </c>
      <c r="C228" s="1" t="s">
        <v>83</v>
      </c>
      <c r="D228" s="1" t="s">
        <v>190</v>
      </c>
      <c r="E228" s="7">
        <v>3366.7</v>
      </c>
      <c r="F228" s="1" t="s">
        <v>220</v>
      </c>
      <c r="G228" s="1" t="s">
        <v>222</v>
      </c>
    </row>
    <row r="229" spans="1:7" ht="25" customHeight="1">
      <c r="A229" s="1"/>
      <c r="B229" s="1" t="s">
        <v>76</v>
      </c>
      <c r="C229" s="1" t="s">
        <v>83</v>
      </c>
      <c r="D229" s="1" t="s">
        <v>191</v>
      </c>
      <c r="E229" s="7">
        <v>3375.4</v>
      </c>
      <c r="F229" s="1" t="s">
        <v>220</v>
      </c>
      <c r="G229" s="1" t="s">
        <v>222</v>
      </c>
    </row>
    <row r="230" spans="1:7" ht="25" customHeight="1">
      <c r="A230" s="1"/>
      <c r="B230" s="1" t="s">
        <v>76</v>
      </c>
      <c r="C230" s="1" t="s">
        <v>83</v>
      </c>
      <c r="D230" s="1" t="s">
        <v>192</v>
      </c>
      <c r="E230" s="7">
        <v>3386.2</v>
      </c>
      <c r="F230" s="1" t="s">
        <v>220</v>
      </c>
      <c r="G230" s="1" t="s">
        <v>222</v>
      </c>
    </row>
    <row r="231" spans="1:7" ht="25" customHeight="1">
      <c r="A231" s="1"/>
      <c r="B231" s="1" t="s">
        <v>76</v>
      </c>
      <c r="C231" s="1" t="s">
        <v>83</v>
      </c>
      <c r="D231" s="1" t="s">
        <v>193</v>
      </c>
      <c r="E231" s="7">
        <v>3356.8</v>
      </c>
      <c r="F231" s="1" t="s">
        <v>220</v>
      </c>
      <c r="G231" s="1" t="s">
        <v>222</v>
      </c>
    </row>
    <row r="232" spans="1:7" ht="25" customHeight="1">
      <c r="A232" s="1"/>
      <c r="B232" s="1" t="s">
        <v>76</v>
      </c>
      <c r="C232" s="1" t="s">
        <v>83</v>
      </c>
      <c r="D232" s="1" t="s">
        <v>194</v>
      </c>
      <c r="E232" s="7">
        <v>3348.5</v>
      </c>
      <c r="F232" s="1" t="s">
        <v>220</v>
      </c>
      <c r="G232" s="1" t="s">
        <v>222</v>
      </c>
    </row>
    <row r="233" spans="1:7" ht="25" customHeight="1">
      <c r="A233" s="1"/>
      <c r="B233" s="1" t="s">
        <v>76</v>
      </c>
      <c r="C233" s="1" t="s">
        <v>83</v>
      </c>
      <c r="D233" s="1" t="s">
        <v>195</v>
      </c>
      <c r="E233" s="7">
        <v>3383.1</v>
      </c>
      <c r="F233" s="1" t="s">
        <v>220</v>
      </c>
      <c r="G233" s="1" t="s">
        <v>222</v>
      </c>
    </row>
    <row r="234" spans="1:7" ht="25" customHeight="1">
      <c r="A234" s="1"/>
      <c r="B234" s="1" t="s">
        <v>76</v>
      </c>
      <c r="C234" s="1" t="s">
        <v>83</v>
      </c>
      <c r="D234" s="1" t="s">
        <v>196</v>
      </c>
      <c r="E234" s="7">
        <v>3384.9</v>
      </c>
      <c r="F234" s="1" t="s">
        <v>220</v>
      </c>
      <c r="G234" s="1" t="s">
        <v>222</v>
      </c>
    </row>
    <row r="235" spans="1:7" ht="25" customHeight="1">
      <c r="A235" s="1"/>
      <c r="B235" s="1" t="s">
        <v>76</v>
      </c>
      <c r="C235" s="1" t="s">
        <v>83</v>
      </c>
      <c r="D235" s="1" t="s">
        <v>197</v>
      </c>
      <c r="E235" s="7">
        <v>3399.9</v>
      </c>
      <c r="F235" s="1" t="s">
        <v>220</v>
      </c>
      <c r="G235" s="1" t="s">
        <v>222</v>
      </c>
    </row>
    <row r="236" spans="1:7" ht="25" customHeight="1">
      <c r="A236" s="1"/>
      <c r="B236" s="1" t="s">
        <v>76</v>
      </c>
      <c r="C236" s="1" t="s">
        <v>83</v>
      </c>
      <c r="D236" s="1" t="s">
        <v>198</v>
      </c>
      <c r="E236" s="7">
        <v>3409.2</v>
      </c>
      <c r="F236" s="1" t="s">
        <v>220</v>
      </c>
      <c r="G236" s="1" t="s">
        <v>222</v>
      </c>
    </row>
    <row r="237" spans="1:7" ht="25" customHeight="1">
      <c r="A237" s="1"/>
      <c r="B237" s="1" t="s">
        <v>76</v>
      </c>
      <c r="C237" s="1" t="s">
        <v>83</v>
      </c>
      <c r="D237" s="1" t="s">
        <v>199</v>
      </c>
      <c r="E237" s="7">
        <v>3428.5</v>
      </c>
      <c r="F237" s="1" t="s">
        <v>220</v>
      </c>
      <c r="G237" s="1" t="s">
        <v>222</v>
      </c>
    </row>
    <row r="238" spans="1:7" ht="25" customHeight="1">
      <c r="A238" s="1"/>
      <c r="B238" s="1" t="s">
        <v>76</v>
      </c>
      <c r="C238" s="1" t="s">
        <v>83</v>
      </c>
      <c r="D238" s="1" t="s">
        <v>200</v>
      </c>
      <c r="E238" s="7">
        <v>3421.8</v>
      </c>
      <c r="F238" s="1" t="s">
        <v>220</v>
      </c>
      <c r="G238" s="1" t="s">
        <v>222</v>
      </c>
    </row>
    <row r="239" spans="1:7" ht="25" customHeight="1">
      <c r="A239" s="1"/>
      <c r="B239" s="1" t="s">
        <v>76</v>
      </c>
      <c r="C239" s="1" t="s">
        <v>83</v>
      </c>
      <c r="D239" s="1" t="s">
        <v>201</v>
      </c>
      <c r="E239" s="7">
        <v>3464.3</v>
      </c>
      <c r="F239" s="1" t="s">
        <v>220</v>
      </c>
      <c r="G239" s="1" t="s">
        <v>222</v>
      </c>
    </row>
    <row r="240" spans="1:7" ht="25" customHeight="1">
      <c r="A240" s="1"/>
      <c r="B240" s="1" t="s">
        <v>76</v>
      </c>
      <c r="C240" s="1" t="s">
        <v>83</v>
      </c>
      <c r="D240" s="1" t="s">
        <v>202</v>
      </c>
      <c r="E240" s="7">
        <v>3459.5</v>
      </c>
      <c r="F240" s="1" t="s">
        <v>220</v>
      </c>
      <c r="G240" s="1" t="s">
        <v>222</v>
      </c>
    </row>
    <row r="241" spans="1:7" ht="25" customHeight="1">
      <c r="A241" s="1"/>
      <c r="B241" s="1" t="s">
        <v>76</v>
      </c>
      <c r="C241" s="1" t="s">
        <v>83</v>
      </c>
      <c r="D241" s="1" t="s">
        <v>203</v>
      </c>
      <c r="E241" s="7">
        <v>3458.9</v>
      </c>
      <c r="F241" s="1" t="s">
        <v>220</v>
      </c>
      <c r="G241" s="1" t="s">
        <v>222</v>
      </c>
    </row>
    <row r="242" spans="1:7" ht="25" customHeight="1">
      <c r="A242" s="1"/>
      <c r="B242" s="1" t="s">
        <v>76</v>
      </c>
      <c r="C242" s="1" t="s">
        <v>83</v>
      </c>
      <c r="D242" s="1" t="s">
        <v>204</v>
      </c>
      <c r="E242" s="7">
        <v>3492.2</v>
      </c>
      <c r="F242" s="1" t="s">
        <v>220</v>
      </c>
      <c r="G242" s="1" t="s">
        <v>222</v>
      </c>
    </row>
    <row r="243" spans="1:7" ht="25" customHeight="1">
      <c r="A243" s="1"/>
      <c r="B243" s="1" t="s">
        <v>76</v>
      </c>
      <c r="C243" s="1" t="s">
        <v>83</v>
      </c>
      <c r="D243" s="1" t="s">
        <v>205</v>
      </c>
      <c r="E243" s="7">
        <v>3474.2</v>
      </c>
      <c r="F243" s="1" t="s">
        <v>220</v>
      </c>
      <c r="G243" s="1" t="s">
        <v>222</v>
      </c>
    </row>
    <row r="244" spans="1:7" ht="25" customHeight="1">
      <c r="A244" s="1"/>
      <c r="B244" s="1" t="s">
        <v>76</v>
      </c>
      <c r="C244" s="1" t="s">
        <v>83</v>
      </c>
      <c r="D244" s="1" t="s">
        <v>206</v>
      </c>
      <c r="E244" s="7">
        <v>3489.5</v>
      </c>
      <c r="F244" s="1" t="s">
        <v>220</v>
      </c>
      <c r="G244" s="1" t="s">
        <v>222</v>
      </c>
    </row>
    <row r="245" spans="1:7" ht="25" customHeight="1">
      <c r="A245" s="1"/>
      <c r="B245" s="1" t="s">
        <v>76</v>
      </c>
      <c r="C245" s="1" t="s">
        <v>83</v>
      </c>
      <c r="D245" s="1" t="s">
        <v>207</v>
      </c>
      <c r="E245" s="7">
        <v>3503</v>
      </c>
      <c r="F245" s="1" t="s">
        <v>220</v>
      </c>
      <c r="G245" s="1" t="s">
        <v>222</v>
      </c>
    </row>
    <row r="246" spans="1:7" ht="25" customHeight="1">
      <c r="A246" s="1"/>
      <c r="B246" s="1" t="s">
        <v>76</v>
      </c>
      <c r="C246" s="1" t="s">
        <v>83</v>
      </c>
      <c r="D246" s="1" t="s">
        <v>208</v>
      </c>
      <c r="E246" s="7">
        <v>3502.5</v>
      </c>
      <c r="F246" s="1" t="s">
        <v>220</v>
      </c>
      <c r="G246" s="1" t="s">
        <v>222</v>
      </c>
    </row>
    <row r="247" spans="1:7" ht="25" customHeight="1">
      <c r="A247" s="1"/>
      <c r="B247" s="1" t="s">
        <v>76</v>
      </c>
      <c r="C247" s="1" t="s">
        <v>83</v>
      </c>
      <c r="D247" s="1" t="s">
        <v>209</v>
      </c>
      <c r="E247" s="7">
        <v>3498.3</v>
      </c>
      <c r="F247" s="1" t="s">
        <v>220</v>
      </c>
      <c r="G247" s="1" t="s">
        <v>222</v>
      </c>
    </row>
    <row r="248" spans="1:7" ht="25" customHeight="1">
      <c r="A248" s="1"/>
      <c r="B248" s="1" t="s">
        <v>76</v>
      </c>
      <c r="C248" s="1" t="s">
        <v>83</v>
      </c>
      <c r="D248" s="1" t="s">
        <v>210</v>
      </c>
      <c r="E248" s="7">
        <v>3522.8</v>
      </c>
      <c r="F248" s="1" t="s">
        <v>220</v>
      </c>
      <c r="G248" s="1" t="s">
        <v>222</v>
      </c>
    </row>
    <row r="249" spans="1:7" ht="25" customHeight="1">
      <c r="A249" s="1"/>
      <c r="B249" s="1" t="s">
        <v>76</v>
      </c>
      <c r="C249" s="1" t="s">
        <v>83</v>
      </c>
      <c r="D249" s="1" t="s">
        <v>211</v>
      </c>
      <c r="E249" s="7">
        <v>3533.2</v>
      </c>
      <c r="F249" s="1" t="s">
        <v>220</v>
      </c>
      <c r="G249" s="1" t="s">
        <v>222</v>
      </c>
    </row>
    <row r="250" spans="1:7" ht="25" customHeight="1">
      <c r="A250" s="1"/>
      <c r="B250" s="1" t="s">
        <v>76</v>
      </c>
      <c r="C250" s="1" t="s">
        <v>83</v>
      </c>
      <c r="D250" s="1" t="s">
        <v>212</v>
      </c>
      <c r="E250" s="7">
        <v>3551.6</v>
      </c>
      <c r="F250" s="1" t="s">
        <v>220</v>
      </c>
      <c r="G250" s="1" t="s">
        <v>222</v>
      </c>
    </row>
    <row r="251" spans="1:7" ht="25" customHeight="1">
      <c r="A251" s="1"/>
      <c r="B251" s="1" t="s">
        <v>76</v>
      </c>
      <c r="C251" s="1" t="s">
        <v>83</v>
      </c>
      <c r="D251" s="1" t="s">
        <v>213</v>
      </c>
      <c r="E251" s="7">
        <v>3538.9</v>
      </c>
      <c r="F251" s="1" t="s">
        <v>220</v>
      </c>
      <c r="G251" s="1" t="s">
        <v>222</v>
      </c>
    </row>
    <row r="252" spans="1:7" ht="25" customHeight="1">
      <c r="A252" s="1"/>
      <c r="B252" s="1" t="s">
        <v>76</v>
      </c>
      <c r="C252" s="1" t="s">
        <v>83</v>
      </c>
      <c r="D252" s="1" t="s">
        <v>214</v>
      </c>
      <c r="E252" s="7">
        <v>3544.2</v>
      </c>
      <c r="F252" s="1" t="s">
        <v>220</v>
      </c>
      <c r="G252" s="1" t="s">
        <v>222</v>
      </c>
    </row>
    <row r="253" spans="1:7" ht="25" customHeight="1">
      <c r="A253" s="1"/>
      <c r="B253" s="1" t="s">
        <v>76</v>
      </c>
      <c r="C253" s="1" t="s">
        <v>83</v>
      </c>
      <c r="D253" s="1" t="s">
        <v>215</v>
      </c>
      <c r="E253" s="7">
        <v>3548.9</v>
      </c>
      <c r="F253" s="1" t="s">
        <v>220</v>
      </c>
      <c r="G253" s="1" t="s">
        <v>222</v>
      </c>
    </row>
    <row r="254" spans="1:7" ht="25" customHeight="1">
      <c r="A254" s="1"/>
      <c r="B254" s="1" t="s">
        <v>76</v>
      </c>
      <c r="C254" s="1" t="s">
        <v>83</v>
      </c>
      <c r="D254" s="1" t="s">
        <v>216</v>
      </c>
      <c r="E254" s="7">
        <v>3541.1</v>
      </c>
      <c r="F254" s="1" t="s">
        <v>220</v>
      </c>
      <c r="G254" s="1" t="s">
        <v>222</v>
      </c>
    </row>
    <row r="255" spans="1:7" ht="25" customHeight="1">
      <c r="A255" s="1"/>
      <c r="B255" s="1" t="s">
        <v>76</v>
      </c>
      <c r="C255" s="1" t="s">
        <v>83</v>
      </c>
      <c r="D255" s="1" t="s">
        <v>217</v>
      </c>
      <c r="E255" s="7">
        <v>3538.8</v>
      </c>
      <c r="F255" s="1" t="s">
        <v>220</v>
      </c>
      <c r="G255" s="1" t="s">
        <v>222</v>
      </c>
    </row>
    <row r="256" spans="1:7" ht="25" customHeight="1">
      <c r="A256" s="1"/>
      <c r="B256" s="1" t="s">
        <v>76</v>
      </c>
      <c r="C256" s="1" t="s">
        <v>83</v>
      </c>
      <c r="D256" s="1" t="s">
        <v>218</v>
      </c>
      <c r="E256" s="7">
        <v>3538.8</v>
      </c>
      <c r="F256" s="1" t="s">
        <v>220</v>
      </c>
      <c r="G256" s="1" t="s">
        <v>222</v>
      </c>
    </row>
    <row r="257" spans="1:7" ht="25" customHeight="1">
      <c r="A257" s="1"/>
      <c r="B257" s="1" t="s">
        <v>76</v>
      </c>
      <c r="C257" s="1" t="s">
        <v>83</v>
      </c>
      <c r="D257" s="1" t="s">
        <v>19</v>
      </c>
      <c r="E257" s="7">
        <v>3551.1</v>
      </c>
      <c r="F257" s="1" t="s">
        <v>220</v>
      </c>
      <c r="G257" s="1" t="s">
        <v>222</v>
      </c>
    </row>
    <row r="258" spans="1:7" ht="25" customHeight="1">
      <c r="A258" s="1"/>
      <c r="B258" s="1" t="s">
        <v>80</v>
      </c>
      <c r="C258" s="1" t="s">
        <v>77</v>
      </c>
      <c r="D258" s="1" t="s">
        <v>155</v>
      </c>
      <c r="E258" s="7">
        <v>159.785</v>
      </c>
      <c r="F258" s="1" t="s">
        <v>223</v>
      </c>
      <c r="G258" s="1" t="s">
        <v>224</v>
      </c>
    </row>
    <row r="259" spans="1:7" ht="25" customHeight="1">
      <c r="A259" s="1"/>
      <c r="B259" s="1" t="s">
        <v>80</v>
      </c>
      <c r="C259" s="1" t="s">
        <v>77</v>
      </c>
      <c r="D259" s="1" t="s">
        <v>158</v>
      </c>
      <c r="E259" s="7">
        <v>160.214</v>
      </c>
      <c r="F259" s="1" t="s">
        <v>223</v>
      </c>
      <c r="G259" s="1" t="s">
        <v>224</v>
      </c>
    </row>
    <row r="260" spans="1:7" ht="25" customHeight="1">
      <c r="A260" s="1"/>
      <c r="B260" s="1" t="s">
        <v>80</v>
      </c>
      <c r="C260" s="1" t="s">
        <v>77</v>
      </c>
      <c r="D260" s="1" t="s">
        <v>159</v>
      </c>
      <c r="E260" s="7">
        <v>159.96199999999999</v>
      </c>
      <c r="F260" s="1" t="s">
        <v>223</v>
      </c>
      <c r="G260" s="1" t="s">
        <v>224</v>
      </c>
    </row>
    <row r="261" spans="1:7" ht="25" customHeight="1">
      <c r="A261" s="1"/>
      <c r="B261" s="1" t="s">
        <v>80</v>
      </c>
      <c r="C261" s="1" t="s">
        <v>77</v>
      </c>
      <c r="D261" s="1" t="s">
        <v>160</v>
      </c>
      <c r="E261" s="7">
        <v>160.30799999999999</v>
      </c>
      <c r="F261" s="1" t="s">
        <v>223</v>
      </c>
      <c r="G261" s="1" t="s">
        <v>224</v>
      </c>
    </row>
    <row r="262" spans="1:7" ht="25" customHeight="1">
      <c r="A262" s="1"/>
      <c r="B262" s="1" t="s">
        <v>80</v>
      </c>
      <c r="C262" s="1" t="s">
        <v>77</v>
      </c>
      <c r="D262" s="1" t="s">
        <v>161</v>
      </c>
      <c r="E262" s="7">
        <v>159.678</v>
      </c>
      <c r="F262" s="1" t="s">
        <v>223</v>
      </c>
      <c r="G262" s="1" t="s">
        <v>224</v>
      </c>
    </row>
    <row r="263" spans="1:7" ht="25" customHeight="1">
      <c r="A263" s="1"/>
      <c r="B263" s="1" t="s">
        <v>80</v>
      </c>
      <c r="C263" s="1" t="s">
        <v>77</v>
      </c>
      <c r="D263" s="1" t="s">
        <v>162</v>
      </c>
      <c r="E263" s="7">
        <v>159.29599999999999</v>
      </c>
      <c r="F263" s="1" t="s">
        <v>223</v>
      </c>
      <c r="G263" s="1" t="s">
        <v>224</v>
      </c>
    </row>
    <row r="264" spans="1:7" ht="25" customHeight="1">
      <c r="A264" s="1"/>
      <c r="B264" s="1" t="s">
        <v>80</v>
      </c>
      <c r="C264" s="1" t="s">
        <v>77</v>
      </c>
      <c r="D264" s="1" t="s">
        <v>163</v>
      </c>
      <c r="E264" s="7">
        <v>159.11099999999999</v>
      </c>
      <c r="F264" s="1" t="s">
        <v>223</v>
      </c>
      <c r="G264" s="1" t="s">
        <v>224</v>
      </c>
    </row>
    <row r="265" spans="1:7" ht="25" customHeight="1">
      <c r="A265" s="1"/>
      <c r="B265" s="1" t="s">
        <v>80</v>
      </c>
      <c r="C265" s="1" t="s">
        <v>77</v>
      </c>
      <c r="D265" s="1" t="s">
        <v>164</v>
      </c>
      <c r="E265" s="7">
        <v>159.96600000000001</v>
      </c>
      <c r="F265" s="1" t="s">
        <v>223</v>
      </c>
      <c r="G265" s="1" t="s">
        <v>224</v>
      </c>
    </row>
    <row r="266" spans="1:7" ht="25" customHeight="1">
      <c r="A266" s="1"/>
      <c r="B266" s="1" t="s">
        <v>80</v>
      </c>
      <c r="C266" s="1" t="s">
        <v>77</v>
      </c>
      <c r="D266" s="1" t="s">
        <v>165</v>
      </c>
      <c r="E266" s="7">
        <v>159.755</v>
      </c>
      <c r="F266" s="1" t="s">
        <v>223</v>
      </c>
      <c r="G266" s="1" t="s">
        <v>224</v>
      </c>
    </row>
    <row r="267" spans="1:7" ht="25" customHeight="1">
      <c r="A267" s="1"/>
      <c r="B267" s="1" t="s">
        <v>80</v>
      </c>
      <c r="C267" s="1" t="s">
        <v>77</v>
      </c>
      <c r="D267" s="1" t="s">
        <v>166</v>
      </c>
      <c r="E267" s="7">
        <v>160.03800000000001</v>
      </c>
      <c r="F267" s="1" t="s">
        <v>223</v>
      </c>
      <c r="G267" s="1" t="s">
        <v>224</v>
      </c>
    </row>
    <row r="268" spans="1:7" ht="25" customHeight="1">
      <c r="A268" s="1"/>
      <c r="B268" s="1" t="s">
        <v>80</v>
      </c>
      <c r="C268" s="1" t="s">
        <v>77</v>
      </c>
      <c r="D268" s="1" t="s">
        <v>167</v>
      </c>
      <c r="E268" s="7">
        <v>159.35900000000001</v>
      </c>
      <c r="F268" s="1" t="s">
        <v>223</v>
      </c>
      <c r="G268" s="1" t="s">
        <v>224</v>
      </c>
    </row>
    <row r="269" spans="1:7" ht="25" customHeight="1">
      <c r="A269" s="1"/>
      <c r="B269" s="1" t="s">
        <v>80</v>
      </c>
      <c r="C269" s="1" t="s">
        <v>77</v>
      </c>
      <c r="D269" s="1" t="s">
        <v>168</v>
      </c>
      <c r="E269" s="7">
        <v>159.06</v>
      </c>
      <c r="F269" s="1" t="s">
        <v>223</v>
      </c>
      <c r="G269" s="1" t="s">
        <v>224</v>
      </c>
    </row>
    <row r="270" spans="1:7" ht="25" customHeight="1">
      <c r="A270" s="1"/>
      <c r="B270" s="1" t="s">
        <v>80</v>
      </c>
      <c r="C270" s="1" t="s">
        <v>77</v>
      </c>
      <c r="D270" s="1" t="s">
        <v>169</v>
      </c>
      <c r="E270" s="7">
        <v>160.22399999999999</v>
      </c>
      <c r="F270" s="1" t="s">
        <v>223</v>
      </c>
      <c r="G270" s="1" t="s">
        <v>224</v>
      </c>
    </row>
    <row r="271" spans="1:7" ht="25" customHeight="1">
      <c r="A271" s="1"/>
      <c r="B271" s="1" t="s">
        <v>80</v>
      </c>
      <c r="C271" s="1" t="s">
        <v>77</v>
      </c>
      <c r="D271" s="1" t="s">
        <v>170</v>
      </c>
      <c r="E271" s="7">
        <v>161.49600000000001</v>
      </c>
      <c r="F271" s="1" t="s">
        <v>223</v>
      </c>
      <c r="G271" s="1" t="s">
        <v>224</v>
      </c>
    </row>
    <row r="272" spans="1:7" ht="25" customHeight="1">
      <c r="A272" s="1"/>
      <c r="B272" s="1" t="s">
        <v>80</v>
      </c>
      <c r="C272" s="1" t="s">
        <v>77</v>
      </c>
      <c r="D272" s="1" t="s">
        <v>171</v>
      </c>
      <c r="E272" s="7">
        <v>163.17500000000001</v>
      </c>
      <c r="F272" s="1" t="s">
        <v>223</v>
      </c>
      <c r="G272" s="1" t="s">
        <v>224</v>
      </c>
    </row>
    <row r="273" spans="1:7" ht="25" customHeight="1">
      <c r="A273" s="1"/>
      <c r="B273" s="1" t="s">
        <v>80</v>
      </c>
      <c r="C273" s="1" t="s">
        <v>77</v>
      </c>
      <c r="D273" s="1" t="s">
        <v>172</v>
      </c>
      <c r="E273" s="7">
        <v>163.71299999999999</v>
      </c>
      <c r="F273" s="1" t="s">
        <v>223</v>
      </c>
      <c r="G273" s="1" t="s">
        <v>224</v>
      </c>
    </row>
    <row r="274" spans="1:7" ht="25" customHeight="1">
      <c r="A274" s="1"/>
      <c r="B274" s="1" t="s">
        <v>80</v>
      </c>
      <c r="C274" s="1" t="s">
        <v>77</v>
      </c>
      <c r="D274" s="1" t="s">
        <v>173</v>
      </c>
      <c r="E274" s="7">
        <v>164.17400000000001</v>
      </c>
      <c r="F274" s="1" t="s">
        <v>223</v>
      </c>
      <c r="G274" s="1" t="s">
        <v>224</v>
      </c>
    </row>
    <row r="275" spans="1:7" ht="25" customHeight="1">
      <c r="A275" s="1"/>
      <c r="B275" s="1" t="s">
        <v>80</v>
      </c>
      <c r="C275" s="1" t="s">
        <v>77</v>
      </c>
      <c r="D275" s="1" t="s">
        <v>174</v>
      </c>
      <c r="E275" s="7">
        <v>165.35300000000001</v>
      </c>
      <c r="F275" s="1" t="s">
        <v>223</v>
      </c>
      <c r="G275" s="1" t="s">
        <v>224</v>
      </c>
    </row>
    <row r="276" spans="1:7" ht="25" customHeight="1">
      <c r="A276" s="1"/>
      <c r="B276" s="1" t="s">
        <v>80</v>
      </c>
      <c r="C276" s="1" t="s">
        <v>77</v>
      </c>
      <c r="D276" s="1" t="s">
        <v>175</v>
      </c>
      <c r="E276" s="7">
        <v>167.05199999999999</v>
      </c>
      <c r="F276" s="1" t="s">
        <v>223</v>
      </c>
      <c r="G276" s="1" t="s">
        <v>224</v>
      </c>
    </row>
    <row r="277" spans="1:7" ht="25" customHeight="1">
      <c r="A277" s="1"/>
      <c r="B277" s="1" t="s">
        <v>80</v>
      </c>
      <c r="C277" s="1" t="s">
        <v>77</v>
      </c>
      <c r="D277" s="1" t="s">
        <v>176</v>
      </c>
      <c r="E277" s="7">
        <v>169.57599999999999</v>
      </c>
      <c r="F277" s="1" t="s">
        <v>223</v>
      </c>
      <c r="G277" s="1" t="s">
        <v>224</v>
      </c>
    </row>
    <row r="278" spans="1:7" ht="25" customHeight="1">
      <c r="A278" s="1"/>
      <c r="B278" s="1" t="s">
        <v>80</v>
      </c>
      <c r="C278" s="1" t="s">
        <v>77</v>
      </c>
      <c r="D278" s="1" t="s">
        <v>177</v>
      </c>
      <c r="E278" s="7">
        <v>170.21700000000001</v>
      </c>
      <c r="F278" s="1" t="s">
        <v>223</v>
      </c>
      <c r="G278" s="1" t="s">
        <v>224</v>
      </c>
    </row>
    <row r="279" spans="1:7" ht="25" customHeight="1">
      <c r="A279" s="1"/>
      <c r="B279" s="1" t="s">
        <v>80</v>
      </c>
      <c r="C279" s="1" t="s">
        <v>77</v>
      </c>
      <c r="D279" s="1" t="s">
        <v>178</v>
      </c>
      <c r="E279" s="7">
        <v>170.89</v>
      </c>
      <c r="F279" s="1" t="s">
        <v>223</v>
      </c>
      <c r="G279" s="1" t="s">
        <v>224</v>
      </c>
    </row>
    <row r="280" spans="1:7" ht="25" customHeight="1">
      <c r="A280" s="1"/>
      <c r="B280" s="1" t="s">
        <v>80</v>
      </c>
      <c r="C280" s="1" t="s">
        <v>77</v>
      </c>
      <c r="D280" s="1" t="s">
        <v>179</v>
      </c>
      <c r="E280" s="7">
        <v>171.226</v>
      </c>
      <c r="F280" s="1" t="s">
        <v>223</v>
      </c>
      <c r="G280" s="1" t="s">
        <v>224</v>
      </c>
    </row>
    <row r="281" spans="1:7" ht="25" customHeight="1">
      <c r="A281" s="1"/>
      <c r="B281" s="1" t="s">
        <v>80</v>
      </c>
      <c r="C281" s="1" t="s">
        <v>77</v>
      </c>
      <c r="D281" s="1" t="s">
        <v>180</v>
      </c>
      <c r="E281" s="7">
        <v>171.05799999999999</v>
      </c>
      <c r="F281" s="1" t="s">
        <v>223</v>
      </c>
      <c r="G281" s="1" t="s">
        <v>224</v>
      </c>
    </row>
    <row r="282" spans="1:7" ht="25" customHeight="1">
      <c r="A282" s="1"/>
      <c r="B282" s="1" t="s">
        <v>80</v>
      </c>
      <c r="C282" s="1" t="s">
        <v>77</v>
      </c>
      <c r="D282" s="1" t="s">
        <v>181</v>
      </c>
      <c r="E282" s="7">
        <v>171.53899999999999</v>
      </c>
      <c r="F282" s="1" t="s">
        <v>223</v>
      </c>
      <c r="G282" s="1" t="s">
        <v>224</v>
      </c>
    </row>
    <row r="283" spans="1:7" ht="25" customHeight="1">
      <c r="A283" s="1"/>
      <c r="B283" s="1" t="s">
        <v>80</v>
      </c>
      <c r="C283" s="1" t="s">
        <v>77</v>
      </c>
      <c r="D283" s="1" t="s">
        <v>182</v>
      </c>
      <c r="E283" s="7">
        <v>172.39400000000001</v>
      </c>
      <c r="F283" s="1" t="s">
        <v>223</v>
      </c>
      <c r="G283" s="1" t="s">
        <v>224</v>
      </c>
    </row>
    <row r="284" spans="1:7" ht="25" customHeight="1">
      <c r="A284" s="1"/>
      <c r="B284" s="1" t="s">
        <v>80</v>
      </c>
      <c r="C284" s="1" t="s">
        <v>77</v>
      </c>
      <c r="D284" s="1" t="s">
        <v>183</v>
      </c>
      <c r="E284" s="7">
        <v>173.80099999999999</v>
      </c>
      <c r="F284" s="1" t="s">
        <v>223</v>
      </c>
      <c r="G284" s="1" t="s">
        <v>224</v>
      </c>
    </row>
    <row r="285" spans="1:7" ht="25" customHeight="1">
      <c r="A285" s="1"/>
      <c r="B285" s="1" t="s">
        <v>80</v>
      </c>
      <c r="C285" s="1" t="s">
        <v>77</v>
      </c>
      <c r="D285" s="1" t="s">
        <v>184</v>
      </c>
      <c r="E285" s="7">
        <v>174.72399999999999</v>
      </c>
      <c r="F285" s="1" t="s">
        <v>223</v>
      </c>
      <c r="G285" s="1" t="s">
        <v>224</v>
      </c>
    </row>
    <row r="286" spans="1:7" ht="25" customHeight="1">
      <c r="A286" s="1"/>
      <c r="B286" s="1" t="s">
        <v>80</v>
      </c>
      <c r="C286" s="1" t="s">
        <v>77</v>
      </c>
      <c r="D286" s="1" t="s">
        <v>185</v>
      </c>
      <c r="E286" s="7">
        <v>176.48400000000001</v>
      </c>
      <c r="F286" s="1" t="s">
        <v>223</v>
      </c>
      <c r="G286" s="1" t="s">
        <v>224</v>
      </c>
    </row>
    <row r="287" spans="1:7" ht="25" customHeight="1">
      <c r="A287" s="1"/>
      <c r="B287" s="1" t="s">
        <v>80</v>
      </c>
      <c r="C287" s="1" t="s">
        <v>77</v>
      </c>
      <c r="D287" s="1" t="s">
        <v>186</v>
      </c>
      <c r="E287" s="7">
        <v>176.846</v>
      </c>
      <c r="F287" s="1" t="s">
        <v>223</v>
      </c>
      <c r="G287" s="1" t="s">
        <v>224</v>
      </c>
    </row>
    <row r="288" spans="1:7" ht="25" customHeight="1">
      <c r="A288" s="1"/>
      <c r="B288" s="1" t="s">
        <v>80</v>
      </c>
      <c r="C288" s="1" t="s">
        <v>77</v>
      </c>
      <c r="D288" s="1" t="s">
        <v>187</v>
      </c>
      <c r="E288" s="7">
        <v>177.65100000000001</v>
      </c>
      <c r="F288" s="1" t="s">
        <v>223</v>
      </c>
      <c r="G288" s="1" t="s">
        <v>224</v>
      </c>
    </row>
    <row r="289" spans="1:7" ht="25" customHeight="1">
      <c r="A289" s="1"/>
      <c r="B289" s="1" t="s">
        <v>80</v>
      </c>
      <c r="C289" s="1" t="s">
        <v>77</v>
      </c>
      <c r="D289" s="1" t="s">
        <v>188</v>
      </c>
      <c r="E289" s="7">
        <v>178.14</v>
      </c>
      <c r="F289" s="1" t="s">
        <v>223</v>
      </c>
      <c r="G289" s="1" t="s">
        <v>224</v>
      </c>
    </row>
    <row r="290" spans="1:7" ht="25" customHeight="1">
      <c r="A290" s="1"/>
      <c r="B290" s="1" t="s">
        <v>80</v>
      </c>
      <c r="C290" s="1" t="s">
        <v>77</v>
      </c>
      <c r="D290" s="1" t="s">
        <v>189</v>
      </c>
      <c r="E290" s="7">
        <v>178.898</v>
      </c>
      <c r="F290" s="1" t="s">
        <v>223</v>
      </c>
      <c r="G290" s="1" t="s">
        <v>224</v>
      </c>
    </row>
    <row r="291" spans="1:7" ht="25" customHeight="1">
      <c r="A291" s="1"/>
      <c r="B291" s="1" t="s">
        <v>80</v>
      </c>
      <c r="C291" s="1" t="s">
        <v>77</v>
      </c>
      <c r="D291" s="1" t="s">
        <v>190</v>
      </c>
      <c r="E291" s="7">
        <v>179.61699999999999</v>
      </c>
      <c r="F291" s="1" t="s">
        <v>223</v>
      </c>
      <c r="G291" s="1" t="s">
        <v>224</v>
      </c>
    </row>
    <row r="292" spans="1:7" ht="25" customHeight="1">
      <c r="A292" s="1"/>
      <c r="B292" s="1" t="s">
        <v>80</v>
      </c>
      <c r="C292" s="1" t="s">
        <v>77</v>
      </c>
      <c r="D292" s="1" t="s">
        <v>191</v>
      </c>
      <c r="E292" s="7">
        <v>178.553</v>
      </c>
      <c r="F292" s="1" t="s">
        <v>223</v>
      </c>
      <c r="G292" s="1" t="s">
        <v>224</v>
      </c>
    </row>
    <row r="293" spans="1:7" ht="25" customHeight="1">
      <c r="A293" s="1"/>
      <c r="B293" s="1" t="s">
        <v>80</v>
      </c>
      <c r="C293" s="1" t="s">
        <v>77</v>
      </c>
      <c r="D293" s="1" t="s">
        <v>192</v>
      </c>
      <c r="E293" s="7">
        <v>176.62</v>
      </c>
      <c r="F293" s="1" t="s">
        <v>223</v>
      </c>
      <c r="G293" s="1" t="s">
        <v>224</v>
      </c>
    </row>
    <row r="294" spans="1:7" ht="25" customHeight="1">
      <c r="A294" s="1"/>
      <c r="B294" s="1" t="s">
        <v>80</v>
      </c>
      <c r="C294" s="1" t="s">
        <v>77</v>
      </c>
      <c r="D294" s="1" t="s">
        <v>193</v>
      </c>
      <c r="E294" s="7">
        <v>177.54599999999999</v>
      </c>
      <c r="F294" s="1" t="s">
        <v>223</v>
      </c>
      <c r="G294" s="1" t="s">
        <v>224</v>
      </c>
    </row>
    <row r="295" spans="1:7" ht="25" customHeight="1">
      <c r="A295" s="1"/>
      <c r="B295" s="1" t="s">
        <v>80</v>
      </c>
      <c r="C295" s="1" t="s">
        <v>77</v>
      </c>
      <c r="D295" s="1" t="s">
        <v>194</v>
      </c>
      <c r="E295" s="7">
        <v>179.31100000000001</v>
      </c>
      <c r="F295" s="1" t="s">
        <v>223</v>
      </c>
      <c r="G295" s="1" t="s">
        <v>224</v>
      </c>
    </row>
    <row r="296" spans="1:7" ht="25" customHeight="1">
      <c r="A296" s="1"/>
      <c r="B296" s="1" t="s">
        <v>80</v>
      </c>
      <c r="C296" s="1" t="s">
        <v>77</v>
      </c>
      <c r="D296" s="1" t="s">
        <v>195</v>
      </c>
      <c r="E296" s="7">
        <v>179.70599999999999</v>
      </c>
      <c r="F296" s="1" t="s">
        <v>223</v>
      </c>
      <c r="G296" s="1" t="s">
        <v>224</v>
      </c>
    </row>
    <row r="297" spans="1:7" ht="25" customHeight="1">
      <c r="A297" s="1"/>
      <c r="B297" s="1" t="s">
        <v>80</v>
      </c>
      <c r="C297" s="1" t="s">
        <v>77</v>
      </c>
      <c r="D297" s="1" t="s">
        <v>196</v>
      </c>
      <c r="E297" s="7">
        <v>179.28</v>
      </c>
      <c r="F297" s="1" t="s">
        <v>223</v>
      </c>
      <c r="G297" s="1" t="s">
        <v>224</v>
      </c>
    </row>
    <row r="298" spans="1:7" ht="25" customHeight="1">
      <c r="A298" s="1"/>
      <c r="B298" s="1" t="s">
        <v>80</v>
      </c>
      <c r="C298" s="1" t="s">
        <v>77</v>
      </c>
      <c r="D298" s="1" t="s">
        <v>197</v>
      </c>
      <c r="E298" s="7">
        <v>178.83</v>
      </c>
      <c r="F298" s="1" t="s">
        <v>223</v>
      </c>
      <c r="G298" s="1" t="s">
        <v>224</v>
      </c>
    </row>
    <row r="299" spans="1:7" ht="25" customHeight="1">
      <c r="A299" s="1"/>
      <c r="B299" s="1" t="s">
        <v>80</v>
      </c>
      <c r="C299" s="1" t="s">
        <v>77</v>
      </c>
      <c r="D299" s="1" t="s">
        <v>198</v>
      </c>
      <c r="E299" s="7">
        <v>178.68199999999999</v>
      </c>
      <c r="F299" s="1" t="s">
        <v>223</v>
      </c>
      <c r="G299" s="1" t="s">
        <v>224</v>
      </c>
    </row>
    <row r="300" spans="1:7" ht="25" customHeight="1">
      <c r="A300" s="1"/>
      <c r="B300" s="1" t="s">
        <v>80</v>
      </c>
      <c r="C300" s="1" t="s">
        <v>77</v>
      </c>
      <c r="D300" s="1" t="s">
        <v>199</v>
      </c>
      <c r="E300" s="7">
        <v>179.07900000000001</v>
      </c>
      <c r="F300" s="1" t="s">
        <v>223</v>
      </c>
      <c r="G300" s="1" t="s">
        <v>224</v>
      </c>
    </row>
    <row r="301" spans="1:7" ht="25" customHeight="1">
      <c r="A301" s="1"/>
      <c r="B301" s="1" t="s">
        <v>80</v>
      </c>
      <c r="C301" s="1" t="s">
        <v>77</v>
      </c>
      <c r="D301" s="1" t="s">
        <v>200</v>
      </c>
      <c r="E301" s="7">
        <v>178.452</v>
      </c>
      <c r="F301" s="1" t="s">
        <v>223</v>
      </c>
      <c r="G301" s="1" t="s">
        <v>224</v>
      </c>
    </row>
    <row r="302" spans="1:7" ht="25" customHeight="1">
      <c r="A302" s="1"/>
      <c r="B302" s="1" t="s">
        <v>80</v>
      </c>
      <c r="C302" s="1" t="s">
        <v>77</v>
      </c>
      <c r="D302" s="1" t="s">
        <v>201</v>
      </c>
      <c r="E302" s="7">
        <v>179.154</v>
      </c>
      <c r="F302" s="1" t="s">
        <v>223</v>
      </c>
      <c r="G302" s="1" t="s">
        <v>224</v>
      </c>
    </row>
    <row r="303" spans="1:7" ht="25" customHeight="1">
      <c r="A303" s="1"/>
      <c r="B303" s="1" t="s">
        <v>80</v>
      </c>
      <c r="C303" s="1" t="s">
        <v>77</v>
      </c>
      <c r="D303" s="1" t="s">
        <v>202</v>
      </c>
      <c r="E303" s="7">
        <v>179.63399999999999</v>
      </c>
      <c r="F303" s="1" t="s">
        <v>223</v>
      </c>
      <c r="G303" s="1" t="s">
        <v>224</v>
      </c>
    </row>
    <row r="304" spans="1:7" ht="25" customHeight="1">
      <c r="A304" s="1"/>
      <c r="B304" s="1" t="s">
        <v>80</v>
      </c>
      <c r="C304" s="1" t="s">
        <v>77</v>
      </c>
      <c r="D304" s="1" t="s">
        <v>203</v>
      </c>
      <c r="E304" s="7">
        <v>179.44399999999999</v>
      </c>
      <c r="F304" s="1" t="s">
        <v>223</v>
      </c>
      <c r="G304" s="1" t="s">
        <v>224</v>
      </c>
    </row>
    <row r="305" spans="1:7" ht="25" customHeight="1">
      <c r="A305" s="1"/>
      <c r="B305" s="1" t="s">
        <v>80</v>
      </c>
      <c r="C305" s="1" t="s">
        <v>77</v>
      </c>
      <c r="D305" s="1" t="s">
        <v>204</v>
      </c>
      <c r="E305" s="7">
        <v>177.536</v>
      </c>
      <c r="F305" s="1" t="s">
        <v>223</v>
      </c>
      <c r="G305" s="1" t="s">
        <v>224</v>
      </c>
    </row>
    <row r="306" spans="1:7" ht="25" customHeight="1">
      <c r="A306" s="1"/>
      <c r="B306" s="1" t="s">
        <v>80</v>
      </c>
      <c r="C306" s="1" t="s">
        <v>77</v>
      </c>
      <c r="D306" s="1" t="s">
        <v>205</v>
      </c>
      <c r="E306" s="7">
        <v>178.25899999999999</v>
      </c>
      <c r="F306" s="1" t="s">
        <v>223</v>
      </c>
      <c r="G306" s="1" t="s">
        <v>224</v>
      </c>
    </row>
    <row r="307" spans="1:7" ht="25" customHeight="1">
      <c r="A307" s="1"/>
      <c r="B307" s="1" t="s">
        <v>80</v>
      </c>
      <c r="C307" s="1" t="s">
        <v>77</v>
      </c>
      <c r="D307" s="1" t="s">
        <v>206</v>
      </c>
      <c r="E307" s="7">
        <v>179.82400000000001</v>
      </c>
      <c r="F307" s="1" t="s">
        <v>223</v>
      </c>
      <c r="G307" s="1" t="s">
        <v>224</v>
      </c>
    </row>
    <row r="308" spans="1:7" ht="25" customHeight="1">
      <c r="A308" s="1"/>
      <c r="B308" s="1" t="s">
        <v>80</v>
      </c>
      <c r="C308" s="1" t="s">
        <v>77</v>
      </c>
      <c r="D308" s="1" t="s">
        <v>207</v>
      </c>
      <c r="E308" s="7">
        <v>179.74600000000001</v>
      </c>
      <c r="F308" s="1" t="s">
        <v>223</v>
      </c>
      <c r="G308" s="1" t="s">
        <v>224</v>
      </c>
    </row>
    <row r="309" spans="1:7" ht="25" customHeight="1">
      <c r="A309" s="1"/>
      <c r="B309" s="1" t="s">
        <v>80</v>
      </c>
      <c r="C309" s="1" t="s">
        <v>77</v>
      </c>
      <c r="D309" s="1" t="s">
        <v>208</v>
      </c>
      <c r="E309" s="7">
        <v>180.00399999999999</v>
      </c>
      <c r="F309" s="1" t="s">
        <v>223</v>
      </c>
      <c r="G309" s="1" t="s">
        <v>224</v>
      </c>
    </row>
    <row r="310" spans="1:7" ht="25" customHeight="1">
      <c r="A310" s="1"/>
      <c r="B310" s="1" t="s">
        <v>80</v>
      </c>
      <c r="C310" s="1" t="s">
        <v>77</v>
      </c>
      <c r="D310" s="1" t="s">
        <v>209</v>
      </c>
      <c r="E310" s="7">
        <v>179.673</v>
      </c>
      <c r="F310" s="1" t="s">
        <v>223</v>
      </c>
      <c r="G310" s="1" t="s">
        <v>224</v>
      </c>
    </row>
    <row r="311" spans="1:7" ht="25" customHeight="1">
      <c r="A311" s="1"/>
      <c r="B311" s="1" t="s">
        <v>80</v>
      </c>
      <c r="C311" s="1" t="s">
        <v>77</v>
      </c>
      <c r="D311" s="1" t="s">
        <v>210</v>
      </c>
      <c r="E311" s="7">
        <v>179.83</v>
      </c>
      <c r="F311" s="1" t="s">
        <v>223</v>
      </c>
      <c r="G311" s="1" t="s">
        <v>224</v>
      </c>
    </row>
    <row r="312" spans="1:7" ht="25" customHeight="1">
      <c r="A312" s="1"/>
      <c r="B312" s="1" t="s">
        <v>80</v>
      </c>
      <c r="C312" s="1" t="s">
        <v>77</v>
      </c>
      <c r="D312" s="1" t="s">
        <v>211</v>
      </c>
      <c r="E312" s="7">
        <v>179.77699999999999</v>
      </c>
      <c r="F312" s="1" t="s">
        <v>223</v>
      </c>
      <c r="G312" s="1" t="s">
        <v>224</v>
      </c>
    </row>
    <row r="313" spans="1:7" ht="25" customHeight="1">
      <c r="A313" s="1"/>
      <c r="B313" s="1" t="s">
        <v>80</v>
      </c>
      <c r="C313" s="1" t="s">
        <v>77</v>
      </c>
      <c r="D313" s="1" t="s">
        <v>212</v>
      </c>
      <c r="E313" s="7">
        <v>180.50299999999999</v>
      </c>
      <c r="F313" s="1" t="s">
        <v>223</v>
      </c>
      <c r="G313" s="1" t="s">
        <v>224</v>
      </c>
    </row>
    <row r="314" spans="1:7" ht="25" customHeight="1">
      <c r="A314" s="1"/>
      <c r="B314" s="1" t="s">
        <v>80</v>
      </c>
      <c r="C314" s="1" t="s">
        <v>77</v>
      </c>
      <c r="D314" s="1" t="s">
        <v>213</v>
      </c>
      <c r="E314" s="7">
        <v>181.816</v>
      </c>
      <c r="F314" s="1" t="s">
        <v>223</v>
      </c>
      <c r="G314" s="1" t="s">
        <v>224</v>
      </c>
    </row>
    <row r="315" spans="1:7" ht="25" customHeight="1">
      <c r="A315" s="1"/>
      <c r="B315" s="1" t="s">
        <v>80</v>
      </c>
      <c r="C315" s="1" t="s">
        <v>77</v>
      </c>
      <c r="D315" s="1" t="s">
        <v>215</v>
      </c>
      <c r="E315" s="7">
        <v>180.75200000000001</v>
      </c>
      <c r="F315" s="1" t="s">
        <v>223</v>
      </c>
      <c r="G315" s="1" t="s">
        <v>224</v>
      </c>
    </row>
    <row r="316" spans="1:7" ht="25" customHeight="1">
      <c r="A316" s="1"/>
      <c r="B316" s="1" t="s">
        <v>80</v>
      </c>
      <c r="C316" s="1" t="s">
        <v>77</v>
      </c>
      <c r="D316" s="1" t="s">
        <v>216</v>
      </c>
      <c r="E316" s="7">
        <v>180.24600000000001</v>
      </c>
      <c r="F316" s="1" t="s">
        <v>223</v>
      </c>
      <c r="G316" s="1" t="s">
        <v>224</v>
      </c>
    </row>
    <row r="317" spans="1:7" ht="25" customHeight="1">
      <c r="A317" s="1"/>
      <c r="B317" s="1" t="s">
        <v>80</v>
      </c>
      <c r="C317" s="1" t="s">
        <v>77</v>
      </c>
      <c r="D317" s="1" t="s">
        <v>217</v>
      </c>
      <c r="E317" s="7">
        <v>181.59700000000001</v>
      </c>
      <c r="F317" s="1" t="s">
        <v>223</v>
      </c>
      <c r="G317" s="1" t="s">
        <v>224</v>
      </c>
    </row>
    <row r="318" spans="1:7" ht="25" customHeight="1">
      <c r="A318" s="1"/>
      <c r="B318" s="1" t="s">
        <v>80</v>
      </c>
      <c r="C318" s="1" t="s">
        <v>77</v>
      </c>
      <c r="D318" s="1" t="s">
        <v>218</v>
      </c>
      <c r="E318" s="7">
        <v>182.953</v>
      </c>
      <c r="F318" s="1" t="s">
        <v>223</v>
      </c>
      <c r="G318" s="1" t="s">
        <v>224</v>
      </c>
    </row>
    <row r="319" spans="1:7" ht="25" customHeight="1">
      <c r="A319" s="1"/>
      <c r="B319" s="1" t="s">
        <v>80</v>
      </c>
      <c r="C319" s="1" t="s">
        <v>77</v>
      </c>
      <c r="D319" s="1" t="s">
        <v>19</v>
      </c>
      <c r="E319" s="7">
        <v>183.762</v>
      </c>
      <c r="F319" s="1" t="s">
        <v>223</v>
      </c>
      <c r="G319" s="1" t="s">
        <v>224</v>
      </c>
    </row>
    <row r="320" spans="1:7" ht="25" customHeight="1">
      <c r="A320" s="1"/>
      <c r="B320" s="1" t="s">
        <v>80</v>
      </c>
      <c r="C320" s="1" t="s">
        <v>83</v>
      </c>
      <c r="D320" s="1" t="s">
        <v>155</v>
      </c>
      <c r="E320" s="7">
        <v>159.785</v>
      </c>
      <c r="F320" s="1" t="s">
        <v>223</v>
      </c>
      <c r="G320" s="1" t="s">
        <v>225</v>
      </c>
    </row>
    <row r="321" spans="1:7" ht="25" customHeight="1">
      <c r="A321" s="1"/>
      <c r="B321" s="1" t="s">
        <v>80</v>
      </c>
      <c r="C321" s="1" t="s">
        <v>83</v>
      </c>
      <c r="D321" s="1" t="s">
        <v>158</v>
      </c>
      <c r="E321" s="7">
        <v>160.214</v>
      </c>
      <c r="F321" s="1" t="s">
        <v>223</v>
      </c>
      <c r="G321" s="1" t="s">
        <v>225</v>
      </c>
    </row>
    <row r="322" spans="1:7" ht="25" customHeight="1">
      <c r="A322" s="1"/>
      <c r="B322" s="1" t="s">
        <v>80</v>
      </c>
      <c r="C322" s="1" t="s">
        <v>83</v>
      </c>
      <c r="D322" s="1" t="s">
        <v>159</v>
      </c>
      <c r="E322" s="7">
        <v>159.96199999999999</v>
      </c>
      <c r="F322" s="1" t="s">
        <v>223</v>
      </c>
      <c r="G322" s="1" t="s">
        <v>225</v>
      </c>
    </row>
    <row r="323" spans="1:7" ht="25" customHeight="1">
      <c r="A323" s="1"/>
      <c r="B323" s="1" t="s">
        <v>80</v>
      </c>
      <c r="C323" s="1" t="s">
        <v>83</v>
      </c>
      <c r="D323" s="1" t="s">
        <v>160</v>
      </c>
      <c r="E323" s="7">
        <v>160.30799999999999</v>
      </c>
      <c r="F323" s="1" t="s">
        <v>223</v>
      </c>
      <c r="G323" s="1" t="s">
        <v>225</v>
      </c>
    </row>
    <row r="324" spans="1:7" ht="25" customHeight="1">
      <c r="A324" s="1"/>
      <c r="B324" s="1" t="s">
        <v>80</v>
      </c>
      <c r="C324" s="1" t="s">
        <v>83</v>
      </c>
      <c r="D324" s="1" t="s">
        <v>161</v>
      </c>
      <c r="E324" s="7">
        <v>159.678</v>
      </c>
      <c r="F324" s="1" t="s">
        <v>223</v>
      </c>
      <c r="G324" s="1" t="s">
        <v>225</v>
      </c>
    </row>
    <row r="325" spans="1:7" ht="25" customHeight="1">
      <c r="A325" s="1"/>
      <c r="B325" s="1" t="s">
        <v>80</v>
      </c>
      <c r="C325" s="1" t="s">
        <v>83</v>
      </c>
      <c r="D325" s="1" t="s">
        <v>162</v>
      </c>
      <c r="E325" s="7">
        <v>159.29599999999999</v>
      </c>
      <c r="F325" s="1" t="s">
        <v>223</v>
      </c>
      <c r="G325" s="1" t="s">
        <v>225</v>
      </c>
    </row>
    <row r="326" spans="1:7" ht="25" customHeight="1">
      <c r="A326" s="1"/>
      <c r="B326" s="1" t="s">
        <v>80</v>
      </c>
      <c r="C326" s="1" t="s">
        <v>83</v>
      </c>
      <c r="D326" s="1" t="s">
        <v>163</v>
      </c>
      <c r="E326" s="7">
        <v>159.11099999999999</v>
      </c>
      <c r="F326" s="1" t="s">
        <v>223</v>
      </c>
      <c r="G326" s="1" t="s">
        <v>225</v>
      </c>
    </row>
    <row r="327" spans="1:7" ht="25" customHeight="1">
      <c r="A327" s="1"/>
      <c r="B327" s="1" t="s">
        <v>80</v>
      </c>
      <c r="C327" s="1" t="s">
        <v>83</v>
      </c>
      <c r="D327" s="1" t="s">
        <v>164</v>
      </c>
      <c r="E327" s="7">
        <v>159.96600000000001</v>
      </c>
      <c r="F327" s="1" t="s">
        <v>223</v>
      </c>
      <c r="G327" s="1" t="s">
        <v>225</v>
      </c>
    </row>
    <row r="328" spans="1:7" ht="25" customHeight="1">
      <c r="A328" s="1"/>
      <c r="B328" s="1" t="s">
        <v>80</v>
      </c>
      <c r="C328" s="1" t="s">
        <v>83</v>
      </c>
      <c r="D328" s="1" t="s">
        <v>165</v>
      </c>
      <c r="E328" s="7">
        <v>159.755</v>
      </c>
      <c r="F328" s="1" t="s">
        <v>223</v>
      </c>
      <c r="G328" s="1" t="s">
        <v>225</v>
      </c>
    </row>
    <row r="329" spans="1:7" ht="25" customHeight="1">
      <c r="A329" s="1"/>
      <c r="B329" s="1" t="s">
        <v>80</v>
      </c>
      <c r="C329" s="1" t="s">
        <v>83</v>
      </c>
      <c r="D329" s="1" t="s">
        <v>166</v>
      </c>
      <c r="E329" s="7">
        <v>160.03800000000001</v>
      </c>
      <c r="F329" s="1" t="s">
        <v>223</v>
      </c>
      <c r="G329" s="1" t="s">
        <v>225</v>
      </c>
    </row>
    <row r="330" spans="1:7" ht="25" customHeight="1">
      <c r="A330" s="1"/>
      <c r="B330" s="1" t="s">
        <v>80</v>
      </c>
      <c r="C330" s="1" t="s">
        <v>83</v>
      </c>
      <c r="D330" s="1" t="s">
        <v>167</v>
      </c>
      <c r="E330" s="7">
        <v>159.35900000000001</v>
      </c>
      <c r="F330" s="1" t="s">
        <v>223</v>
      </c>
      <c r="G330" s="1" t="s">
        <v>225</v>
      </c>
    </row>
    <row r="331" spans="1:7" ht="25" customHeight="1">
      <c r="A331" s="1"/>
      <c r="B331" s="1" t="s">
        <v>80</v>
      </c>
      <c r="C331" s="1" t="s">
        <v>83</v>
      </c>
      <c r="D331" s="1" t="s">
        <v>168</v>
      </c>
      <c r="E331" s="7">
        <v>159.06</v>
      </c>
      <c r="F331" s="1" t="s">
        <v>223</v>
      </c>
      <c r="G331" s="1" t="s">
        <v>225</v>
      </c>
    </row>
    <row r="332" spans="1:7" ht="25" customHeight="1">
      <c r="A332" s="1"/>
      <c r="B332" s="1" t="s">
        <v>80</v>
      </c>
      <c r="C332" s="1" t="s">
        <v>83</v>
      </c>
      <c r="D332" s="1" t="s">
        <v>169</v>
      </c>
      <c r="E332" s="7">
        <v>160.22399999999999</v>
      </c>
      <c r="F332" s="1" t="s">
        <v>223</v>
      </c>
      <c r="G332" s="1" t="s">
        <v>225</v>
      </c>
    </row>
    <row r="333" spans="1:7" ht="25" customHeight="1">
      <c r="A333" s="1"/>
      <c r="B333" s="1" t="s">
        <v>80</v>
      </c>
      <c r="C333" s="1" t="s">
        <v>83</v>
      </c>
      <c r="D333" s="1" t="s">
        <v>170</v>
      </c>
      <c r="E333" s="7">
        <v>161.49600000000001</v>
      </c>
      <c r="F333" s="1" t="s">
        <v>223</v>
      </c>
      <c r="G333" s="1" t="s">
        <v>225</v>
      </c>
    </row>
    <row r="334" spans="1:7" ht="25" customHeight="1">
      <c r="A334" s="1"/>
      <c r="B334" s="1" t="s">
        <v>80</v>
      </c>
      <c r="C334" s="1" t="s">
        <v>83</v>
      </c>
      <c r="D334" s="1" t="s">
        <v>171</v>
      </c>
      <c r="E334" s="7">
        <v>163.17500000000001</v>
      </c>
      <c r="F334" s="1" t="s">
        <v>223</v>
      </c>
      <c r="G334" s="1" t="s">
        <v>225</v>
      </c>
    </row>
    <row r="335" spans="1:7" ht="25" customHeight="1">
      <c r="A335" s="1"/>
      <c r="B335" s="1" t="s">
        <v>80</v>
      </c>
      <c r="C335" s="1" t="s">
        <v>83</v>
      </c>
      <c r="D335" s="1" t="s">
        <v>172</v>
      </c>
      <c r="E335" s="7">
        <v>163.71299999999999</v>
      </c>
      <c r="F335" s="1" t="s">
        <v>223</v>
      </c>
      <c r="G335" s="1" t="s">
        <v>225</v>
      </c>
    </row>
    <row r="336" spans="1:7" ht="25" customHeight="1">
      <c r="A336" s="1"/>
      <c r="B336" s="1" t="s">
        <v>80</v>
      </c>
      <c r="C336" s="1" t="s">
        <v>83</v>
      </c>
      <c r="D336" s="1" t="s">
        <v>173</v>
      </c>
      <c r="E336" s="7">
        <v>164.17400000000001</v>
      </c>
      <c r="F336" s="1" t="s">
        <v>223</v>
      </c>
      <c r="G336" s="1" t="s">
        <v>225</v>
      </c>
    </row>
    <row r="337" spans="1:7" ht="25" customHeight="1">
      <c r="A337" s="1"/>
      <c r="B337" s="1" t="s">
        <v>80</v>
      </c>
      <c r="C337" s="1" t="s">
        <v>83</v>
      </c>
      <c r="D337" s="1" t="s">
        <v>174</v>
      </c>
      <c r="E337" s="7">
        <v>165.35300000000001</v>
      </c>
      <c r="F337" s="1" t="s">
        <v>223</v>
      </c>
      <c r="G337" s="1" t="s">
        <v>225</v>
      </c>
    </row>
    <row r="338" spans="1:7" ht="25" customHeight="1">
      <c r="A338" s="1"/>
      <c r="B338" s="1" t="s">
        <v>80</v>
      </c>
      <c r="C338" s="1" t="s">
        <v>83</v>
      </c>
      <c r="D338" s="1" t="s">
        <v>175</v>
      </c>
      <c r="E338" s="7">
        <v>167.05199999999999</v>
      </c>
      <c r="F338" s="1" t="s">
        <v>223</v>
      </c>
      <c r="G338" s="1" t="s">
        <v>225</v>
      </c>
    </row>
    <row r="339" spans="1:7" ht="25" customHeight="1">
      <c r="A339" s="1"/>
      <c r="B339" s="1" t="s">
        <v>80</v>
      </c>
      <c r="C339" s="1" t="s">
        <v>83</v>
      </c>
      <c r="D339" s="1" t="s">
        <v>176</v>
      </c>
      <c r="E339" s="7">
        <v>169.57599999999999</v>
      </c>
      <c r="F339" s="1" t="s">
        <v>223</v>
      </c>
      <c r="G339" s="1" t="s">
        <v>225</v>
      </c>
    </row>
    <row r="340" spans="1:7" ht="25" customHeight="1">
      <c r="A340" s="1"/>
      <c r="B340" s="1" t="s">
        <v>80</v>
      </c>
      <c r="C340" s="1" t="s">
        <v>83</v>
      </c>
      <c r="D340" s="1" t="s">
        <v>177</v>
      </c>
      <c r="E340" s="7">
        <v>170.21700000000001</v>
      </c>
      <c r="F340" s="1" t="s">
        <v>223</v>
      </c>
      <c r="G340" s="1" t="s">
        <v>225</v>
      </c>
    </row>
    <row r="341" spans="1:7" ht="25" customHeight="1">
      <c r="A341" s="1"/>
      <c r="B341" s="1" t="s">
        <v>80</v>
      </c>
      <c r="C341" s="1" t="s">
        <v>83</v>
      </c>
      <c r="D341" s="1" t="s">
        <v>178</v>
      </c>
      <c r="E341" s="7">
        <v>170.89</v>
      </c>
      <c r="F341" s="1" t="s">
        <v>223</v>
      </c>
      <c r="G341" s="1" t="s">
        <v>225</v>
      </c>
    </row>
    <row r="342" spans="1:7" ht="25" customHeight="1">
      <c r="A342" s="1"/>
      <c r="B342" s="1" t="s">
        <v>80</v>
      </c>
      <c r="C342" s="1" t="s">
        <v>83</v>
      </c>
      <c r="D342" s="1" t="s">
        <v>179</v>
      </c>
      <c r="E342" s="7">
        <v>171.226</v>
      </c>
      <c r="F342" s="1" t="s">
        <v>223</v>
      </c>
      <c r="G342" s="1" t="s">
        <v>225</v>
      </c>
    </row>
    <row r="343" spans="1:7" ht="25" customHeight="1">
      <c r="A343" s="1"/>
      <c r="B343" s="1" t="s">
        <v>80</v>
      </c>
      <c r="C343" s="1" t="s">
        <v>83</v>
      </c>
      <c r="D343" s="1" t="s">
        <v>180</v>
      </c>
      <c r="E343" s="7">
        <v>171.05799999999999</v>
      </c>
      <c r="F343" s="1" t="s">
        <v>223</v>
      </c>
      <c r="G343" s="1" t="s">
        <v>225</v>
      </c>
    </row>
    <row r="344" spans="1:7" ht="25" customHeight="1">
      <c r="A344" s="1"/>
      <c r="B344" s="1" t="s">
        <v>80</v>
      </c>
      <c r="C344" s="1" t="s">
        <v>83</v>
      </c>
      <c r="D344" s="1" t="s">
        <v>181</v>
      </c>
      <c r="E344" s="7">
        <v>171.53899999999999</v>
      </c>
      <c r="F344" s="1" t="s">
        <v>223</v>
      </c>
      <c r="G344" s="1" t="s">
        <v>225</v>
      </c>
    </row>
    <row r="345" spans="1:7" ht="25" customHeight="1">
      <c r="A345" s="1"/>
      <c r="B345" s="1" t="s">
        <v>80</v>
      </c>
      <c r="C345" s="1" t="s">
        <v>83</v>
      </c>
      <c r="D345" s="1" t="s">
        <v>182</v>
      </c>
      <c r="E345" s="7">
        <v>172.39400000000001</v>
      </c>
      <c r="F345" s="1" t="s">
        <v>223</v>
      </c>
      <c r="G345" s="1" t="s">
        <v>225</v>
      </c>
    </row>
    <row r="346" spans="1:7" ht="25" customHeight="1">
      <c r="A346" s="1"/>
      <c r="B346" s="1" t="s">
        <v>80</v>
      </c>
      <c r="C346" s="1" t="s">
        <v>83</v>
      </c>
      <c r="D346" s="1" t="s">
        <v>183</v>
      </c>
      <c r="E346" s="7">
        <v>173.80099999999999</v>
      </c>
      <c r="F346" s="1" t="s">
        <v>223</v>
      </c>
      <c r="G346" s="1" t="s">
        <v>225</v>
      </c>
    </row>
    <row r="347" spans="1:7" ht="25" customHeight="1">
      <c r="A347" s="1"/>
      <c r="B347" s="1" t="s">
        <v>80</v>
      </c>
      <c r="C347" s="1" t="s">
        <v>83</v>
      </c>
      <c r="D347" s="1" t="s">
        <v>184</v>
      </c>
      <c r="E347" s="7">
        <v>174.72399999999999</v>
      </c>
      <c r="F347" s="1" t="s">
        <v>223</v>
      </c>
      <c r="G347" s="1" t="s">
        <v>225</v>
      </c>
    </row>
    <row r="348" spans="1:7" ht="25" customHeight="1">
      <c r="A348" s="1"/>
      <c r="B348" s="1" t="s">
        <v>80</v>
      </c>
      <c r="C348" s="1" t="s">
        <v>83</v>
      </c>
      <c r="D348" s="1" t="s">
        <v>185</v>
      </c>
      <c r="E348" s="7">
        <v>176.48400000000001</v>
      </c>
      <c r="F348" s="1" t="s">
        <v>223</v>
      </c>
      <c r="G348" s="1" t="s">
        <v>225</v>
      </c>
    </row>
    <row r="349" spans="1:7" ht="25" customHeight="1">
      <c r="A349" s="1"/>
      <c r="B349" s="1" t="s">
        <v>80</v>
      </c>
      <c r="C349" s="1" t="s">
        <v>83</v>
      </c>
      <c r="D349" s="1" t="s">
        <v>186</v>
      </c>
      <c r="E349" s="7">
        <v>176.846</v>
      </c>
      <c r="F349" s="1" t="s">
        <v>223</v>
      </c>
      <c r="G349" s="1" t="s">
        <v>225</v>
      </c>
    </row>
    <row r="350" spans="1:7" ht="25" customHeight="1">
      <c r="A350" s="1"/>
      <c r="B350" s="1" t="s">
        <v>80</v>
      </c>
      <c r="C350" s="1" t="s">
        <v>83</v>
      </c>
      <c r="D350" s="1" t="s">
        <v>187</v>
      </c>
      <c r="E350" s="7">
        <v>177.65100000000001</v>
      </c>
      <c r="F350" s="1" t="s">
        <v>223</v>
      </c>
      <c r="G350" s="1" t="s">
        <v>225</v>
      </c>
    </row>
    <row r="351" spans="1:7" ht="25" customHeight="1">
      <c r="A351" s="1"/>
      <c r="B351" s="1" t="s">
        <v>80</v>
      </c>
      <c r="C351" s="1" t="s">
        <v>83</v>
      </c>
      <c r="D351" s="1" t="s">
        <v>188</v>
      </c>
      <c r="E351" s="7">
        <v>178.14</v>
      </c>
      <c r="F351" s="1" t="s">
        <v>223</v>
      </c>
      <c r="G351" s="1" t="s">
        <v>225</v>
      </c>
    </row>
    <row r="352" spans="1:7" ht="25" customHeight="1">
      <c r="A352" s="1"/>
      <c r="B352" s="1" t="s">
        <v>80</v>
      </c>
      <c r="C352" s="1" t="s">
        <v>83</v>
      </c>
      <c r="D352" s="1" t="s">
        <v>189</v>
      </c>
      <c r="E352" s="7">
        <v>178.898</v>
      </c>
      <c r="F352" s="1" t="s">
        <v>223</v>
      </c>
      <c r="G352" s="1" t="s">
        <v>225</v>
      </c>
    </row>
    <row r="353" spans="1:7" ht="25" customHeight="1">
      <c r="A353" s="1"/>
      <c r="B353" s="1" t="s">
        <v>80</v>
      </c>
      <c r="C353" s="1" t="s">
        <v>83</v>
      </c>
      <c r="D353" s="1" t="s">
        <v>190</v>
      </c>
      <c r="E353" s="7">
        <v>179.61699999999999</v>
      </c>
      <c r="F353" s="1" t="s">
        <v>223</v>
      </c>
      <c r="G353" s="1" t="s">
        <v>225</v>
      </c>
    </row>
    <row r="354" spans="1:7" ht="25" customHeight="1">
      <c r="A354" s="1"/>
      <c r="B354" s="1" t="s">
        <v>80</v>
      </c>
      <c r="C354" s="1" t="s">
        <v>83</v>
      </c>
      <c r="D354" s="1" t="s">
        <v>191</v>
      </c>
      <c r="E354" s="7">
        <v>178.553</v>
      </c>
      <c r="F354" s="1" t="s">
        <v>223</v>
      </c>
      <c r="G354" s="1" t="s">
        <v>225</v>
      </c>
    </row>
    <row r="355" spans="1:7" ht="25" customHeight="1">
      <c r="A355" s="1"/>
      <c r="B355" s="1" t="s">
        <v>80</v>
      </c>
      <c r="C355" s="1" t="s">
        <v>83</v>
      </c>
      <c r="D355" s="1" t="s">
        <v>192</v>
      </c>
      <c r="E355" s="7">
        <v>176.62</v>
      </c>
      <c r="F355" s="1" t="s">
        <v>223</v>
      </c>
      <c r="G355" s="1" t="s">
        <v>225</v>
      </c>
    </row>
    <row r="356" spans="1:7" ht="25" customHeight="1">
      <c r="A356" s="1"/>
      <c r="B356" s="1" t="s">
        <v>80</v>
      </c>
      <c r="C356" s="1" t="s">
        <v>83</v>
      </c>
      <c r="D356" s="1" t="s">
        <v>193</v>
      </c>
      <c r="E356" s="7">
        <v>177.54599999999999</v>
      </c>
      <c r="F356" s="1" t="s">
        <v>223</v>
      </c>
      <c r="G356" s="1" t="s">
        <v>225</v>
      </c>
    </row>
    <row r="357" spans="1:7" ht="25" customHeight="1">
      <c r="A357" s="1"/>
      <c r="B357" s="1" t="s">
        <v>80</v>
      </c>
      <c r="C357" s="1" t="s">
        <v>83</v>
      </c>
      <c r="D357" s="1" t="s">
        <v>194</v>
      </c>
      <c r="E357" s="7">
        <v>179.31100000000001</v>
      </c>
      <c r="F357" s="1" t="s">
        <v>223</v>
      </c>
      <c r="G357" s="1" t="s">
        <v>225</v>
      </c>
    </row>
    <row r="358" spans="1:7" ht="25" customHeight="1">
      <c r="A358" s="1"/>
      <c r="B358" s="1" t="s">
        <v>80</v>
      </c>
      <c r="C358" s="1" t="s">
        <v>83</v>
      </c>
      <c r="D358" s="1" t="s">
        <v>195</v>
      </c>
      <c r="E358" s="7">
        <v>179.70599999999999</v>
      </c>
      <c r="F358" s="1" t="s">
        <v>223</v>
      </c>
      <c r="G358" s="1" t="s">
        <v>225</v>
      </c>
    </row>
    <row r="359" spans="1:7" ht="25" customHeight="1">
      <c r="A359" s="1"/>
      <c r="B359" s="1" t="s">
        <v>80</v>
      </c>
      <c r="C359" s="1" t="s">
        <v>83</v>
      </c>
      <c r="D359" s="1" t="s">
        <v>196</v>
      </c>
      <c r="E359" s="7">
        <v>179.28</v>
      </c>
      <c r="F359" s="1" t="s">
        <v>223</v>
      </c>
      <c r="G359" s="1" t="s">
        <v>225</v>
      </c>
    </row>
    <row r="360" spans="1:7" ht="25" customHeight="1">
      <c r="A360" s="1"/>
      <c r="B360" s="1" t="s">
        <v>80</v>
      </c>
      <c r="C360" s="1" t="s">
        <v>83</v>
      </c>
      <c r="D360" s="1" t="s">
        <v>197</v>
      </c>
      <c r="E360" s="7">
        <v>178.83</v>
      </c>
      <c r="F360" s="1" t="s">
        <v>223</v>
      </c>
      <c r="G360" s="1" t="s">
        <v>225</v>
      </c>
    </row>
    <row r="361" spans="1:7" ht="25" customHeight="1">
      <c r="A361" s="1"/>
      <c r="B361" s="1" t="s">
        <v>80</v>
      </c>
      <c r="C361" s="1" t="s">
        <v>83</v>
      </c>
      <c r="D361" s="1" t="s">
        <v>198</v>
      </c>
      <c r="E361" s="7">
        <v>178.68199999999999</v>
      </c>
      <c r="F361" s="1" t="s">
        <v>223</v>
      </c>
      <c r="G361" s="1" t="s">
        <v>225</v>
      </c>
    </row>
    <row r="362" spans="1:7" ht="25" customHeight="1">
      <c r="A362" s="1"/>
      <c r="B362" s="1" t="s">
        <v>80</v>
      </c>
      <c r="C362" s="1" t="s">
        <v>83</v>
      </c>
      <c r="D362" s="1" t="s">
        <v>199</v>
      </c>
      <c r="E362" s="7">
        <v>179.07900000000001</v>
      </c>
      <c r="F362" s="1" t="s">
        <v>223</v>
      </c>
      <c r="G362" s="1" t="s">
        <v>225</v>
      </c>
    </row>
    <row r="363" spans="1:7" ht="25" customHeight="1">
      <c r="A363" s="1"/>
      <c r="B363" s="1" t="s">
        <v>80</v>
      </c>
      <c r="C363" s="1" t="s">
        <v>83</v>
      </c>
      <c r="D363" s="1" t="s">
        <v>200</v>
      </c>
      <c r="E363" s="7">
        <v>178.452</v>
      </c>
      <c r="F363" s="1" t="s">
        <v>223</v>
      </c>
      <c r="G363" s="1" t="s">
        <v>225</v>
      </c>
    </row>
    <row r="364" spans="1:7" ht="25" customHeight="1">
      <c r="A364" s="1"/>
      <c r="B364" s="1" t="s">
        <v>80</v>
      </c>
      <c r="C364" s="1" t="s">
        <v>83</v>
      </c>
      <c r="D364" s="1" t="s">
        <v>201</v>
      </c>
      <c r="E364" s="7">
        <v>179.154</v>
      </c>
      <c r="F364" s="1" t="s">
        <v>223</v>
      </c>
      <c r="G364" s="1" t="s">
        <v>225</v>
      </c>
    </row>
    <row r="365" spans="1:7" ht="25" customHeight="1">
      <c r="A365" s="1"/>
      <c r="B365" s="1" t="s">
        <v>80</v>
      </c>
      <c r="C365" s="1" t="s">
        <v>83</v>
      </c>
      <c r="D365" s="1" t="s">
        <v>202</v>
      </c>
      <c r="E365" s="7">
        <v>179.63399999999999</v>
      </c>
      <c r="F365" s="1" t="s">
        <v>223</v>
      </c>
      <c r="G365" s="1" t="s">
        <v>225</v>
      </c>
    </row>
    <row r="366" spans="1:7" ht="25" customHeight="1">
      <c r="A366" s="1"/>
      <c r="B366" s="1" t="s">
        <v>80</v>
      </c>
      <c r="C366" s="1" t="s">
        <v>83</v>
      </c>
      <c r="D366" s="1" t="s">
        <v>203</v>
      </c>
      <c r="E366" s="7">
        <v>179.44399999999999</v>
      </c>
      <c r="F366" s="1" t="s">
        <v>223</v>
      </c>
      <c r="G366" s="1" t="s">
        <v>225</v>
      </c>
    </row>
    <row r="367" spans="1:7" ht="25" customHeight="1">
      <c r="A367" s="1"/>
      <c r="B367" s="1" t="s">
        <v>80</v>
      </c>
      <c r="C367" s="1" t="s">
        <v>83</v>
      </c>
      <c r="D367" s="1" t="s">
        <v>204</v>
      </c>
      <c r="E367" s="7">
        <v>177.536</v>
      </c>
      <c r="F367" s="1" t="s">
        <v>223</v>
      </c>
      <c r="G367" s="1" t="s">
        <v>225</v>
      </c>
    </row>
    <row r="368" spans="1:7" ht="25" customHeight="1">
      <c r="A368" s="1"/>
      <c r="B368" s="1" t="s">
        <v>80</v>
      </c>
      <c r="C368" s="1" t="s">
        <v>83</v>
      </c>
      <c r="D368" s="1" t="s">
        <v>205</v>
      </c>
      <c r="E368" s="7">
        <v>178.25899999999999</v>
      </c>
      <c r="F368" s="1" t="s">
        <v>223</v>
      </c>
      <c r="G368" s="1" t="s">
        <v>225</v>
      </c>
    </row>
    <row r="369" spans="1:7" ht="25" customHeight="1">
      <c r="A369" s="1"/>
      <c r="B369" s="1" t="s">
        <v>80</v>
      </c>
      <c r="C369" s="1" t="s">
        <v>83</v>
      </c>
      <c r="D369" s="1" t="s">
        <v>206</v>
      </c>
      <c r="E369" s="7">
        <v>179.82400000000001</v>
      </c>
      <c r="F369" s="1" t="s">
        <v>223</v>
      </c>
      <c r="G369" s="1" t="s">
        <v>225</v>
      </c>
    </row>
    <row r="370" spans="1:7" ht="25" customHeight="1">
      <c r="A370" s="1"/>
      <c r="B370" s="1" t="s">
        <v>80</v>
      </c>
      <c r="C370" s="1" t="s">
        <v>83</v>
      </c>
      <c r="D370" s="1" t="s">
        <v>207</v>
      </c>
      <c r="E370" s="7">
        <v>179.74600000000001</v>
      </c>
      <c r="F370" s="1" t="s">
        <v>223</v>
      </c>
      <c r="G370" s="1" t="s">
        <v>225</v>
      </c>
    </row>
    <row r="371" spans="1:7" ht="25" customHeight="1">
      <c r="A371" s="1"/>
      <c r="B371" s="1" t="s">
        <v>80</v>
      </c>
      <c r="C371" s="1" t="s">
        <v>83</v>
      </c>
      <c r="D371" s="1" t="s">
        <v>208</v>
      </c>
      <c r="E371" s="7">
        <v>180.00399999999999</v>
      </c>
      <c r="F371" s="1" t="s">
        <v>223</v>
      </c>
      <c r="G371" s="1" t="s">
        <v>225</v>
      </c>
    </row>
    <row r="372" spans="1:7" ht="25" customHeight="1">
      <c r="A372" s="1"/>
      <c r="B372" s="1" t="s">
        <v>80</v>
      </c>
      <c r="C372" s="1" t="s">
        <v>83</v>
      </c>
      <c r="D372" s="1" t="s">
        <v>209</v>
      </c>
      <c r="E372" s="7">
        <v>179.673</v>
      </c>
      <c r="F372" s="1" t="s">
        <v>223</v>
      </c>
      <c r="G372" s="1" t="s">
        <v>225</v>
      </c>
    </row>
    <row r="373" spans="1:7" ht="25" customHeight="1">
      <c r="A373" s="1"/>
      <c r="B373" s="1" t="s">
        <v>80</v>
      </c>
      <c r="C373" s="1" t="s">
        <v>83</v>
      </c>
      <c r="D373" s="1" t="s">
        <v>210</v>
      </c>
      <c r="E373" s="7">
        <v>179.83</v>
      </c>
      <c r="F373" s="1" t="s">
        <v>223</v>
      </c>
      <c r="G373" s="1" t="s">
        <v>225</v>
      </c>
    </row>
    <row r="374" spans="1:7" ht="25" customHeight="1">
      <c r="A374" s="1"/>
      <c r="B374" s="1" t="s">
        <v>80</v>
      </c>
      <c r="C374" s="1" t="s">
        <v>83</v>
      </c>
      <c r="D374" s="1" t="s">
        <v>211</v>
      </c>
      <c r="E374" s="7">
        <v>179.77699999999999</v>
      </c>
      <c r="F374" s="1" t="s">
        <v>223</v>
      </c>
      <c r="G374" s="1" t="s">
        <v>225</v>
      </c>
    </row>
    <row r="375" spans="1:7" ht="25" customHeight="1">
      <c r="A375" s="1"/>
      <c r="B375" s="1" t="s">
        <v>80</v>
      </c>
      <c r="C375" s="1" t="s">
        <v>83</v>
      </c>
      <c r="D375" s="1" t="s">
        <v>212</v>
      </c>
      <c r="E375" s="7">
        <v>180.50299999999999</v>
      </c>
      <c r="F375" s="1" t="s">
        <v>223</v>
      </c>
      <c r="G375" s="1" t="s">
        <v>225</v>
      </c>
    </row>
    <row r="376" spans="1:7" ht="25" customHeight="1">
      <c r="A376" s="1"/>
      <c r="B376" s="1" t="s">
        <v>80</v>
      </c>
      <c r="C376" s="1" t="s">
        <v>83</v>
      </c>
      <c r="D376" s="1" t="s">
        <v>213</v>
      </c>
      <c r="E376" s="7">
        <v>181.816</v>
      </c>
      <c r="F376" s="1" t="s">
        <v>223</v>
      </c>
      <c r="G376" s="1" t="s">
        <v>225</v>
      </c>
    </row>
    <row r="377" spans="1:7" ht="25" customHeight="1">
      <c r="A377" s="1"/>
      <c r="B377" s="1" t="s">
        <v>80</v>
      </c>
      <c r="C377" s="1" t="s">
        <v>83</v>
      </c>
      <c r="D377" s="1" t="s">
        <v>215</v>
      </c>
      <c r="E377" s="7">
        <v>180.75200000000001</v>
      </c>
      <c r="F377" s="1" t="s">
        <v>223</v>
      </c>
      <c r="G377" s="1" t="s">
        <v>225</v>
      </c>
    </row>
    <row r="378" spans="1:7" ht="25" customHeight="1">
      <c r="A378" s="1"/>
      <c r="B378" s="1" t="s">
        <v>80</v>
      </c>
      <c r="C378" s="1" t="s">
        <v>83</v>
      </c>
      <c r="D378" s="1" t="s">
        <v>216</v>
      </c>
      <c r="E378" s="7">
        <v>180.24600000000001</v>
      </c>
      <c r="F378" s="1" t="s">
        <v>223</v>
      </c>
      <c r="G378" s="1" t="s">
        <v>225</v>
      </c>
    </row>
    <row r="379" spans="1:7" ht="25" customHeight="1">
      <c r="A379" s="1"/>
      <c r="B379" s="1" t="s">
        <v>80</v>
      </c>
      <c r="C379" s="1" t="s">
        <v>83</v>
      </c>
      <c r="D379" s="1" t="s">
        <v>217</v>
      </c>
      <c r="E379" s="7">
        <v>181.59700000000001</v>
      </c>
      <c r="F379" s="1" t="s">
        <v>223</v>
      </c>
      <c r="G379" s="1" t="s">
        <v>225</v>
      </c>
    </row>
    <row r="380" spans="1:7" ht="25" customHeight="1">
      <c r="A380" s="1"/>
      <c r="B380" s="1" t="s">
        <v>80</v>
      </c>
      <c r="C380" s="1" t="s">
        <v>83</v>
      </c>
      <c r="D380" s="1" t="s">
        <v>218</v>
      </c>
      <c r="E380" s="7">
        <v>182.953</v>
      </c>
      <c r="F380" s="1" t="s">
        <v>223</v>
      </c>
      <c r="G380" s="1" t="s">
        <v>225</v>
      </c>
    </row>
    <row r="381" spans="1:7" ht="25" customHeight="1">
      <c r="A381" s="1"/>
      <c r="B381" s="1" t="s">
        <v>80</v>
      </c>
      <c r="C381" s="1" t="s">
        <v>83</v>
      </c>
      <c r="D381" s="1" t="s">
        <v>19</v>
      </c>
      <c r="E381" s="7">
        <v>183.762</v>
      </c>
      <c r="F381" s="1" t="s">
        <v>223</v>
      </c>
      <c r="G381" s="1" t="s">
        <v>225</v>
      </c>
    </row>
    <row r="382" spans="1:7" ht="25" customHeight="1">
      <c r="A382" s="1"/>
      <c r="B382" s="1" t="s">
        <v>80</v>
      </c>
      <c r="C382" s="1" t="s">
        <v>83</v>
      </c>
      <c r="D382" s="1" t="s">
        <v>16</v>
      </c>
      <c r="E382" s="7">
        <v>184.89500000000001</v>
      </c>
      <c r="F382" s="1" t="s">
        <v>223</v>
      </c>
      <c r="G382" s="1" t="s">
        <v>225</v>
      </c>
    </row>
    <row r="383" spans="1:7" ht="25" customHeight="1">
      <c r="A383" s="1"/>
      <c r="B383" s="1"/>
      <c r="C383" s="1"/>
      <c r="D383" s="1"/>
      <c r="E383" s="1"/>
      <c r="F383" s="1"/>
      <c r="G383" s="1"/>
    </row>
    <row r="384" spans="1:7" ht="25" customHeight="1">
      <c r="A384" s="1"/>
      <c r="B384" s="1"/>
      <c r="C384" s="1"/>
      <c r="D384" s="1"/>
      <c r="E384" s="1"/>
      <c r="F384" s="1"/>
      <c r="G384" s="1"/>
    </row>
  </sheetData>
  <phoneticPr fontId="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64"/>
  <sheetViews>
    <sheetView showGridLines="0" workbookViewId="0">
      <pane ySplit="5" topLeftCell="A6" activePane="bottomLeft" state="frozen"/>
      <selection pane="bottomLeft"/>
    </sheetView>
  </sheetViews>
  <sheetFormatPr baseColWidth="10" defaultColWidth="8.83203125" defaultRowHeight="14"/>
  <cols>
    <col min="1" max="1" width="3" customWidth="1"/>
    <col min="2" max="2" width="24" customWidth="1"/>
    <col min="3" max="3" width="65" customWidth="1"/>
    <col min="4" max="4" width="19" customWidth="1"/>
    <col min="5" max="5" width="20" customWidth="1"/>
    <col min="6" max="6" width="60" customWidth="1"/>
  </cols>
  <sheetData>
    <row r="1" spans="1:6" ht="25" customHeight="1">
      <c r="A1" s="1"/>
      <c r="B1" s="1"/>
      <c r="C1" s="1"/>
      <c r="D1" s="1"/>
      <c r="E1" s="1"/>
      <c r="F1" s="1"/>
    </row>
    <row r="2" spans="1:6" ht="25" customHeight="1">
      <c r="A2" s="1"/>
      <c r="B2" s="2" t="s">
        <v>226</v>
      </c>
      <c r="C2" s="1"/>
      <c r="D2" s="1"/>
      <c r="E2" s="1"/>
      <c r="F2" s="1"/>
    </row>
    <row r="3" spans="1:6" ht="25" customHeight="1">
      <c r="A3" s="1"/>
      <c r="B3" s="1" t="s">
        <v>227</v>
      </c>
      <c r="C3" s="1"/>
      <c r="D3" s="1"/>
      <c r="E3" s="1"/>
      <c r="F3" s="1"/>
    </row>
    <row r="4" spans="1:6" ht="25" customHeight="1">
      <c r="A4" s="1"/>
      <c r="B4" s="1"/>
      <c r="C4" s="1"/>
      <c r="D4" s="1"/>
      <c r="E4" s="1"/>
      <c r="F4" s="1"/>
    </row>
    <row r="5" spans="1:6" ht="44" customHeight="1">
      <c r="A5" s="1"/>
      <c r="B5" s="3" t="s">
        <v>116</v>
      </c>
      <c r="C5" s="3" t="s">
        <v>228</v>
      </c>
      <c r="D5" s="3" t="s">
        <v>151</v>
      </c>
      <c r="E5" s="3" t="s">
        <v>229</v>
      </c>
      <c r="F5" s="3" t="s">
        <v>230</v>
      </c>
    </row>
    <row r="6" spans="1:6" ht="25" customHeight="1">
      <c r="A6" s="1"/>
      <c r="B6" s="1" t="s">
        <v>231</v>
      </c>
      <c r="C6" s="1" t="s">
        <v>232</v>
      </c>
      <c r="D6" s="1" t="s">
        <v>155</v>
      </c>
      <c r="E6" s="9">
        <v>103.209</v>
      </c>
      <c r="F6" s="1" t="s">
        <v>233</v>
      </c>
    </row>
    <row r="7" spans="1:6" ht="25" customHeight="1">
      <c r="A7" s="1"/>
      <c r="B7" s="1" t="s">
        <v>231</v>
      </c>
      <c r="C7" s="1" t="s">
        <v>232</v>
      </c>
      <c r="D7" s="1" t="s">
        <v>158</v>
      </c>
      <c r="E7" s="9">
        <v>103.459</v>
      </c>
      <c r="F7" s="1" t="s">
        <v>233</v>
      </c>
    </row>
    <row r="8" spans="1:6" ht="25" customHeight="1">
      <c r="A8" s="1"/>
      <c r="B8" s="1" t="s">
        <v>231</v>
      </c>
      <c r="C8" s="1" t="s">
        <v>232</v>
      </c>
      <c r="D8" s="1" t="s">
        <v>159</v>
      </c>
      <c r="E8" s="9">
        <v>103.39400000000001</v>
      </c>
      <c r="F8" s="1" t="s">
        <v>233</v>
      </c>
    </row>
    <row r="9" spans="1:6" ht="25" customHeight="1">
      <c r="A9" s="1"/>
      <c r="B9" s="1" t="s">
        <v>231</v>
      </c>
      <c r="C9" s="1" t="s">
        <v>232</v>
      </c>
      <c r="D9" s="1" t="s">
        <v>160</v>
      </c>
      <c r="E9" s="9">
        <v>103.675</v>
      </c>
      <c r="F9" s="1" t="s">
        <v>233</v>
      </c>
    </row>
    <row r="10" spans="1:6" ht="25" customHeight="1">
      <c r="A10" s="1"/>
      <c r="B10" s="1" t="s">
        <v>231</v>
      </c>
      <c r="C10" s="1" t="s">
        <v>232</v>
      </c>
      <c r="D10" s="1" t="s">
        <v>161</v>
      </c>
      <c r="E10" s="9">
        <v>103.926</v>
      </c>
      <c r="F10" s="1" t="s">
        <v>233</v>
      </c>
    </row>
    <row r="11" spans="1:6" ht="25" customHeight="1">
      <c r="A11" s="1"/>
      <c r="B11" s="1" t="s">
        <v>231</v>
      </c>
      <c r="C11" s="1" t="s">
        <v>232</v>
      </c>
      <c r="D11" s="1" t="s">
        <v>162</v>
      </c>
      <c r="E11" s="9">
        <v>103.538</v>
      </c>
      <c r="F11" s="1" t="s">
        <v>233</v>
      </c>
    </row>
    <row r="12" spans="1:6" ht="25" customHeight="1">
      <c r="A12" s="1"/>
      <c r="B12" s="1" t="s">
        <v>231</v>
      </c>
      <c r="C12" s="1" t="s">
        <v>232</v>
      </c>
      <c r="D12" s="1" t="s">
        <v>163</v>
      </c>
      <c r="E12" s="9">
        <v>104.221</v>
      </c>
      <c r="F12" s="1" t="s">
        <v>233</v>
      </c>
    </row>
    <row r="13" spans="1:6" ht="25" customHeight="1">
      <c r="A13" s="1"/>
      <c r="B13" s="1" t="s">
        <v>231</v>
      </c>
      <c r="C13" s="1" t="s">
        <v>232</v>
      </c>
      <c r="D13" s="1" t="s">
        <v>164</v>
      </c>
      <c r="E13" s="9">
        <v>104.098</v>
      </c>
      <c r="F13" s="1" t="s">
        <v>233</v>
      </c>
    </row>
    <row r="14" spans="1:6" ht="25" customHeight="1">
      <c r="A14" s="1"/>
      <c r="B14" s="1" t="s">
        <v>231</v>
      </c>
      <c r="C14" s="1" t="s">
        <v>232</v>
      </c>
      <c r="D14" s="1" t="s">
        <v>165</v>
      </c>
      <c r="E14" s="9">
        <v>103.76900000000001</v>
      </c>
      <c r="F14" s="1" t="s">
        <v>233</v>
      </c>
    </row>
    <row r="15" spans="1:6" ht="25" customHeight="1">
      <c r="A15" s="1"/>
      <c r="B15" s="1" t="s">
        <v>231</v>
      </c>
      <c r="C15" s="1" t="s">
        <v>232</v>
      </c>
      <c r="D15" s="1" t="s">
        <v>166</v>
      </c>
      <c r="E15" s="9">
        <v>104.304</v>
      </c>
      <c r="F15" s="1" t="s">
        <v>233</v>
      </c>
    </row>
    <row r="16" spans="1:6" ht="25" customHeight="1">
      <c r="A16" s="1"/>
      <c r="B16" s="1" t="s">
        <v>231</v>
      </c>
      <c r="C16" s="1" t="s">
        <v>232</v>
      </c>
      <c r="D16" s="1" t="s">
        <v>167</v>
      </c>
      <c r="E16" s="9">
        <v>104.136</v>
      </c>
      <c r="F16" s="1" t="s">
        <v>233</v>
      </c>
    </row>
    <row r="17" spans="1:6" ht="25" customHeight="1">
      <c r="A17" s="1"/>
      <c r="B17" s="1" t="s">
        <v>231</v>
      </c>
      <c r="C17" s="1" t="s">
        <v>232</v>
      </c>
      <c r="D17" s="1" t="s">
        <v>168</v>
      </c>
      <c r="E17" s="9">
        <v>104.129</v>
      </c>
      <c r="F17" s="1" t="s">
        <v>233</v>
      </c>
    </row>
    <row r="18" spans="1:6" ht="25" customHeight="1">
      <c r="A18" s="1"/>
      <c r="B18" s="1" t="s">
        <v>231</v>
      </c>
      <c r="C18" s="1" t="s">
        <v>232</v>
      </c>
      <c r="D18" s="1" t="s">
        <v>169</v>
      </c>
      <c r="E18" s="9">
        <v>105.27800000000001</v>
      </c>
      <c r="F18" s="1" t="s">
        <v>233</v>
      </c>
    </row>
    <row r="19" spans="1:6" ht="25" customHeight="1">
      <c r="A19" s="1"/>
      <c r="B19" s="1" t="s">
        <v>231</v>
      </c>
      <c r="C19" s="1" t="s">
        <v>232</v>
      </c>
      <c r="D19" s="1" t="s">
        <v>170</v>
      </c>
      <c r="E19" s="9">
        <v>105.753</v>
      </c>
      <c r="F19" s="1" t="s">
        <v>233</v>
      </c>
    </row>
    <row r="20" spans="1:6" ht="25" customHeight="1">
      <c r="A20" s="1"/>
      <c r="B20" s="1" t="s">
        <v>231</v>
      </c>
      <c r="C20" s="1" t="s">
        <v>232</v>
      </c>
      <c r="D20" s="1" t="s">
        <v>171</v>
      </c>
      <c r="E20" s="9">
        <v>106.917</v>
      </c>
      <c r="F20" s="1" t="s">
        <v>233</v>
      </c>
    </row>
    <row r="21" spans="1:6" ht="25" customHeight="1">
      <c r="A21" s="1"/>
      <c r="B21" s="1" t="s">
        <v>231</v>
      </c>
      <c r="C21" s="1" t="s">
        <v>232</v>
      </c>
      <c r="D21" s="1" t="s">
        <v>172</v>
      </c>
      <c r="E21" s="9">
        <v>108.232</v>
      </c>
      <c r="F21" s="1" t="s">
        <v>233</v>
      </c>
    </row>
    <row r="22" spans="1:6" ht="25" customHeight="1">
      <c r="A22" s="1"/>
      <c r="B22" s="1" t="s">
        <v>231</v>
      </c>
      <c r="C22" s="1" t="s">
        <v>232</v>
      </c>
      <c r="D22" s="1" t="s">
        <v>173</v>
      </c>
      <c r="E22" s="9">
        <v>108.47199999999999</v>
      </c>
      <c r="F22" s="1" t="s">
        <v>233</v>
      </c>
    </row>
    <row r="23" spans="1:6" ht="25" customHeight="1">
      <c r="A23" s="1"/>
      <c r="B23" s="1" t="s">
        <v>231</v>
      </c>
      <c r="C23" s="1" t="s">
        <v>232</v>
      </c>
      <c r="D23" s="1" t="s">
        <v>174</v>
      </c>
      <c r="E23" s="9">
        <v>109.771</v>
      </c>
      <c r="F23" s="1" t="s">
        <v>233</v>
      </c>
    </row>
    <row r="24" spans="1:6" ht="25" customHeight="1">
      <c r="A24" s="1"/>
      <c r="B24" s="1" t="s">
        <v>231</v>
      </c>
      <c r="C24" s="1" t="s">
        <v>232</v>
      </c>
      <c r="D24" s="1" t="s">
        <v>175</v>
      </c>
      <c r="E24" s="9">
        <v>111.16200000000001</v>
      </c>
      <c r="F24" s="1" t="s">
        <v>233</v>
      </c>
    </row>
    <row r="25" spans="1:6" ht="25" customHeight="1">
      <c r="A25" s="1"/>
      <c r="B25" s="1" t="s">
        <v>231</v>
      </c>
      <c r="C25" s="1" t="s">
        <v>232</v>
      </c>
      <c r="D25" s="1" t="s">
        <v>176</v>
      </c>
      <c r="E25" s="9">
        <v>112.038</v>
      </c>
      <c r="F25" s="1" t="s">
        <v>233</v>
      </c>
    </row>
    <row r="26" spans="1:6" ht="25" customHeight="1">
      <c r="A26" s="1"/>
      <c r="B26" s="1" t="s">
        <v>231</v>
      </c>
      <c r="C26" s="1" t="s">
        <v>232</v>
      </c>
      <c r="D26" s="1" t="s">
        <v>177</v>
      </c>
      <c r="E26" s="9">
        <v>112.42</v>
      </c>
      <c r="F26" s="1" t="s">
        <v>233</v>
      </c>
    </row>
    <row r="27" spans="1:6" ht="25" customHeight="1">
      <c r="A27" s="1"/>
      <c r="B27" s="1" t="s">
        <v>231</v>
      </c>
      <c r="C27" s="1" t="s">
        <v>232</v>
      </c>
      <c r="D27" s="1" t="s">
        <v>178</v>
      </c>
      <c r="E27" s="9">
        <v>113.271</v>
      </c>
      <c r="F27" s="1" t="s">
        <v>233</v>
      </c>
    </row>
    <row r="28" spans="1:6" ht="25" customHeight="1">
      <c r="A28" s="1"/>
      <c r="B28" s="1" t="s">
        <v>231</v>
      </c>
      <c r="C28" s="1" t="s">
        <v>232</v>
      </c>
      <c r="D28" s="1" t="s">
        <v>179</v>
      </c>
      <c r="E28" s="9">
        <v>113.85899999999999</v>
      </c>
      <c r="F28" s="1" t="s">
        <v>233</v>
      </c>
    </row>
    <row r="29" spans="1:6" ht="25" customHeight="1">
      <c r="A29" s="1"/>
      <c r="B29" s="1" t="s">
        <v>231</v>
      </c>
      <c r="C29" s="1" t="s">
        <v>232</v>
      </c>
      <c r="D29" s="1" t="s">
        <v>180</v>
      </c>
      <c r="E29" s="9">
        <v>114.437</v>
      </c>
      <c r="F29" s="1" t="s">
        <v>233</v>
      </c>
    </row>
    <row r="30" spans="1:6" ht="25" customHeight="1">
      <c r="A30" s="1"/>
      <c r="B30" s="1" t="s">
        <v>231</v>
      </c>
      <c r="C30" s="1" t="s">
        <v>232</v>
      </c>
      <c r="D30" s="1" t="s">
        <v>181</v>
      </c>
      <c r="E30" s="9">
        <v>114.054</v>
      </c>
      <c r="F30" s="1" t="s">
        <v>233</v>
      </c>
    </row>
    <row r="31" spans="1:6" ht="25" customHeight="1">
      <c r="A31" s="1"/>
      <c r="B31" s="1" t="s">
        <v>231</v>
      </c>
      <c r="C31" s="1" t="s">
        <v>232</v>
      </c>
      <c r="D31" s="1" t="s">
        <v>182</v>
      </c>
      <c r="E31" s="9">
        <v>114.81399999999999</v>
      </c>
      <c r="F31" s="1" t="s">
        <v>233</v>
      </c>
    </row>
    <row r="32" spans="1:6" ht="25" customHeight="1">
      <c r="A32" s="1"/>
      <c r="B32" s="1" t="s">
        <v>231</v>
      </c>
      <c r="C32" s="1" t="s">
        <v>232</v>
      </c>
      <c r="D32" s="1" t="s">
        <v>183</v>
      </c>
      <c r="E32" s="9">
        <v>116.255</v>
      </c>
      <c r="F32" s="1" t="s">
        <v>233</v>
      </c>
    </row>
    <row r="33" spans="1:6" ht="25" customHeight="1">
      <c r="A33" s="1"/>
      <c r="B33" s="1" t="s">
        <v>231</v>
      </c>
      <c r="C33" s="1" t="s">
        <v>232</v>
      </c>
      <c r="D33" s="1" t="s">
        <v>184</v>
      </c>
      <c r="E33" s="9">
        <v>117.146</v>
      </c>
      <c r="F33" s="1" t="s">
        <v>233</v>
      </c>
    </row>
    <row r="34" spans="1:6" ht="25" customHeight="1">
      <c r="A34" s="1"/>
      <c r="B34" s="1" t="s">
        <v>231</v>
      </c>
      <c r="C34" s="1" t="s">
        <v>232</v>
      </c>
      <c r="D34" s="1" t="s">
        <v>185</v>
      </c>
      <c r="E34" s="9">
        <v>118.851</v>
      </c>
      <c r="F34" s="1" t="s">
        <v>233</v>
      </c>
    </row>
    <row r="35" spans="1:6" ht="25" customHeight="1">
      <c r="A35" s="1"/>
      <c r="B35" s="1" t="s">
        <v>231</v>
      </c>
      <c r="C35" s="1" t="s">
        <v>232</v>
      </c>
      <c r="D35" s="1" t="s">
        <v>186</v>
      </c>
      <c r="E35" s="9">
        <v>119.114</v>
      </c>
      <c r="F35" s="1" t="s">
        <v>233</v>
      </c>
    </row>
    <row r="36" spans="1:6" ht="25" customHeight="1">
      <c r="A36" s="1"/>
      <c r="B36" s="1" t="s">
        <v>231</v>
      </c>
      <c r="C36" s="1" t="s">
        <v>232</v>
      </c>
      <c r="D36" s="1" t="s">
        <v>187</v>
      </c>
      <c r="E36" s="9">
        <v>119.57599999999999</v>
      </c>
      <c r="F36" s="1" t="s">
        <v>233</v>
      </c>
    </row>
    <row r="37" spans="1:6" ht="25" customHeight="1">
      <c r="A37" s="1"/>
      <c r="B37" s="1" t="s">
        <v>231</v>
      </c>
      <c r="C37" s="1" t="s">
        <v>232</v>
      </c>
      <c r="D37" s="1" t="s">
        <v>188</v>
      </c>
      <c r="E37" s="9">
        <v>120.187</v>
      </c>
      <c r="F37" s="1" t="s">
        <v>233</v>
      </c>
    </row>
    <row r="38" spans="1:6" ht="25" customHeight="1">
      <c r="A38" s="1"/>
      <c r="B38" s="1" t="s">
        <v>231</v>
      </c>
      <c r="C38" s="1" t="s">
        <v>232</v>
      </c>
      <c r="D38" s="1" t="s">
        <v>189</v>
      </c>
      <c r="E38" s="9">
        <v>120.54300000000001</v>
      </c>
      <c r="F38" s="1" t="s">
        <v>233</v>
      </c>
    </row>
    <row r="39" spans="1:6" ht="25" customHeight="1">
      <c r="A39" s="1"/>
      <c r="B39" s="1" t="s">
        <v>231</v>
      </c>
      <c r="C39" s="1" t="s">
        <v>232</v>
      </c>
      <c r="D39" s="1" t="s">
        <v>190</v>
      </c>
      <c r="E39" s="9">
        <v>120.70099999999999</v>
      </c>
      <c r="F39" s="1" t="s">
        <v>233</v>
      </c>
    </row>
    <row r="40" spans="1:6" ht="25" customHeight="1">
      <c r="A40" s="1"/>
      <c r="B40" s="1" t="s">
        <v>231</v>
      </c>
      <c r="C40" s="1" t="s">
        <v>232</v>
      </c>
      <c r="D40" s="1" t="s">
        <v>191</v>
      </c>
      <c r="E40" s="9">
        <v>120.32</v>
      </c>
      <c r="F40" s="1" t="s">
        <v>233</v>
      </c>
    </row>
    <row r="41" spans="1:6" ht="25" customHeight="1">
      <c r="A41" s="1"/>
      <c r="B41" s="1" t="s">
        <v>231</v>
      </c>
      <c r="C41" s="1" t="s">
        <v>232</v>
      </c>
      <c r="D41" s="1" t="s">
        <v>192</v>
      </c>
      <c r="E41" s="9">
        <v>120.267</v>
      </c>
      <c r="F41" s="1" t="s">
        <v>233</v>
      </c>
    </row>
    <row r="42" spans="1:6" ht="25" customHeight="1">
      <c r="A42" s="1"/>
      <c r="B42" s="1" t="s">
        <v>231</v>
      </c>
      <c r="C42" s="1" t="s">
        <v>232</v>
      </c>
      <c r="D42" s="1" t="s">
        <v>193</v>
      </c>
      <c r="E42" s="9">
        <v>121.133</v>
      </c>
      <c r="F42" s="1" t="s">
        <v>233</v>
      </c>
    </row>
    <row r="43" spans="1:6" ht="25" customHeight="1">
      <c r="A43" s="1"/>
      <c r="B43" s="1" t="s">
        <v>231</v>
      </c>
      <c r="C43" s="1" t="s">
        <v>232</v>
      </c>
      <c r="D43" s="1" t="s">
        <v>194</v>
      </c>
      <c r="E43" s="9">
        <v>121.53100000000001</v>
      </c>
      <c r="F43" s="1" t="s">
        <v>233</v>
      </c>
    </row>
    <row r="44" spans="1:6" ht="25" customHeight="1">
      <c r="A44" s="1"/>
      <c r="B44" s="1" t="s">
        <v>231</v>
      </c>
      <c r="C44" s="1" t="s">
        <v>232</v>
      </c>
      <c r="D44" s="1" t="s">
        <v>195</v>
      </c>
      <c r="E44" s="9">
        <v>121.81699999999999</v>
      </c>
      <c r="F44" s="1" t="s">
        <v>233</v>
      </c>
    </row>
    <row r="45" spans="1:6" ht="25" customHeight="1">
      <c r="A45" s="1"/>
      <c r="B45" s="1" t="s">
        <v>231</v>
      </c>
      <c r="C45" s="1" t="s">
        <v>232</v>
      </c>
      <c r="D45" s="1" t="s">
        <v>196</v>
      </c>
      <c r="E45" s="9">
        <v>121.976</v>
      </c>
      <c r="F45" s="1" t="s">
        <v>233</v>
      </c>
    </row>
    <row r="46" spans="1:6" ht="25" customHeight="1">
      <c r="A46" s="1"/>
      <c r="B46" s="1" t="s">
        <v>231</v>
      </c>
      <c r="C46" s="1" t="s">
        <v>232</v>
      </c>
      <c r="D46" s="1" t="s">
        <v>197</v>
      </c>
      <c r="E46" s="9">
        <v>121.6</v>
      </c>
      <c r="F46" s="1" t="s">
        <v>233</v>
      </c>
    </row>
    <row r="47" spans="1:6" ht="25" customHeight="1">
      <c r="A47" s="1"/>
      <c r="B47" s="1" t="s">
        <v>231</v>
      </c>
      <c r="C47" s="1" t="s">
        <v>232</v>
      </c>
      <c r="D47" s="1" t="s">
        <v>198</v>
      </c>
      <c r="E47" s="9">
        <v>121.16200000000001</v>
      </c>
      <c r="F47" s="1" t="s">
        <v>233</v>
      </c>
    </row>
    <row r="48" spans="1:6" ht="25" customHeight="1">
      <c r="A48" s="1"/>
      <c r="B48" s="1" t="s">
        <v>231</v>
      </c>
      <c r="C48" s="1" t="s">
        <v>232</v>
      </c>
      <c r="D48" s="1" t="s">
        <v>199</v>
      </c>
      <c r="E48" s="9">
        <v>121.907</v>
      </c>
      <c r="F48" s="1" t="s">
        <v>233</v>
      </c>
    </row>
    <row r="49" spans="1:6" ht="25" customHeight="1">
      <c r="A49" s="1"/>
      <c r="B49" s="1" t="s">
        <v>231</v>
      </c>
      <c r="C49" s="1" t="s">
        <v>232</v>
      </c>
      <c r="D49" s="1" t="s">
        <v>200</v>
      </c>
      <c r="E49" s="9">
        <v>120.66</v>
      </c>
      <c r="F49" s="1" t="s">
        <v>233</v>
      </c>
    </row>
    <row r="50" spans="1:6" ht="25" customHeight="1">
      <c r="A50" s="1"/>
      <c r="B50" s="1" t="s">
        <v>231</v>
      </c>
      <c r="C50" s="1" t="s">
        <v>232</v>
      </c>
      <c r="D50" s="1" t="s">
        <v>201</v>
      </c>
      <c r="E50" s="9">
        <v>121.376</v>
      </c>
      <c r="F50" s="1" t="s">
        <v>233</v>
      </c>
    </row>
    <row r="51" spans="1:6" ht="25" customHeight="1">
      <c r="A51" s="1"/>
      <c r="B51" s="1" t="s">
        <v>231</v>
      </c>
      <c r="C51" s="1" t="s">
        <v>232</v>
      </c>
      <c r="D51" s="1" t="s">
        <v>202</v>
      </c>
      <c r="E51" s="9">
        <v>121.604</v>
      </c>
      <c r="F51" s="1" t="s">
        <v>233</v>
      </c>
    </row>
    <row r="52" spans="1:6" ht="25" customHeight="1">
      <c r="A52" s="1"/>
      <c r="B52" s="1" t="s">
        <v>231</v>
      </c>
      <c r="C52" s="1" t="s">
        <v>232</v>
      </c>
      <c r="D52" s="1" t="s">
        <v>203</v>
      </c>
      <c r="E52" s="9">
        <v>122.386</v>
      </c>
      <c r="F52" s="1" t="s">
        <v>233</v>
      </c>
    </row>
    <row r="53" spans="1:6" ht="25" customHeight="1">
      <c r="A53" s="1"/>
      <c r="B53" s="1" t="s">
        <v>231</v>
      </c>
      <c r="C53" s="1" t="s">
        <v>232</v>
      </c>
      <c r="D53" s="1" t="s">
        <v>204</v>
      </c>
      <c r="E53" s="9">
        <v>121.154</v>
      </c>
      <c r="F53" s="1" t="s">
        <v>233</v>
      </c>
    </row>
    <row r="54" spans="1:6" ht="25" customHeight="1">
      <c r="A54" s="1"/>
      <c r="B54" s="1" t="s">
        <v>231</v>
      </c>
      <c r="C54" s="1" t="s">
        <v>232</v>
      </c>
      <c r="D54" s="1" t="s">
        <v>205</v>
      </c>
      <c r="E54" s="9">
        <v>121.291</v>
      </c>
      <c r="F54" s="1" t="s">
        <v>233</v>
      </c>
    </row>
    <row r="55" spans="1:6" ht="25" customHeight="1">
      <c r="A55" s="1"/>
      <c r="B55" s="1" t="s">
        <v>231</v>
      </c>
      <c r="C55" s="1" t="s">
        <v>232</v>
      </c>
      <c r="D55" s="1" t="s">
        <v>206</v>
      </c>
      <c r="E55" s="9">
        <v>123.193</v>
      </c>
      <c r="F55" s="1" t="s">
        <v>233</v>
      </c>
    </row>
    <row r="56" spans="1:6" ht="25" customHeight="1">
      <c r="A56" s="1"/>
      <c r="B56" s="1" t="s">
        <v>231</v>
      </c>
      <c r="C56" s="1" t="s">
        <v>232</v>
      </c>
      <c r="D56" s="1" t="s">
        <v>207</v>
      </c>
      <c r="E56" s="9">
        <v>123.04600000000001</v>
      </c>
      <c r="F56" s="1" t="s">
        <v>233</v>
      </c>
    </row>
    <row r="57" spans="1:6" ht="25" customHeight="1">
      <c r="A57" s="1"/>
      <c r="B57" s="1" t="s">
        <v>231</v>
      </c>
      <c r="C57" s="1" t="s">
        <v>232</v>
      </c>
      <c r="D57" s="1" t="s">
        <v>208</v>
      </c>
      <c r="E57" s="9">
        <v>122.681</v>
      </c>
      <c r="F57" s="1" t="s">
        <v>233</v>
      </c>
    </row>
    <row r="58" spans="1:6" ht="25" customHeight="1">
      <c r="A58" s="1"/>
      <c r="B58" s="1" t="s">
        <v>231</v>
      </c>
      <c r="C58" s="1" t="s">
        <v>232</v>
      </c>
      <c r="D58" s="1" t="s">
        <v>209</v>
      </c>
      <c r="E58" s="9">
        <v>123.149</v>
      </c>
      <c r="F58" s="1" t="s">
        <v>233</v>
      </c>
    </row>
    <row r="59" spans="1:6" ht="25" customHeight="1">
      <c r="A59" s="1"/>
      <c r="B59" s="1" t="s">
        <v>231</v>
      </c>
      <c r="C59" s="1" t="s">
        <v>232</v>
      </c>
      <c r="D59" s="1" t="s">
        <v>210</v>
      </c>
      <c r="E59" s="9">
        <v>122.08199999999999</v>
      </c>
      <c r="F59" s="1" t="s">
        <v>233</v>
      </c>
    </row>
    <row r="60" spans="1:6" ht="25" customHeight="1">
      <c r="A60" s="1"/>
      <c r="B60" s="1" t="s">
        <v>231</v>
      </c>
      <c r="C60" s="1" t="s">
        <v>232</v>
      </c>
      <c r="D60" s="1" t="s">
        <v>211</v>
      </c>
      <c r="E60" s="9">
        <v>122.26900000000001</v>
      </c>
      <c r="F60" s="1" t="s">
        <v>233</v>
      </c>
    </row>
    <row r="61" spans="1:6" ht="25" customHeight="1">
      <c r="A61" s="1"/>
      <c r="B61" s="1" t="s">
        <v>231</v>
      </c>
      <c r="C61" s="1" t="s">
        <v>232</v>
      </c>
      <c r="D61" s="1" t="s">
        <v>212</v>
      </c>
      <c r="E61" s="9">
        <v>122.858</v>
      </c>
      <c r="F61" s="1" t="s">
        <v>233</v>
      </c>
    </row>
    <row r="62" spans="1:6" ht="25" customHeight="1">
      <c r="A62" s="1"/>
      <c r="B62" s="1" t="s">
        <v>231</v>
      </c>
      <c r="C62" s="1" t="s">
        <v>232</v>
      </c>
      <c r="D62" s="1" t="s">
        <v>213</v>
      </c>
      <c r="E62" s="9">
        <v>124.066</v>
      </c>
      <c r="F62" s="1" t="s">
        <v>233</v>
      </c>
    </row>
    <row r="63" spans="1:6" ht="25" customHeight="1">
      <c r="A63" s="1"/>
      <c r="B63" s="1" t="s">
        <v>231</v>
      </c>
      <c r="C63" s="1" t="s">
        <v>232</v>
      </c>
      <c r="D63" s="1" t="s">
        <v>214</v>
      </c>
      <c r="E63" s="9"/>
      <c r="F63" s="1" t="s">
        <v>233</v>
      </c>
    </row>
    <row r="64" spans="1:6" ht="25" customHeight="1">
      <c r="A64" s="1"/>
      <c r="B64" s="1" t="s">
        <v>231</v>
      </c>
      <c r="C64" s="1" t="s">
        <v>232</v>
      </c>
      <c r="D64" s="1" t="s">
        <v>215</v>
      </c>
      <c r="E64" s="9">
        <v>124.059</v>
      </c>
      <c r="F64" s="1" t="s">
        <v>233</v>
      </c>
    </row>
    <row r="65" spans="1:6" ht="25" customHeight="1">
      <c r="A65" s="1"/>
      <c r="B65" s="1" t="s">
        <v>231</v>
      </c>
      <c r="C65" s="1" t="s">
        <v>232</v>
      </c>
      <c r="D65" s="1" t="s">
        <v>216</v>
      </c>
      <c r="E65" s="9">
        <v>124.018</v>
      </c>
      <c r="F65" s="1" t="s">
        <v>233</v>
      </c>
    </row>
    <row r="66" spans="1:6" ht="25" customHeight="1">
      <c r="A66" s="1"/>
      <c r="B66" s="1" t="s">
        <v>231</v>
      </c>
      <c r="C66" s="1" t="s">
        <v>232</v>
      </c>
      <c r="D66" s="1" t="s">
        <v>217</v>
      </c>
      <c r="E66" s="9">
        <v>124.31699999999999</v>
      </c>
      <c r="F66" s="1" t="s">
        <v>233</v>
      </c>
    </row>
    <row r="67" spans="1:6" ht="25" customHeight="1">
      <c r="A67" s="1"/>
      <c r="B67" s="1" t="s">
        <v>231</v>
      </c>
      <c r="C67" s="1" t="s">
        <v>232</v>
      </c>
      <c r="D67" s="1" t="s">
        <v>218</v>
      </c>
      <c r="E67" s="9">
        <v>125.749</v>
      </c>
      <c r="F67" s="1" t="s">
        <v>233</v>
      </c>
    </row>
    <row r="68" spans="1:6" ht="25" customHeight="1">
      <c r="A68" s="1"/>
      <c r="B68" s="1" t="s">
        <v>231</v>
      </c>
      <c r="C68" s="1" t="s">
        <v>232</v>
      </c>
      <c r="D68" s="1" t="s">
        <v>19</v>
      </c>
      <c r="E68" s="9">
        <v>126.21899999999999</v>
      </c>
      <c r="F68" s="1" t="s">
        <v>233</v>
      </c>
    </row>
    <row r="69" spans="1:6" ht="25" customHeight="1">
      <c r="A69" s="1"/>
      <c r="B69" s="1" t="s">
        <v>231</v>
      </c>
      <c r="C69" s="1" t="s">
        <v>232</v>
      </c>
      <c r="D69" s="1" t="s">
        <v>16</v>
      </c>
      <c r="E69" s="9">
        <v>126.078</v>
      </c>
      <c r="F69" s="1" t="s">
        <v>233</v>
      </c>
    </row>
    <row r="70" spans="1:6" ht="25" customHeight="1">
      <c r="A70" s="1"/>
      <c r="B70" s="1" t="s">
        <v>234</v>
      </c>
      <c r="C70" s="1" t="s">
        <v>235</v>
      </c>
      <c r="D70" s="1" t="s">
        <v>155</v>
      </c>
      <c r="E70" s="9">
        <v>179.952</v>
      </c>
      <c r="F70" s="1" t="s">
        <v>233</v>
      </c>
    </row>
    <row r="71" spans="1:6" ht="25" customHeight="1">
      <c r="A71" s="1"/>
      <c r="B71" s="1" t="s">
        <v>234</v>
      </c>
      <c r="C71" s="1" t="s">
        <v>235</v>
      </c>
      <c r="D71" s="1" t="s">
        <v>158</v>
      </c>
      <c r="E71" s="9">
        <v>180.49700000000001</v>
      </c>
      <c r="F71" s="1" t="s">
        <v>233</v>
      </c>
    </row>
    <row r="72" spans="1:6" ht="25" customHeight="1">
      <c r="A72" s="1"/>
      <c r="B72" s="1" t="s">
        <v>234</v>
      </c>
      <c r="C72" s="1" t="s">
        <v>235</v>
      </c>
      <c r="D72" s="1" t="s">
        <v>159</v>
      </c>
      <c r="E72" s="9">
        <v>180.006</v>
      </c>
      <c r="F72" s="1" t="s">
        <v>233</v>
      </c>
    </row>
    <row r="73" spans="1:6" ht="25" customHeight="1">
      <c r="A73" s="1"/>
      <c r="B73" s="1" t="s">
        <v>234</v>
      </c>
      <c r="C73" s="1" t="s">
        <v>235</v>
      </c>
      <c r="D73" s="1" t="s">
        <v>160</v>
      </c>
      <c r="E73" s="9">
        <v>180.28899999999999</v>
      </c>
      <c r="F73" s="1" t="s">
        <v>233</v>
      </c>
    </row>
    <row r="74" spans="1:6" ht="25" customHeight="1">
      <c r="A74" s="1"/>
      <c r="B74" s="1" t="s">
        <v>234</v>
      </c>
      <c r="C74" s="1" t="s">
        <v>235</v>
      </c>
      <c r="D74" s="1" t="s">
        <v>161</v>
      </c>
      <c r="E74" s="9">
        <v>178.22200000000001</v>
      </c>
      <c r="F74" s="1" t="s">
        <v>233</v>
      </c>
    </row>
    <row r="75" spans="1:6" ht="25" customHeight="1">
      <c r="A75" s="1"/>
      <c r="B75" s="1" t="s">
        <v>234</v>
      </c>
      <c r="C75" s="1" t="s">
        <v>235</v>
      </c>
      <c r="D75" s="1" t="s">
        <v>162</v>
      </c>
      <c r="E75" s="9">
        <v>178.072</v>
      </c>
      <c r="F75" s="1" t="s">
        <v>233</v>
      </c>
    </row>
    <row r="76" spans="1:6" ht="25" customHeight="1">
      <c r="A76" s="1"/>
      <c r="B76" s="1" t="s">
        <v>234</v>
      </c>
      <c r="C76" s="1" t="s">
        <v>235</v>
      </c>
      <c r="D76" s="1" t="s">
        <v>163</v>
      </c>
      <c r="E76" s="9">
        <v>176.20699999999999</v>
      </c>
      <c r="F76" s="1" t="s">
        <v>233</v>
      </c>
    </row>
    <row r="77" spans="1:6" ht="25" customHeight="1">
      <c r="A77" s="1"/>
      <c r="B77" s="1" t="s">
        <v>234</v>
      </c>
      <c r="C77" s="1" t="s">
        <v>235</v>
      </c>
      <c r="D77" s="1" t="s">
        <v>164</v>
      </c>
      <c r="E77" s="9">
        <v>178.55600000000001</v>
      </c>
      <c r="F77" s="1" t="s">
        <v>233</v>
      </c>
    </row>
    <row r="78" spans="1:6" ht="25" customHeight="1">
      <c r="A78" s="1"/>
      <c r="B78" s="1" t="s">
        <v>234</v>
      </c>
      <c r="C78" s="1" t="s">
        <v>235</v>
      </c>
      <c r="D78" s="1" t="s">
        <v>165</v>
      </c>
      <c r="E78" s="9">
        <v>178.72</v>
      </c>
      <c r="F78" s="1" t="s">
        <v>233</v>
      </c>
    </row>
    <row r="79" spans="1:6" ht="25" customHeight="1">
      <c r="A79" s="1"/>
      <c r="B79" s="1" t="s">
        <v>234</v>
      </c>
      <c r="C79" s="1" t="s">
        <v>235</v>
      </c>
      <c r="D79" s="1" t="s">
        <v>166</v>
      </c>
      <c r="E79" s="9">
        <v>178.309</v>
      </c>
      <c r="F79" s="1" t="s">
        <v>233</v>
      </c>
    </row>
    <row r="80" spans="1:6" ht="25" customHeight="1">
      <c r="A80" s="1"/>
      <c r="B80" s="1" t="s">
        <v>234</v>
      </c>
      <c r="C80" s="1" t="s">
        <v>235</v>
      </c>
      <c r="D80" s="1" t="s">
        <v>167</v>
      </c>
      <c r="E80" s="9">
        <v>176.97800000000001</v>
      </c>
      <c r="F80" s="1" t="s">
        <v>233</v>
      </c>
    </row>
    <row r="81" spans="1:6" ht="25" customHeight="1">
      <c r="A81" s="1"/>
      <c r="B81" s="1" t="s">
        <v>234</v>
      </c>
      <c r="C81" s="1" t="s">
        <v>235</v>
      </c>
      <c r="D81" s="1" t="s">
        <v>168</v>
      </c>
      <c r="E81" s="9">
        <v>176.24299999999999</v>
      </c>
      <c r="F81" s="1" t="s">
        <v>233</v>
      </c>
    </row>
    <row r="82" spans="1:6" ht="25" customHeight="1">
      <c r="A82" s="1"/>
      <c r="B82" s="1" t="s">
        <v>234</v>
      </c>
      <c r="C82" s="1" t="s">
        <v>235</v>
      </c>
      <c r="D82" s="1" t="s">
        <v>169</v>
      </c>
      <c r="E82" s="9">
        <v>176.81700000000001</v>
      </c>
      <c r="F82" s="1" t="s">
        <v>233</v>
      </c>
    </row>
    <row r="83" spans="1:6" ht="25" customHeight="1">
      <c r="A83" s="1"/>
      <c r="B83" s="1" t="s">
        <v>234</v>
      </c>
      <c r="C83" s="1" t="s">
        <v>235</v>
      </c>
      <c r="D83" s="1" t="s">
        <v>170</v>
      </c>
      <c r="E83" s="9">
        <v>178.89099999999999</v>
      </c>
      <c r="F83" s="1" t="s">
        <v>233</v>
      </c>
    </row>
    <row r="84" spans="1:6" ht="25" customHeight="1">
      <c r="A84" s="1"/>
      <c r="B84" s="1" t="s">
        <v>234</v>
      </c>
      <c r="C84" s="1" t="s">
        <v>235</v>
      </c>
      <c r="D84" s="1" t="s">
        <v>171</v>
      </c>
      <c r="E84" s="9">
        <v>180.642</v>
      </c>
      <c r="F84" s="1" t="s">
        <v>233</v>
      </c>
    </row>
    <row r="85" spans="1:6" ht="25" customHeight="1">
      <c r="A85" s="1"/>
      <c r="B85" s="1" t="s">
        <v>234</v>
      </c>
      <c r="C85" s="1" t="s">
        <v>235</v>
      </c>
      <c r="D85" s="1" t="s">
        <v>172</v>
      </c>
      <c r="E85" s="9">
        <v>179.464</v>
      </c>
      <c r="F85" s="1" t="s">
        <v>233</v>
      </c>
    </row>
    <row r="86" spans="1:6" ht="25" customHeight="1">
      <c r="A86" s="1"/>
      <c r="B86" s="1" t="s">
        <v>234</v>
      </c>
      <c r="C86" s="1" t="s">
        <v>235</v>
      </c>
      <c r="D86" s="1" t="s">
        <v>173</v>
      </c>
      <c r="E86" s="9">
        <v>180.083</v>
      </c>
      <c r="F86" s="1" t="s">
        <v>233</v>
      </c>
    </row>
    <row r="87" spans="1:6" ht="25" customHeight="1">
      <c r="A87" s="1"/>
      <c r="B87" s="1" t="s">
        <v>234</v>
      </c>
      <c r="C87" s="1" t="s">
        <v>235</v>
      </c>
      <c r="D87" s="1" t="s">
        <v>174</v>
      </c>
      <c r="E87" s="9">
        <v>180.43700000000001</v>
      </c>
      <c r="F87" s="1" t="s">
        <v>233</v>
      </c>
    </row>
    <row r="88" spans="1:6" ht="25" customHeight="1">
      <c r="A88" s="1"/>
      <c r="B88" s="1" t="s">
        <v>234</v>
      </c>
      <c r="C88" s="1" t="s">
        <v>235</v>
      </c>
      <c r="D88" s="1" t="s">
        <v>175</v>
      </c>
      <c r="E88" s="9">
        <v>181.816</v>
      </c>
      <c r="F88" s="1" t="s">
        <v>233</v>
      </c>
    </row>
    <row r="89" spans="1:6" ht="25" customHeight="1">
      <c r="A89" s="1"/>
      <c r="B89" s="1" t="s">
        <v>234</v>
      </c>
      <c r="C89" s="1" t="s">
        <v>235</v>
      </c>
      <c r="D89" s="1" t="s">
        <v>176</v>
      </c>
      <c r="E89" s="9">
        <v>186.04300000000001</v>
      </c>
      <c r="F89" s="1" t="s">
        <v>233</v>
      </c>
    </row>
    <row r="90" spans="1:6" ht="25" customHeight="1">
      <c r="A90" s="1"/>
      <c r="B90" s="1" t="s">
        <v>234</v>
      </c>
      <c r="C90" s="1" t="s">
        <v>235</v>
      </c>
      <c r="D90" s="1" t="s">
        <v>177</v>
      </c>
      <c r="E90" s="9">
        <v>186.80500000000001</v>
      </c>
      <c r="F90" s="1" t="s">
        <v>233</v>
      </c>
    </row>
    <row r="91" spans="1:6" ht="25" customHeight="1">
      <c r="A91" s="1"/>
      <c r="B91" s="1" t="s">
        <v>234</v>
      </c>
      <c r="C91" s="1" t="s">
        <v>235</v>
      </c>
      <c r="D91" s="1" t="s">
        <v>178</v>
      </c>
      <c r="E91" s="9">
        <v>186.81100000000001</v>
      </c>
      <c r="F91" s="1" t="s">
        <v>233</v>
      </c>
    </row>
    <row r="92" spans="1:6" ht="25" customHeight="1">
      <c r="A92" s="1"/>
      <c r="B92" s="1" t="s">
        <v>234</v>
      </c>
      <c r="C92" s="1" t="s">
        <v>235</v>
      </c>
      <c r="D92" s="1" t="s">
        <v>179</v>
      </c>
      <c r="E92" s="9">
        <v>186.524</v>
      </c>
      <c r="F92" s="1" t="s">
        <v>233</v>
      </c>
    </row>
    <row r="93" spans="1:6" ht="25" customHeight="1">
      <c r="A93" s="1"/>
      <c r="B93" s="1" t="s">
        <v>234</v>
      </c>
      <c r="C93" s="1" t="s">
        <v>235</v>
      </c>
      <c r="D93" s="1" t="s">
        <v>180</v>
      </c>
      <c r="E93" s="9">
        <v>185.06899999999999</v>
      </c>
      <c r="F93" s="1" t="s">
        <v>233</v>
      </c>
    </row>
    <row r="94" spans="1:6" ht="25" customHeight="1">
      <c r="A94" s="1"/>
      <c r="B94" s="1" t="s">
        <v>234</v>
      </c>
      <c r="C94" s="1" t="s">
        <v>235</v>
      </c>
      <c r="D94" s="1" t="s">
        <v>181</v>
      </c>
      <c r="E94" s="9">
        <v>186.935</v>
      </c>
      <c r="F94" s="1" t="s">
        <v>233</v>
      </c>
    </row>
    <row r="95" spans="1:6" ht="25" customHeight="1">
      <c r="A95" s="1"/>
      <c r="B95" s="1" t="s">
        <v>234</v>
      </c>
      <c r="C95" s="1" t="s">
        <v>235</v>
      </c>
      <c r="D95" s="1" t="s">
        <v>182</v>
      </c>
      <c r="E95" s="9">
        <v>187.494</v>
      </c>
      <c r="F95" s="1" t="s">
        <v>233</v>
      </c>
    </row>
    <row r="96" spans="1:6" ht="25" customHeight="1">
      <c r="A96" s="1"/>
      <c r="B96" s="1" t="s">
        <v>234</v>
      </c>
      <c r="C96" s="1" t="s">
        <v>235</v>
      </c>
      <c r="D96" s="1" t="s">
        <v>183</v>
      </c>
      <c r="E96" s="9">
        <v>188.15799999999999</v>
      </c>
      <c r="F96" s="1" t="s">
        <v>233</v>
      </c>
    </row>
    <row r="97" spans="1:6" ht="25" customHeight="1">
      <c r="A97" s="1"/>
      <c r="B97" s="1" t="s">
        <v>234</v>
      </c>
      <c r="C97" s="1" t="s">
        <v>235</v>
      </c>
      <c r="D97" s="1" t="s">
        <v>184</v>
      </c>
      <c r="E97" s="9">
        <v>188.64699999999999</v>
      </c>
      <c r="F97" s="1" t="s">
        <v>233</v>
      </c>
    </row>
    <row r="98" spans="1:6" ht="25" customHeight="1">
      <c r="A98" s="1"/>
      <c r="B98" s="1" t="s">
        <v>234</v>
      </c>
      <c r="C98" s="1" t="s">
        <v>235</v>
      </c>
      <c r="D98" s="1" t="s">
        <v>185</v>
      </c>
      <c r="E98" s="9">
        <v>189.54900000000001</v>
      </c>
      <c r="F98" s="1" t="s">
        <v>233</v>
      </c>
    </row>
    <row r="99" spans="1:6" ht="25" customHeight="1">
      <c r="A99" s="1"/>
      <c r="B99" s="1" t="s">
        <v>234</v>
      </c>
      <c r="C99" s="1" t="s">
        <v>235</v>
      </c>
      <c r="D99" s="1" t="s">
        <v>186</v>
      </c>
      <c r="E99" s="9">
        <v>189.93700000000001</v>
      </c>
      <c r="F99" s="1" t="s">
        <v>233</v>
      </c>
    </row>
    <row r="100" spans="1:6" ht="25" customHeight="1">
      <c r="A100" s="1"/>
      <c r="B100" s="1" t="s">
        <v>234</v>
      </c>
      <c r="C100" s="1" t="s">
        <v>235</v>
      </c>
      <c r="D100" s="1" t="s">
        <v>187</v>
      </c>
      <c r="E100" s="9">
        <v>190.99600000000001</v>
      </c>
      <c r="F100" s="1" t="s">
        <v>233</v>
      </c>
    </row>
    <row r="101" spans="1:6" ht="25" customHeight="1">
      <c r="A101" s="1"/>
      <c r="B101" s="1" t="s">
        <v>234</v>
      </c>
      <c r="C101" s="1" t="s">
        <v>235</v>
      </c>
      <c r="D101" s="1" t="s">
        <v>188</v>
      </c>
      <c r="E101" s="9">
        <v>190.97800000000001</v>
      </c>
      <c r="F101" s="1" t="s">
        <v>233</v>
      </c>
    </row>
    <row r="102" spans="1:6" ht="25" customHeight="1">
      <c r="A102" s="1"/>
      <c r="B102" s="1" t="s">
        <v>234</v>
      </c>
      <c r="C102" s="1" t="s">
        <v>235</v>
      </c>
      <c r="D102" s="1" t="s">
        <v>189</v>
      </c>
      <c r="E102" s="9">
        <v>192.05699999999999</v>
      </c>
      <c r="F102" s="1" t="s">
        <v>233</v>
      </c>
    </row>
    <row r="103" spans="1:6" ht="25" customHeight="1">
      <c r="A103" s="1"/>
      <c r="B103" s="1" t="s">
        <v>234</v>
      </c>
      <c r="C103" s="1" t="s">
        <v>235</v>
      </c>
      <c r="D103" s="1" t="s">
        <v>190</v>
      </c>
      <c r="E103" s="9">
        <v>193.47200000000001</v>
      </c>
      <c r="F103" s="1" t="s">
        <v>233</v>
      </c>
    </row>
    <row r="104" spans="1:6" ht="25" customHeight="1">
      <c r="A104" s="1"/>
      <c r="B104" s="1" t="s">
        <v>234</v>
      </c>
      <c r="C104" s="1" t="s">
        <v>235</v>
      </c>
      <c r="D104" s="1" t="s">
        <v>191</v>
      </c>
      <c r="E104" s="9">
        <v>191.709</v>
      </c>
      <c r="F104" s="1" t="s">
        <v>233</v>
      </c>
    </row>
    <row r="105" spans="1:6" ht="25" customHeight="1">
      <c r="A105" s="1"/>
      <c r="B105" s="1" t="s">
        <v>234</v>
      </c>
      <c r="C105" s="1" t="s">
        <v>235</v>
      </c>
      <c r="D105" s="1" t="s">
        <v>192</v>
      </c>
      <c r="E105" s="9">
        <v>187.34899999999999</v>
      </c>
      <c r="F105" s="1" t="s">
        <v>233</v>
      </c>
    </row>
    <row r="106" spans="1:6" ht="25" customHeight="1">
      <c r="A106" s="1"/>
      <c r="B106" s="1" t="s">
        <v>234</v>
      </c>
      <c r="C106" s="1" t="s">
        <v>235</v>
      </c>
      <c r="D106" s="1" t="s">
        <v>193</v>
      </c>
      <c r="E106" s="9">
        <v>187.892</v>
      </c>
      <c r="F106" s="1" t="s">
        <v>233</v>
      </c>
    </row>
    <row r="107" spans="1:6" ht="25" customHeight="1">
      <c r="A107" s="1"/>
      <c r="B107" s="1" t="s">
        <v>234</v>
      </c>
      <c r="C107" s="1" t="s">
        <v>235</v>
      </c>
      <c r="D107" s="1" t="s">
        <v>194</v>
      </c>
      <c r="E107" s="9">
        <v>191.22200000000001</v>
      </c>
      <c r="F107" s="1" t="s">
        <v>233</v>
      </c>
    </row>
    <row r="108" spans="1:6" ht="25" customHeight="1">
      <c r="A108" s="1"/>
      <c r="B108" s="1" t="s">
        <v>234</v>
      </c>
      <c r="C108" s="1" t="s">
        <v>235</v>
      </c>
      <c r="D108" s="1" t="s">
        <v>195</v>
      </c>
      <c r="E108" s="9">
        <v>191.607</v>
      </c>
      <c r="F108" s="1" t="s">
        <v>233</v>
      </c>
    </row>
    <row r="109" spans="1:6" ht="25" customHeight="1">
      <c r="A109" s="1"/>
      <c r="B109" s="1" t="s">
        <v>234</v>
      </c>
      <c r="C109" s="1" t="s">
        <v>235</v>
      </c>
      <c r="D109" s="1" t="s">
        <v>196</v>
      </c>
      <c r="E109" s="9">
        <v>190.31899999999999</v>
      </c>
      <c r="F109" s="1" t="s">
        <v>233</v>
      </c>
    </row>
    <row r="110" spans="1:6" ht="25" customHeight="1">
      <c r="A110" s="1"/>
      <c r="B110" s="1" t="s">
        <v>234</v>
      </c>
      <c r="C110" s="1" t="s">
        <v>235</v>
      </c>
      <c r="D110" s="1" t="s">
        <v>197</v>
      </c>
      <c r="E110" s="9">
        <v>189.98400000000001</v>
      </c>
      <c r="F110" s="1" t="s">
        <v>233</v>
      </c>
    </row>
    <row r="111" spans="1:6" ht="25" customHeight="1">
      <c r="A111" s="1"/>
      <c r="B111" s="1" t="s">
        <v>234</v>
      </c>
      <c r="C111" s="1" t="s">
        <v>235</v>
      </c>
      <c r="D111" s="1" t="s">
        <v>198</v>
      </c>
      <c r="E111" s="9">
        <v>190.42099999999999</v>
      </c>
      <c r="F111" s="1" t="s">
        <v>233</v>
      </c>
    </row>
    <row r="112" spans="1:6" ht="25" customHeight="1">
      <c r="A112" s="1"/>
      <c r="B112" s="1" t="s">
        <v>234</v>
      </c>
      <c r="C112" s="1" t="s">
        <v>235</v>
      </c>
      <c r="D112" s="1" t="s">
        <v>199</v>
      </c>
      <c r="E112" s="9">
        <v>189.982</v>
      </c>
      <c r="F112" s="1" t="s">
        <v>233</v>
      </c>
    </row>
    <row r="113" spans="1:6" ht="25" customHeight="1">
      <c r="A113" s="1"/>
      <c r="B113" s="1" t="s">
        <v>234</v>
      </c>
      <c r="C113" s="1" t="s">
        <v>235</v>
      </c>
      <c r="D113" s="1" t="s">
        <v>200</v>
      </c>
      <c r="E113" s="9">
        <v>190.81200000000001</v>
      </c>
      <c r="F113" s="1" t="s">
        <v>233</v>
      </c>
    </row>
    <row r="114" spans="1:6" ht="25" customHeight="1">
      <c r="A114" s="1"/>
      <c r="B114" s="1" t="s">
        <v>234</v>
      </c>
      <c r="C114" s="1" t="s">
        <v>235</v>
      </c>
      <c r="D114" s="1" t="s">
        <v>201</v>
      </c>
      <c r="E114" s="9">
        <v>191.10499999999999</v>
      </c>
      <c r="F114" s="1" t="s">
        <v>233</v>
      </c>
    </row>
    <row r="115" spans="1:6" ht="25" customHeight="1">
      <c r="A115" s="1"/>
      <c r="B115" s="1" t="s">
        <v>234</v>
      </c>
      <c r="C115" s="1" t="s">
        <v>235</v>
      </c>
      <c r="D115" s="1" t="s">
        <v>202</v>
      </c>
      <c r="E115" s="9">
        <v>191.81299999999999</v>
      </c>
      <c r="F115" s="1" t="s">
        <v>233</v>
      </c>
    </row>
    <row r="116" spans="1:6" ht="25" customHeight="1">
      <c r="A116" s="1"/>
      <c r="B116" s="1" t="s">
        <v>234</v>
      </c>
      <c r="C116" s="1" t="s">
        <v>235</v>
      </c>
      <c r="D116" s="1" t="s">
        <v>203</v>
      </c>
      <c r="E116" s="9">
        <v>189.988</v>
      </c>
      <c r="F116" s="1" t="s">
        <v>233</v>
      </c>
    </row>
    <row r="117" spans="1:6" ht="25" customHeight="1">
      <c r="A117" s="1"/>
      <c r="B117" s="1" t="s">
        <v>234</v>
      </c>
      <c r="C117" s="1" t="s">
        <v>235</v>
      </c>
      <c r="D117" s="1" t="s">
        <v>204</v>
      </c>
      <c r="E117" s="9">
        <v>187.81899999999999</v>
      </c>
      <c r="F117" s="1" t="s">
        <v>233</v>
      </c>
    </row>
    <row r="118" spans="1:6" ht="25" customHeight="1">
      <c r="A118" s="1"/>
      <c r="B118" s="1" t="s">
        <v>234</v>
      </c>
      <c r="C118" s="1" t="s">
        <v>235</v>
      </c>
      <c r="D118" s="1" t="s">
        <v>205</v>
      </c>
      <c r="E118" s="9">
        <v>189.029</v>
      </c>
      <c r="F118" s="1" t="s">
        <v>233</v>
      </c>
    </row>
    <row r="119" spans="1:6" ht="25" customHeight="1">
      <c r="A119" s="1"/>
      <c r="B119" s="1" t="s">
        <v>234</v>
      </c>
      <c r="C119" s="1" t="s">
        <v>235</v>
      </c>
      <c r="D119" s="1" t="s">
        <v>206</v>
      </c>
      <c r="E119" s="9">
        <v>189.62700000000001</v>
      </c>
      <c r="F119" s="1" t="s">
        <v>233</v>
      </c>
    </row>
    <row r="120" spans="1:6" ht="25" customHeight="1">
      <c r="A120" s="1"/>
      <c r="B120" s="1" t="s">
        <v>234</v>
      </c>
      <c r="C120" s="1" t="s">
        <v>235</v>
      </c>
      <c r="D120" s="1" t="s">
        <v>207</v>
      </c>
      <c r="E120" s="9">
        <v>189.666</v>
      </c>
      <c r="F120" s="1" t="s">
        <v>233</v>
      </c>
    </row>
    <row r="121" spans="1:6" ht="25" customHeight="1">
      <c r="A121" s="1"/>
      <c r="B121" s="1" t="s">
        <v>234</v>
      </c>
      <c r="C121" s="1" t="s">
        <v>235</v>
      </c>
      <c r="D121" s="1" t="s">
        <v>208</v>
      </c>
      <c r="E121" s="9">
        <v>190.631</v>
      </c>
      <c r="F121" s="1" t="s">
        <v>233</v>
      </c>
    </row>
    <row r="122" spans="1:6" ht="25" customHeight="1">
      <c r="A122" s="1"/>
      <c r="B122" s="1" t="s">
        <v>234</v>
      </c>
      <c r="C122" s="1" t="s">
        <v>235</v>
      </c>
      <c r="D122" s="1" t="s">
        <v>209</v>
      </c>
      <c r="E122" s="9">
        <v>189.399</v>
      </c>
      <c r="F122" s="1" t="s">
        <v>233</v>
      </c>
    </row>
    <row r="123" spans="1:6" ht="25" customHeight="1">
      <c r="A123" s="1"/>
      <c r="B123" s="1" t="s">
        <v>234</v>
      </c>
      <c r="C123" s="1" t="s">
        <v>235</v>
      </c>
      <c r="D123" s="1" t="s">
        <v>210</v>
      </c>
      <c r="E123" s="9">
        <v>191.072</v>
      </c>
      <c r="F123" s="1" t="s">
        <v>233</v>
      </c>
    </row>
    <row r="124" spans="1:6" ht="25" customHeight="1">
      <c r="A124" s="1"/>
      <c r="B124" s="1" t="s">
        <v>234</v>
      </c>
      <c r="C124" s="1" t="s">
        <v>235</v>
      </c>
      <c r="D124" s="1" t="s">
        <v>211</v>
      </c>
      <c r="E124" s="9">
        <v>190.71700000000001</v>
      </c>
      <c r="F124" s="1" t="s">
        <v>233</v>
      </c>
    </row>
    <row r="125" spans="1:6" ht="25" customHeight="1">
      <c r="A125" s="1"/>
      <c r="B125" s="1" t="s">
        <v>234</v>
      </c>
      <c r="C125" s="1" t="s">
        <v>235</v>
      </c>
      <c r="D125" s="1" t="s">
        <v>212</v>
      </c>
      <c r="E125" s="9">
        <v>191.36699999999999</v>
      </c>
      <c r="F125" s="1" t="s">
        <v>233</v>
      </c>
    </row>
    <row r="126" spans="1:6" ht="25" customHeight="1">
      <c r="A126" s="1"/>
      <c r="B126" s="1" t="s">
        <v>234</v>
      </c>
      <c r="C126" s="1" t="s">
        <v>235</v>
      </c>
      <c r="D126" s="1" t="s">
        <v>213</v>
      </c>
      <c r="E126" s="9">
        <v>192.36799999999999</v>
      </c>
      <c r="F126" s="1" t="s">
        <v>233</v>
      </c>
    </row>
    <row r="127" spans="1:6" ht="25" customHeight="1">
      <c r="A127" s="1"/>
      <c r="B127" s="1" t="s">
        <v>234</v>
      </c>
      <c r="C127" s="1" t="s">
        <v>235</v>
      </c>
      <c r="D127" s="1" t="s">
        <v>214</v>
      </c>
      <c r="E127" s="9"/>
      <c r="F127" s="1" t="s">
        <v>233</v>
      </c>
    </row>
    <row r="128" spans="1:6" ht="25" customHeight="1">
      <c r="A128" s="1"/>
      <c r="B128" s="1" t="s">
        <v>234</v>
      </c>
      <c r="C128" s="1" t="s">
        <v>235</v>
      </c>
      <c r="D128" s="1" t="s">
        <v>215</v>
      </c>
      <c r="E128" s="9">
        <v>190.30699999999999</v>
      </c>
      <c r="F128" s="1" t="s">
        <v>233</v>
      </c>
    </row>
    <row r="129" spans="1:6" ht="25" customHeight="1">
      <c r="A129" s="1"/>
      <c r="B129" s="1" t="s">
        <v>234</v>
      </c>
      <c r="C129" s="1" t="s">
        <v>235</v>
      </c>
      <c r="D129" s="1" t="s">
        <v>216</v>
      </c>
      <c r="E129" s="9">
        <v>189.36</v>
      </c>
      <c r="F129" s="1" t="s">
        <v>233</v>
      </c>
    </row>
    <row r="130" spans="1:6" ht="25" customHeight="1">
      <c r="A130" s="1"/>
      <c r="B130" s="1" t="s">
        <v>234</v>
      </c>
      <c r="C130" s="1" t="s">
        <v>235</v>
      </c>
      <c r="D130" s="1" t="s">
        <v>217</v>
      </c>
      <c r="E130" s="9">
        <v>191.697</v>
      </c>
      <c r="F130" s="1" t="s">
        <v>233</v>
      </c>
    </row>
    <row r="131" spans="1:6" ht="25" customHeight="1">
      <c r="A131" s="1"/>
      <c r="B131" s="1" t="s">
        <v>234</v>
      </c>
      <c r="C131" s="1" t="s">
        <v>235</v>
      </c>
      <c r="D131" s="1" t="s">
        <v>218</v>
      </c>
      <c r="E131" s="9">
        <v>192.404</v>
      </c>
      <c r="F131" s="1" t="s">
        <v>233</v>
      </c>
    </row>
    <row r="132" spans="1:6" ht="25" customHeight="1">
      <c r="A132" s="1"/>
      <c r="B132" s="1" t="s">
        <v>234</v>
      </c>
      <c r="C132" s="1" t="s">
        <v>235</v>
      </c>
      <c r="D132" s="1" t="s">
        <v>19</v>
      </c>
      <c r="E132" s="9">
        <v>193.37299999999999</v>
      </c>
      <c r="F132" s="1" t="s">
        <v>233</v>
      </c>
    </row>
    <row r="133" spans="1:6" ht="25" customHeight="1">
      <c r="A133" s="1"/>
      <c r="B133" s="1" t="s">
        <v>234</v>
      </c>
      <c r="C133" s="1" t="s">
        <v>235</v>
      </c>
      <c r="D133" s="1" t="s">
        <v>16</v>
      </c>
      <c r="E133" s="9">
        <v>195.91300000000001</v>
      </c>
      <c r="F133" s="1" t="s">
        <v>233</v>
      </c>
    </row>
    <row r="134" spans="1:6" ht="25" customHeight="1">
      <c r="A134" s="1"/>
      <c r="B134" s="1" t="s">
        <v>236</v>
      </c>
      <c r="C134" s="1" t="s">
        <v>237</v>
      </c>
      <c r="D134" s="1" t="s">
        <v>155</v>
      </c>
      <c r="E134" s="9">
        <v>128.55099999999999</v>
      </c>
      <c r="F134" s="1" t="s">
        <v>233</v>
      </c>
    </row>
    <row r="135" spans="1:6" ht="25" customHeight="1">
      <c r="A135" s="1"/>
      <c r="B135" s="1" t="s">
        <v>236</v>
      </c>
      <c r="C135" s="1" t="s">
        <v>237</v>
      </c>
      <c r="D135" s="1" t="s">
        <v>158</v>
      </c>
      <c r="E135" s="9">
        <v>127.84699999999999</v>
      </c>
      <c r="F135" s="1" t="s">
        <v>233</v>
      </c>
    </row>
    <row r="136" spans="1:6" ht="25" customHeight="1">
      <c r="A136" s="1"/>
      <c r="B136" s="1" t="s">
        <v>236</v>
      </c>
      <c r="C136" s="1" t="s">
        <v>237</v>
      </c>
      <c r="D136" s="1" t="s">
        <v>159</v>
      </c>
      <c r="E136" s="9">
        <v>125.94199999999999</v>
      </c>
      <c r="F136" s="1" t="s">
        <v>233</v>
      </c>
    </row>
    <row r="137" spans="1:6" ht="25" customHeight="1">
      <c r="A137" s="1"/>
      <c r="B137" s="1" t="s">
        <v>236</v>
      </c>
      <c r="C137" s="1" t="s">
        <v>237</v>
      </c>
      <c r="D137" s="1" t="s">
        <v>160</v>
      </c>
      <c r="E137" s="9">
        <v>126.44199999999999</v>
      </c>
      <c r="F137" s="1" t="s">
        <v>233</v>
      </c>
    </row>
    <row r="138" spans="1:6" ht="25" customHeight="1">
      <c r="A138" s="1"/>
      <c r="B138" s="1" t="s">
        <v>236</v>
      </c>
      <c r="C138" s="1" t="s">
        <v>237</v>
      </c>
      <c r="D138" s="1" t="s">
        <v>161</v>
      </c>
      <c r="E138" s="9">
        <v>126.961</v>
      </c>
      <c r="F138" s="1" t="s">
        <v>233</v>
      </c>
    </row>
    <row r="139" spans="1:6" ht="25" customHeight="1">
      <c r="A139" s="1"/>
      <c r="B139" s="1" t="s">
        <v>236</v>
      </c>
      <c r="C139" s="1" t="s">
        <v>237</v>
      </c>
      <c r="D139" s="1" t="s">
        <v>162</v>
      </c>
      <c r="E139" s="9">
        <v>125.977</v>
      </c>
      <c r="F139" s="1" t="s">
        <v>233</v>
      </c>
    </row>
    <row r="140" spans="1:6" ht="25" customHeight="1">
      <c r="A140" s="1"/>
      <c r="B140" s="1" t="s">
        <v>236</v>
      </c>
      <c r="C140" s="1" t="s">
        <v>237</v>
      </c>
      <c r="D140" s="1" t="s">
        <v>163</v>
      </c>
      <c r="E140" s="9">
        <v>127.03100000000001</v>
      </c>
      <c r="F140" s="1" t="s">
        <v>233</v>
      </c>
    </row>
    <row r="141" spans="1:6" ht="25" customHeight="1">
      <c r="A141" s="1"/>
      <c r="B141" s="1" t="s">
        <v>236</v>
      </c>
      <c r="C141" s="1" t="s">
        <v>237</v>
      </c>
      <c r="D141" s="1" t="s">
        <v>164</v>
      </c>
      <c r="E141" s="9">
        <v>128.00800000000001</v>
      </c>
      <c r="F141" s="1" t="s">
        <v>233</v>
      </c>
    </row>
    <row r="142" spans="1:6" ht="25" customHeight="1">
      <c r="A142" s="1"/>
      <c r="B142" s="1" t="s">
        <v>236</v>
      </c>
      <c r="C142" s="1" t="s">
        <v>237</v>
      </c>
      <c r="D142" s="1" t="s">
        <v>165</v>
      </c>
      <c r="E142" s="9">
        <v>127.449</v>
      </c>
      <c r="F142" s="1" t="s">
        <v>233</v>
      </c>
    </row>
    <row r="143" spans="1:6" ht="25" customHeight="1">
      <c r="A143" s="1"/>
      <c r="B143" s="1" t="s">
        <v>236</v>
      </c>
      <c r="C143" s="1" t="s">
        <v>237</v>
      </c>
      <c r="D143" s="1" t="s">
        <v>166</v>
      </c>
      <c r="E143" s="9">
        <v>128.10900000000001</v>
      </c>
      <c r="F143" s="1" t="s">
        <v>233</v>
      </c>
    </row>
    <row r="144" spans="1:6" ht="25" customHeight="1">
      <c r="A144" s="1"/>
      <c r="B144" s="1" t="s">
        <v>236</v>
      </c>
      <c r="C144" s="1" t="s">
        <v>237</v>
      </c>
      <c r="D144" s="1" t="s">
        <v>167</v>
      </c>
      <c r="E144" s="9">
        <v>128.16800000000001</v>
      </c>
      <c r="F144" s="1" t="s">
        <v>233</v>
      </c>
    </row>
    <row r="145" spans="1:6" ht="25" customHeight="1">
      <c r="A145" s="1"/>
      <c r="B145" s="1" t="s">
        <v>236</v>
      </c>
      <c r="C145" s="1" t="s">
        <v>237</v>
      </c>
      <c r="D145" s="1" t="s">
        <v>168</v>
      </c>
      <c r="E145" s="9">
        <v>130.23099999999999</v>
      </c>
      <c r="F145" s="1" t="s">
        <v>233</v>
      </c>
    </row>
    <row r="146" spans="1:6" ht="25" customHeight="1">
      <c r="A146" s="1"/>
      <c r="B146" s="1" t="s">
        <v>236</v>
      </c>
      <c r="C146" s="1" t="s">
        <v>237</v>
      </c>
      <c r="D146" s="1" t="s">
        <v>169</v>
      </c>
      <c r="E146" s="9">
        <v>132.74100000000001</v>
      </c>
      <c r="F146" s="1" t="s">
        <v>233</v>
      </c>
    </row>
    <row r="147" spans="1:6" ht="25" customHeight="1">
      <c r="A147" s="1"/>
      <c r="B147" s="1" t="s">
        <v>236</v>
      </c>
      <c r="C147" s="1" t="s">
        <v>237</v>
      </c>
      <c r="D147" s="1" t="s">
        <v>170</v>
      </c>
      <c r="E147" s="9">
        <v>135.27699999999999</v>
      </c>
      <c r="F147" s="1" t="s">
        <v>233</v>
      </c>
    </row>
    <row r="148" spans="1:6" ht="25" customHeight="1">
      <c r="A148" s="1"/>
      <c r="B148" s="1" t="s">
        <v>236</v>
      </c>
      <c r="C148" s="1" t="s">
        <v>237</v>
      </c>
      <c r="D148" s="1" t="s">
        <v>171</v>
      </c>
      <c r="E148" s="9">
        <v>136.87299999999999</v>
      </c>
      <c r="F148" s="1" t="s">
        <v>233</v>
      </c>
    </row>
    <row r="149" spans="1:6" ht="25" customHeight="1">
      <c r="A149" s="1"/>
      <c r="B149" s="1" t="s">
        <v>236</v>
      </c>
      <c r="C149" s="1" t="s">
        <v>237</v>
      </c>
      <c r="D149" s="1" t="s">
        <v>172</v>
      </c>
      <c r="E149" s="9">
        <v>139.15899999999999</v>
      </c>
      <c r="F149" s="1" t="s">
        <v>233</v>
      </c>
    </row>
    <row r="150" spans="1:6" ht="25" customHeight="1">
      <c r="A150" s="1"/>
      <c r="B150" s="1" t="s">
        <v>236</v>
      </c>
      <c r="C150" s="1" t="s">
        <v>237</v>
      </c>
      <c r="D150" s="1" t="s">
        <v>173</v>
      </c>
      <c r="E150" s="9">
        <v>139.554</v>
      </c>
      <c r="F150" s="1" t="s">
        <v>233</v>
      </c>
    </row>
    <row r="151" spans="1:6" ht="25" customHeight="1">
      <c r="A151" s="1"/>
      <c r="B151" s="1" t="s">
        <v>236</v>
      </c>
      <c r="C151" s="1" t="s">
        <v>237</v>
      </c>
      <c r="D151" s="1" t="s">
        <v>174</v>
      </c>
      <c r="E151" s="9">
        <v>140.24799999999999</v>
      </c>
      <c r="F151" s="1" t="s">
        <v>233</v>
      </c>
    </row>
    <row r="152" spans="1:6" ht="25" customHeight="1">
      <c r="A152" s="1"/>
      <c r="B152" s="1" t="s">
        <v>236</v>
      </c>
      <c r="C152" s="1" t="s">
        <v>237</v>
      </c>
      <c r="D152" s="1" t="s">
        <v>175</v>
      </c>
      <c r="E152" s="9">
        <v>140.952</v>
      </c>
      <c r="F152" s="1" t="s">
        <v>233</v>
      </c>
    </row>
    <row r="153" spans="1:6" ht="25" customHeight="1">
      <c r="A153" s="1"/>
      <c r="B153" s="1" t="s">
        <v>236</v>
      </c>
      <c r="C153" s="1" t="s">
        <v>237</v>
      </c>
      <c r="D153" s="1" t="s">
        <v>176</v>
      </c>
      <c r="E153" s="9">
        <v>141.459</v>
      </c>
      <c r="F153" s="1" t="s">
        <v>233</v>
      </c>
    </row>
    <row r="154" spans="1:6" ht="25" customHeight="1">
      <c r="A154" s="1"/>
      <c r="B154" s="1" t="s">
        <v>236</v>
      </c>
      <c r="C154" s="1" t="s">
        <v>237</v>
      </c>
      <c r="D154" s="1" t="s">
        <v>177</v>
      </c>
      <c r="E154" s="9">
        <v>141.47999999999999</v>
      </c>
      <c r="F154" s="1" t="s">
        <v>233</v>
      </c>
    </row>
    <row r="155" spans="1:6" ht="25" customHeight="1">
      <c r="A155" s="1"/>
      <c r="B155" s="1" t="s">
        <v>236</v>
      </c>
      <c r="C155" s="1" t="s">
        <v>237</v>
      </c>
      <c r="D155" s="1" t="s">
        <v>178</v>
      </c>
      <c r="E155" s="9">
        <v>142.86600000000001</v>
      </c>
      <c r="F155" s="1" t="s">
        <v>233</v>
      </c>
    </row>
    <row r="156" spans="1:6" ht="25" customHeight="1">
      <c r="A156" s="1"/>
      <c r="B156" s="1" t="s">
        <v>236</v>
      </c>
      <c r="C156" s="1" t="s">
        <v>237</v>
      </c>
      <c r="D156" s="1" t="s">
        <v>179</v>
      </c>
      <c r="E156" s="9">
        <v>143.137</v>
      </c>
      <c r="F156" s="1" t="s">
        <v>233</v>
      </c>
    </row>
    <row r="157" spans="1:6" ht="25" customHeight="1">
      <c r="A157" s="1"/>
      <c r="B157" s="1" t="s">
        <v>236</v>
      </c>
      <c r="C157" s="1" t="s">
        <v>237</v>
      </c>
      <c r="D157" s="1" t="s">
        <v>180</v>
      </c>
      <c r="E157" s="9">
        <v>142.94800000000001</v>
      </c>
      <c r="F157" s="1" t="s">
        <v>233</v>
      </c>
    </row>
    <row r="158" spans="1:6" ht="25" customHeight="1">
      <c r="A158" s="1"/>
      <c r="B158" s="1" t="s">
        <v>236</v>
      </c>
      <c r="C158" s="1" t="s">
        <v>237</v>
      </c>
      <c r="D158" s="1" t="s">
        <v>181</v>
      </c>
      <c r="E158" s="9">
        <v>144.69</v>
      </c>
      <c r="F158" s="1" t="s">
        <v>233</v>
      </c>
    </row>
    <row r="159" spans="1:6" ht="25" customHeight="1">
      <c r="A159" s="1"/>
      <c r="B159" s="1" t="s">
        <v>236</v>
      </c>
      <c r="C159" s="1" t="s">
        <v>237</v>
      </c>
      <c r="D159" s="1" t="s">
        <v>182</v>
      </c>
      <c r="E159" s="9">
        <v>145.69900000000001</v>
      </c>
      <c r="F159" s="1" t="s">
        <v>233</v>
      </c>
    </row>
    <row r="160" spans="1:6" ht="25" customHeight="1">
      <c r="A160" s="1"/>
      <c r="B160" s="1" t="s">
        <v>236</v>
      </c>
      <c r="C160" s="1" t="s">
        <v>237</v>
      </c>
      <c r="D160" s="1" t="s">
        <v>183</v>
      </c>
      <c r="E160" s="9">
        <v>147.22200000000001</v>
      </c>
      <c r="F160" s="1" t="s">
        <v>233</v>
      </c>
    </row>
    <row r="161" spans="1:6" ht="25" customHeight="1">
      <c r="A161" s="1"/>
      <c r="B161" s="1" t="s">
        <v>236</v>
      </c>
      <c r="C161" s="1" t="s">
        <v>237</v>
      </c>
      <c r="D161" s="1" t="s">
        <v>184</v>
      </c>
      <c r="E161" s="9">
        <v>147.232</v>
      </c>
      <c r="F161" s="1" t="s">
        <v>233</v>
      </c>
    </row>
    <row r="162" spans="1:6" ht="25" customHeight="1">
      <c r="A162" s="1"/>
      <c r="B162" s="1" t="s">
        <v>236</v>
      </c>
      <c r="C162" s="1" t="s">
        <v>237</v>
      </c>
      <c r="D162" s="1" t="s">
        <v>185</v>
      </c>
      <c r="E162" s="9">
        <v>147.88200000000001</v>
      </c>
      <c r="F162" s="1" t="s">
        <v>233</v>
      </c>
    </row>
    <row r="163" spans="1:6" ht="25" customHeight="1">
      <c r="A163" s="1"/>
      <c r="B163" s="1" t="s">
        <v>236</v>
      </c>
      <c r="C163" s="1" t="s">
        <v>237</v>
      </c>
      <c r="D163" s="1" t="s">
        <v>186</v>
      </c>
      <c r="E163" s="9">
        <v>148.315</v>
      </c>
      <c r="F163" s="1" t="s">
        <v>233</v>
      </c>
    </row>
    <row r="164" spans="1:6" ht="25" customHeight="1">
      <c r="A164" s="1"/>
      <c r="B164" s="1" t="s">
        <v>236</v>
      </c>
      <c r="C164" s="1" t="s">
        <v>237</v>
      </c>
      <c r="D164" s="1" t="s">
        <v>187</v>
      </c>
      <c r="E164" s="9">
        <v>148.77000000000001</v>
      </c>
      <c r="F164" s="1" t="s">
        <v>233</v>
      </c>
    </row>
    <row r="165" spans="1:6" ht="25" customHeight="1">
      <c r="A165" s="1"/>
      <c r="B165" s="1" t="s">
        <v>236</v>
      </c>
      <c r="C165" s="1" t="s">
        <v>237</v>
      </c>
      <c r="D165" s="1" t="s">
        <v>188</v>
      </c>
      <c r="E165" s="9">
        <v>149.024</v>
      </c>
      <c r="F165" s="1" t="s">
        <v>233</v>
      </c>
    </row>
    <row r="166" spans="1:6" ht="25" customHeight="1">
      <c r="A166" s="1"/>
      <c r="B166" s="1" t="s">
        <v>236</v>
      </c>
      <c r="C166" s="1" t="s">
        <v>237</v>
      </c>
      <c r="D166" s="1" t="s">
        <v>189</v>
      </c>
      <c r="E166" s="9">
        <v>149.19999999999999</v>
      </c>
      <c r="F166" s="1" t="s">
        <v>233</v>
      </c>
    </row>
    <row r="167" spans="1:6" ht="25" customHeight="1">
      <c r="A167" s="1"/>
      <c r="B167" s="1" t="s">
        <v>236</v>
      </c>
      <c r="C167" s="1" t="s">
        <v>237</v>
      </c>
      <c r="D167" s="1" t="s">
        <v>190</v>
      </c>
      <c r="E167" s="9">
        <v>149.404</v>
      </c>
      <c r="F167" s="1" t="s">
        <v>233</v>
      </c>
    </row>
    <row r="168" spans="1:6" ht="25" customHeight="1">
      <c r="A168" s="1"/>
      <c r="B168" s="1" t="s">
        <v>236</v>
      </c>
      <c r="C168" s="1" t="s">
        <v>237</v>
      </c>
      <c r="D168" s="1" t="s">
        <v>191</v>
      </c>
      <c r="E168" s="9">
        <v>148.32499999999999</v>
      </c>
      <c r="F168" s="1" t="s">
        <v>233</v>
      </c>
    </row>
    <row r="169" spans="1:6" ht="25" customHeight="1">
      <c r="A169" s="1"/>
      <c r="B169" s="1" t="s">
        <v>236</v>
      </c>
      <c r="C169" s="1" t="s">
        <v>237</v>
      </c>
      <c r="D169" s="1" t="s">
        <v>192</v>
      </c>
      <c r="E169" s="9">
        <v>148.32400000000001</v>
      </c>
      <c r="F169" s="1" t="s">
        <v>233</v>
      </c>
    </row>
    <row r="170" spans="1:6" ht="25" customHeight="1">
      <c r="A170" s="1"/>
      <c r="B170" s="1" t="s">
        <v>236</v>
      </c>
      <c r="C170" s="1" t="s">
        <v>237</v>
      </c>
      <c r="D170" s="1" t="s">
        <v>193</v>
      </c>
      <c r="E170" s="9">
        <v>149.09899999999999</v>
      </c>
      <c r="F170" s="1" t="s">
        <v>233</v>
      </c>
    </row>
    <row r="171" spans="1:6" ht="25" customHeight="1">
      <c r="A171" s="1"/>
      <c r="B171" s="1" t="s">
        <v>236</v>
      </c>
      <c r="C171" s="1" t="s">
        <v>237</v>
      </c>
      <c r="D171" s="1" t="s">
        <v>194</v>
      </c>
      <c r="E171" s="9">
        <v>148.494</v>
      </c>
      <c r="F171" s="1" t="s">
        <v>233</v>
      </c>
    </row>
    <row r="172" spans="1:6" ht="25" customHeight="1">
      <c r="A172" s="1"/>
      <c r="B172" s="1" t="s">
        <v>236</v>
      </c>
      <c r="C172" s="1" t="s">
        <v>237</v>
      </c>
      <c r="D172" s="1" t="s">
        <v>195</v>
      </c>
      <c r="E172" s="9">
        <v>147.64400000000001</v>
      </c>
      <c r="F172" s="1" t="s">
        <v>233</v>
      </c>
    </row>
    <row r="173" spans="1:6" ht="25" customHeight="1">
      <c r="A173" s="1"/>
      <c r="B173" s="1" t="s">
        <v>236</v>
      </c>
      <c r="C173" s="1" t="s">
        <v>237</v>
      </c>
      <c r="D173" s="1" t="s">
        <v>196</v>
      </c>
      <c r="E173" s="9">
        <v>147.61000000000001</v>
      </c>
      <c r="F173" s="1" t="s">
        <v>233</v>
      </c>
    </row>
    <row r="174" spans="1:6" ht="25" customHeight="1">
      <c r="A174" s="1"/>
      <c r="B174" s="1" t="s">
        <v>236</v>
      </c>
      <c r="C174" s="1" t="s">
        <v>237</v>
      </c>
      <c r="D174" s="1" t="s">
        <v>197</v>
      </c>
      <c r="E174" s="9">
        <v>148.00800000000001</v>
      </c>
      <c r="F174" s="1" t="s">
        <v>233</v>
      </c>
    </row>
    <row r="175" spans="1:6" ht="25" customHeight="1">
      <c r="A175" s="1"/>
      <c r="B175" s="1" t="s">
        <v>236</v>
      </c>
      <c r="C175" s="1" t="s">
        <v>237</v>
      </c>
      <c r="D175" s="1" t="s">
        <v>198</v>
      </c>
      <c r="E175" s="9">
        <v>149.33799999999999</v>
      </c>
      <c r="F175" s="1" t="s">
        <v>233</v>
      </c>
    </row>
    <row r="176" spans="1:6" ht="25" customHeight="1">
      <c r="A176" s="1"/>
      <c r="B176" s="1" t="s">
        <v>236</v>
      </c>
      <c r="C176" s="1" t="s">
        <v>237</v>
      </c>
      <c r="D176" s="1" t="s">
        <v>199</v>
      </c>
      <c r="E176" s="9">
        <v>150.084</v>
      </c>
      <c r="F176" s="1" t="s">
        <v>233</v>
      </c>
    </row>
    <row r="177" spans="1:6" ht="25" customHeight="1">
      <c r="A177" s="1"/>
      <c r="B177" s="1" t="s">
        <v>236</v>
      </c>
      <c r="C177" s="1" t="s">
        <v>237</v>
      </c>
      <c r="D177" s="1" t="s">
        <v>200</v>
      </c>
      <c r="E177" s="9">
        <v>152.755</v>
      </c>
      <c r="F177" s="1" t="s">
        <v>233</v>
      </c>
    </row>
    <row r="178" spans="1:6" ht="25" customHeight="1">
      <c r="A178" s="1"/>
      <c r="B178" s="1" t="s">
        <v>236</v>
      </c>
      <c r="C178" s="1" t="s">
        <v>237</v>
      </c>
      <c r="D178" s="1" t="s">
        <v>201</v>
      </c>
      <c r="E178" s="9">
        <v>152.35400000000001</v>
      </c>
      <c r="F178" s="1" t="s">
        <v>233</v>
      </c>
    </row>
    <row r="179" spans="1:6" ht="25" customHeight="1">
      <c r="A179" s="1"/>
      <c r="B179" s="1" t="s">
        <v>236</v>
      </c>
      <c r="C179" s="1" t="s">
        <v>237</v>
      </c>
      <c r="D179" s="1" t="s">
        <v>202</v>
      </c>
      <c r="E179" s="9">
        <v>151.75200000000001</v>
      </c>
      <c r="F179" s="1" t="s">
        <v>233</v>
      </c>
    </row>
    <row r="180" spans="1:6" ht="25" customHeight="1">
      <c r="A180" s="1"/>
      <c r="B180" s="1" t="s">
        <v>236</v>
      </c>
      <c r="C180" s="1" t="s">
        <v>237</v>
      </c>
      <c r="D180" s="1" t="s">
        <v>203</v>
      </c>
      <c r="E180" s="9">
        <v>151.16200000000001</v>
      </c>
      <c r="F180" s="1" t="s">
        <v>233</v>
      </c>
    </row>
    <row r="181" spans="1:6" ht="25" customHeight="1">
      <c r="A181" s="1"/>
      <c r="B181" s="1" t="s">
        <v>236</v>
      </c>
      <c r="C181" s="1" t="s">
        <v>237</v>
      </c>
      <c r="D181" s="1" t="s">
        <v>204</v>
      </c>
      <c r="E181" s="9">
        <v>151.36000000000001</v>
      </c>
      <c r="F181" s="1" t="s">
        <v>233</v>
      </c>
    </row>
    <row r="182" spans="1:6" ht="25" customHeight="1">
      <c r="A182" s="1"/>
      <c r="B182" s="1" t="s">
        <v>236</v>
      </c>
      <c r="C182" s="1" t="s">
        <v>237</v>
      </c>
      <c r="D182" s="1" t="s">
        <v>205</v>
      </c>
      <c r="E182" s="9">
        <v>151.727</v>
      </c>
      <c r="F182" s="1" t="s">
        <v>233</v>
      </c>
    </row>
    <row r="183" spans="1:6" ht="25" customHeight="1">
      <c r="A183" s="1"/>
      <c r="B183" s="1" t="s">
        <v>236</v>
      </c>
      <c r="C183" s="1" t="s">
        <v>237</v>
      </c>
      <c r="D183" s="1" t="s">
        <v>206</v>
      </c>
      <c r="E183" s="9">
        <v>150.19999999999999</v>
      </c>
      <c r="F183" s="1" t="s">
        <v>233</v>
      </c>
    </row>
    <row r="184" spans="1:6" ht="25" customHeight="1">
      <c r="A184" s="1"/>
      <c r="B184" s="1" t="s">
        <v>236</v>
      </c>
      <c r="C184" s="1" t="s">
        <v>237</v>
      </c>
      <c r="D184" s="1" t="s">
        <v>207</v>
      </c>
      <c r="E184" s="9">
        <v>150.21799999999999</v>
      </c>
      <c r="F184" s="1" t="s">
        <v>233</v>
      </c>
    </row>
    <row r="185" spans="1:6" ht="25" customHeight="1">
      <c r="A185" s="1"/>
      <c r="B185" s="1" t="s">
        <v>236</v>
      </c>
      <c r="C185" s="1" t="s">
        <v>237</v>
      </c>
      <c r="D185" s="1" t="s">
        <v>208</v>
      </c>
      <c r="E185" s="9">
        <v>151.15100000000001</v>
      </c>
      <c r="F185" s="1" t="s">
        <v>233</v>
      </c>
    </row>
    <row r="186" spans="1:6" ht="25" customHeight="1">
      <c r="A186" s="1"/>
      <c r="B186" s="1" t="s">
        <v>236</v>
      </c>
      <c r="C186" s="1" t="s">
        <v>237</v>
      </c>
      <c r="D186" s="1" t="s">
        <v>209</v>
      </c>
      <c r="E186" s="9">
        <v>150.96</v>
      </c>
      <c r="F186" s="1" t="s">
        <v>233</v>
      </c>
    </row>
    <row r="187" spans="1:6" ht="25" customHeight="1">
      <c r="A187" s="1"/>
      <c r="B187" s="1" t="s">
        <v>236</v>
      </c>
      <c r="C187" s="1" t="s">
        <v>237</v>
      </c>
      <c r="D187" s="1" t="s">
        <v>210</v>
      </c>
      <c r="E187" s="9">
        <v>151.28200000000001</v>
      </c>
      <c r="F187" s="1" t="s">
        <v>233</v>
      </c>
    </row>
    <row r="188" spans="1:6" ht="25" customHeight="1">
      <c r="A188" s="1"/>
      <c r="B188" s="1" t="s">
        <v>236</v>
      </c>
      <c r="C188" s="1" t="s">
        <v>237</v>
      </c>
      <c r="D188" s="1" t="s">
        <v>211</v>
      </c>
      <c r="E188" s="9">
        <v>151.381</v>
      </c>
      <c r="F188" s="1" t="s">
        <v>233</v>
      </c>
    </row>
    <row r="189" spans="1:6" ht="25" customHeight="1">
      <c r="A189" s="1"/>
      <c r="B189" s="1" t="s">
        <v>236</v>
      </c>
      <c r="C189" s="1" t="s">
        <v>237</v>
      </c>
      <c r="D189" s="1" t="s">
        <v>212</v>
      </c>
      <c r="E189" s="9">
        <v>151.93899999999999</v>
      </c>
      <c r="F189" s="1" t="s">
        <v>233</v>
      </c>
    </row>
    <row r="190" spans="1:6" ht="25" customHeight="1">
      <c r="A190" s="1"/>
      <c r="B190" s="1" t="s">
        <v>236</v>
      </c>
      <c r="C190" s="1" t="s">
        <v>237</v>
      </c>
      <c r="D190" s="1" t="s">
        <v>213</v>
      </c>
      <c r="E190" s="9">
        <v>152.49100000000001</v>
      </c>
      <c r="F190" s="1" t="s">
        <v>233</v>
      </c>
    </row>
    <row r="191" spans="1:6" ht="25" customHeight="1">
      <c r="A191" s="1"/>
      <c r="B191" s="1" t="s">
        <v>236</v>
      </c>
      <c r="C191" s="1" t="s">
        <v>237</v>
      </c>
      <c r="D191" s="1" t="s">
        <v>214</v>
      </c>
      <c r="E191" s="9"/>
      <c r="F191" s="1" t="s">
        <v>233</v>
      </c>
    </row>
    <row r="192" spans="1:6" ht="25" customHeight="1">
      <c r="A192" s="1"/>
      <c r="B192" s="1" t="s">
        <v>236</v>
      </c>
      <c r="C192" s="1" t="s">
        <v>237</v>
      </c>
      <c r="D192" s="1" t="s">
        <v>215</v>
      </c>
      <c r="E192" s="9">
        <v>152.56700000000001</v>
      </c>
      <c r="F192" s="1" t="s">
        <v>233</v>
      </c>
    </row>
    <row r="193" spans="1:6" ht="25" customHeight="1">
      <c r="A193" s="1"/>
      <c r="B193" s="1" t="s">
        <v>236</v>
      </c>
      <c r="C193" s="1" t="s">
        <v>237</v>
      </c>
      <c r="D193" s="1" t="s">
        <v>216</v>
      </c>
      <c r="E193" s="9">
        <v>153.90799999999999</v>
      </c>
      <c r="F193" s="1" t="s">
        <v>233</v>
      </c>
    </row>
    <row r="194" spans="1:6" ht="25" customHeight="1">
      <c r="A194" s="1"/>
      <c r="B194" s="1" t="s">
        <v>236</v>
      </c>
      <c r="C194" s="1" t="s">
        <v>237</v>
      </c>
      <c r="D194" s="1" t="s">
        <v>217</v>
      </c>
      <c r="E194" s="9">
        <v>154.01300000000001</v>
      </c>
      <c r="F194" s="1" t="s">
        <v>233</v>
      </c>
    </row>
    <row r="195" spans="1:6" ht="25" customHeight="1">
      <c r="A195" s="1"/>
      <c r="B195" s="1" t="s">
        <v>236</v>
      </c>
      <c r="C195" s="1" t="s">
        <v>237</v>
      </c>
      <c r="D195" s="1" t="s">
        <v>218</v>
      </c>
      <c r="E195" s="9">
        <v>153.87</v>
      </c>
      <c r="F195" s="1" t="s">
        <v>233</v>
      </c>
    </row>
    <row r="196" spans="1:6" ht="25" customHeight="1">
      <c r="A196" s="1"/>
      <c r="B196" s="1" t="s">
        <v>236</v>
      </c>
      <c r="C196" s="1" t="s">
        <v>237</v>
      </c>
      <c r="D196" s="1" t="s">
        <v>19</v>
      </c>
      <c r="E196" s="9">
        <v>153.44300000000001</v>
      </c>
      <c r="F196" s="1" t="s">
        <v>233</v>
      </c>
    </row>
    <row r="197" spans="1:6" ht="25" customHeight="1">
      <c r="A197" s="1"/>
      <c r="B197" s="1" t="s">
        <v>236</v>
      </c>
      <c r="C197" s="1" t="s">
        <v>237</v>
      </c>
      <c r="D197" s="1" t="s">
        <v>16</v>
      </c>
      <c r="E197" s="9">
        <v>152.37700000000001</v>
      </c>
      <c r="F197" s="1" t="s">
        <v>233</v>
      </c>
    </row>
    <row r="198" spans="1:6" ht="25" customHeight="1">
      <c r="A198" s="1"/>
      <c r="B198" s="1" t="s">
        <v>238</v>
      </c>
      <c r="C198" s="1" t="s">
        <v>239</v>
      </c>
      <c r="D198" s="1" t="s">
        <v>155</v>
      </c>
      <c r="E198" s="9">
        <v>193.185</v>
      </c>
      <c r="F198" s="1" t="s">
        <v>233</v>
      </c>
    </row>
    <row r="199" spans="1:6" ht="25" customHeight="1">
      <c r="A199" s="1"/>
      <c r="B199" s="1" t="s">
        <v>238</v>
      </c>
      <c r="C199" s="1" t="s">
        <v>239</v>
      </c>
      <c r="D199" s="1" t="s">
        <v>158</v>
      </c>
      <c r="E199" s="9">
        <v>192.91900000000001</v>
      </c>
      <c r="F199" s="1" t="s">
        <v>233</v>
      </c>
    </row>
    <row r="200" spans="1:6" ht="25" customHeight="1">
      <c r="A200" s="1"/>
      <c r="B200" s="1" t="s">
        <v>238</v>
      </c>
      <c r="C200" s="1" t="s">
        <v>239</v>
      </c>
      <c r="D200" s="1" t="s">
        <v>159</v>
      </c>
      <c r="E200" s="9">
        <v>191.804</v>
      </c>
      <c r="F200" s="1" t="s">
        <v>233</v>
      </c>
    </row>
    <row r="201" spans="1:6" ht="25" customHeight="1">
      <c r="A201" s="1"/>
      <c r="B201" s="1" t="s">
        <v>238</v>
      </c>
      <c r="C201" s="1" t="s">
        <v>239</v>
      </c>
      <c r="D201" s="1" t="s">
        <v>160</v>
      </c>
      <c r="E201" s="9">
        <v>191.56299999999999</v>
      </c>
      <c r="F201" s="1" t="s">
        <v>233</v>
      </c>
    </row>
    <row r="202" spans="1:6" ht="25" customHeight="1">
      <c r="A202" s="1"/>
      <c r="B202" s="1" t="s">
        <v>238</v>
      </c>
      <c r="C202" s="1" t="s">
        <v>239</v>
      </c>
      <c r="D202" s="1" t="s">
        <v>161</v>
      </c>
      <c r="E202" s="9">
        <v>192.733</v>
      </c>
      <c r="F202" s="1" t="s">
        <v>233</v>
      </c>
    </row>
    <row r="203" spans="1:6" ht="25" customHeight="1">
      <c r="A203" s="1"/>
      <c r="B203" s="1" t="s">
        <v>238</v>
      </c>
      <c r="C203" s="1" t="s">
        <v>239</v>
      </c>
      <c r="D203" s="1" t="s">
        <v>162</v>
      </c>
      <c r="E203" s="9">
        <v>193.13800000000001</v>
      </c>
      <c r="F203" s="1" t="s">
        <v>233</v>
      </c>
    </row>
    <row r="204" spans="1:6" ht="25" customHeight="1">
      <c r="A204" s="1"/>
      <c r="B204" s="1" t="s">
        <v>238</v>
      </c>
      <c r="C204" s="1" t="s">
        <v>239</v>
      </c>
      <c r="D204" s="1" t="s">
        <v>163</v>
      </c>
      <c r="E204" s="9">
        <v>194.33</v>
      </c>
      <c r="F204" s="1" t="s">
        <v>233</v>
      </c>
    </row>
    <row r="205" spans="1:6" ht="25" customHeight="1">
      <c r="A205" s="1"/>
      <c r="B205" s="1" t="s">
        <v>238</v>
      </c>
      <c r="C205" s="1" t="s">
        <v>239</v>
      </c>
      <c r="D205" s="1" t="s">
        <v>164</v>
      </c>
      <c r="E205" s="9">
        <v>192.02699999999999</v>
      </c>
      <c r="F205" s="1" t="s">
        <v>233</v>
      </c>
    </row>
    <row r="206" spans="1:6" ht="25" customHeight="1">
      <c r="A206" s="1"/>
      <c r="B206" s="1" t="s">
        <v>238</v>
      </c>
      <c r="C206" s="1" t="s">
        <v>239</v>
      </c>
      <c r="D206" s="1" t="s">
        <v>165</v>
      </c>
      <c r="E206" s="9">
        <v>194.55600000000001</v>
      </c>
      <c r="F206" s="1" t="s">
        <v>233</v>
      </c>
    </row>
    <row r="207" spans="1:6" ht="25" customHeight="1">
      <c r="A207" s="1"/>
      <c r="B207" s="1" t="s">
        <v>238</v>
      </c>
      <c r="C207" s="1" t="s">
        <v>239</v>
      </c>
      <c r="D207" s="1" t="s">
        <v>166</v>
      </c>
      <c r="E207" s="9">
        <v>196.441</v>
      </c>
      <c r="F207" s="1" t="s">
        <v>233</v>
      </c>
    </row>
    <row r="208" spans="1:6" ht="25" customHeight="1">
      <c r="A208" s="1"/>
      <c r="B208" s="1" t="s">
        <v>238</v>
      </c>
      <c r="C208" s="1" t="s">
        <v>239</v>
      </c>
      <c r="D208" s="1" t="s">
        <v>167</v>
      </c>
      <c r="E208" s="9">
        <v>196.86099999999999</v>
      </c>
      <c r="F208" s="1" t="s">
        <v>233</v>
      </c>
    </row>
    <row r="209" spans="1:6" ht="25" customHeight="1">
      <c r="A209" s="1"/>
      <c r="B209" s="1" t="s">
        <v>238</v>
      </c>
      <c r="C209" s="1" t="s">
        <v>239</v>
      </c>
      <c r="D209" s="1" t="s">
        <v>168</v>
      </c>
      <c r="E209" s="9">
        <v>198.262</v>
      </c>
      <c r="F209" s="1" t="s">
        <v>233</v>
      </c>
    </row>
    <row r="210" spans="1:6" ht="25" customHeight="1">
      <c r="A210" s="1"/>
      <c r="B210" s="1" t="s">
        <v>238</v>
      </c>
      <c r="C210" s="1" t="s">
        <v>239</v>
      </c>
      <c r="D210" s="1" t="s">
        <v>169</v>
      </c>
      <c r="E210" s="9">
        <v>199.96299999999999</v>
      </c>
      <c r="F210" s="1" t="s">
        <v>233</v>
      </c>
    </row>
    <row r="211" spans="1:6" ht="25" customHeight="1">
      <c r="A211" s="1"/>
      <c r="B211" s="1" t="s">
        <v>238</v>
      </c>
      <c r="C211" s="1" t="s">
        <v>239</v>
      </c>
      <c r="D211" s="1" t="s">
        <v>170</v>
      </c>
      <c r="E211" s="9">
        <v>203.32599999999999</v>
      </c>
      <c r="F211" s="1" t="s">
        <v>233</v>
      </c>
    </row>
    <row r="212" spans="1:6" ht="25" customHeight="1">
      <c r="A212" s="1"/>
      <c r="B212" s="1" t="s">
        <v>238</v>
      </c>
      <c r="C212" s="1" t="s">
        <v>239</v>
      </c>
      <c r="D212" s="1" t="s">
        <v>171</v>
      </c>
      <c r="E212" s="9">
        <v>205.96799999999999</v>
      </c>
      <c r="F212" s="1" t="s">
        <v>233</v>
      </c>
    </row>
    <row r="213" spans="1:6" ht="25" customHeight="1">
      <c r="A213" s="1"/>
      <c r="B213" s="1" t="s">
        <v>238</v>
      </c>
      <c r="C213" s="1" t="s">
        <v>239</v>
      </c>
      <c r="D213" s="1" t="s">
        <v>172</v>
      </c>
      <c r="E213" s="9">
        <v>206.953</v>
      </c>
      <c r="F213" s="1" t="s">
        <v>233</v>
      </c>
    </row>
    <row r="214" spans="1:6" ht="25" customHeight="1">
      <c r="A214" s="1"/>
      <c r="B214" s="1" t="s">
        <v>238</v>
      </c>
      <c r="C214" s="1" t="s">
        <v>239</v>
      </c>
      <c r="D214" s="1" t="s">
        <v>173</v>
      </c>
      <c r="E214" s="9">
        <v>206.797</v>
      </c>
      <c r="F214" s="1" t="s">
        <v>233</v>
      </c>
    </row>
    <row r="215" spans="1:6" ht="25" customHeight="1">
      <c r="A215" s="1"/>
      <c r="B215" s="1" t="s">
        <v>238</v>
      </c>
      <c r="C215" s="1" t="s">
        <v>239</v>
      </c>
      <c r="D215" s="1" t="s">
        <v>174</v>
      </c>
      <c r="E215" s="9">
        <v>211.309</v>
      </c>
      <c r="F215" s="1" t="s">
        <v>233</v>
      </c>
    </row>
    <row r="216" spans="1:6" ht="25" customHeight="1">
      <c r="A216" s="1"/>
      <c r="B216" s="1" t="s">
        <v>238</v>
      </c>
      <c r="C216" s="1" t="s">
        <v>239</v>
      </c>
      <c r="D216" s="1" t="s">
        <v>175</v>
      </c>
      <c r="E216" s="9">
        <v>217.81700000000001</v>
      </c>
      <c r="F216" s="1" t="s">
        <v>233</v>
      </c>
    </row>
    <row r="217" spans="1:6" ht="25" customHeight="1">
      <c r="A217" s="1"/>
      <c r="B217" s="1" t="s">
        <v>238</v>
      </c>
      <c r="C217" s="1" t="s">
        <v>239</v>
      </c>
      <c r="D217" s="1" t="s">
        <v>176</v>
      </c>
      <c r="E217" s="9">
        <v>219.06899999999999</v>
      </c>
      <c r="F217" s="1" t="s">
        <v>233</v>
      </c>
    </row>
    <row r="218" spans="1:6" ht="25" customHeight="1">
      <c r="A218" s="1"/>
      <c r="B218" s="1" t="s">
        <v>238</v>
      </c>
      <c r="C218" s="1" t="s">
        <v>239</v>
      </c>
      <c r="D218" s="1" t="s">
        <v>177</v>
      </c>
      <c r="E218" s="9">
        <v>218.76300000000001</v>
      </c>
      <c r="F218" s="1" t="s">
        <v>233</v>
      </c>
    </row>
    <row r="219" spans="1:6" ht="25" customHeight="1">
      <c r="A219" s="1"/>
      <c r="B219" s="1" t="s">
        <v>238</v>
      </c>
      <c r="C219" s="1" t="s">
        <v>239</v>
      </c>
      <c r="D219" s="1" t="s">
        <v>178</v>
      </c>
      <c r="E219" s="9">
        <v>219.70500000000001</v>
      </c>
      <c r="F219" s="1" t="s">
        <v>233</v>
      </c>
    </row>
    <row r="220" spans="1:6" ht="25" customHeight="1">
      <c r="A220" s="1"/>
      <c r="B220" s="1" t="s">
        <v>238</v>
      </c>
      <c r="C220" s="1" t="s">
        <v>239</v>
      </c>
      <c r="D220" s="1" t="s">
        <v>179</v>
      </c>
      <c r="E220" s="9">
        <v>224.54300000000001</v>
      </c>
      <c r="F220" s="1" t="s">
        <v>233</v>
      </c>
    </row>
    <row r="221" spans="1:6" ht="25" customHeight="1">
      <c r="A221" s="1"/>
      <c r="B221" s="1" t="s">
        <v>238</v>
      </c>
      <c r="C221" s="1" t="s">
        <v>239</v>
      </c>
      <c r="D221" s="1" t="s">
        <v>180</v>
      </c>
      <c r="E221" s="9">
        <v>227.773</v>
      </c>
      <c r="F221" s="1" t="s">
        <v>233</v>
      </c>
    </row>
    <row r="222" spans="1:6" ht="25" customHeight="1">
      <c r="A222" s="1"/>
      <c r="B222" s="1" t="s">
        <v>238</v>
      </c>
      <c r="C222" s="1" t="s">
        <v>239</v>
      </c>
      <c r="D222" s="1" t="s">
        <v>181</v>
      </c>
      <c r="E222" s="9">
        <v>225.73599999999999</v>
      </c>
      <c r="F222" s="1" t="s">
        <v>233</v>
      </c>
    </row>
    <row r="223" spans="1:6" ht="25" customHeight="1">
      <c r="A223" s="1"/>
      <c r="B223" s="1" t="s">
        <v>238</v>
      </c>
      <c r="C223" s="1" t="s">
        <v>239</v>
      </c>
      <c r="D223" s="1" t="s">
        <v>182</v>
      </c>
      <c r="E223" s="9">
        <v>225.18799999999999</v>
      </c>
      <c r="F223" s="1" t="s">
        <v>233</v>
      </c>
    </row>
    <row r="224" spans="1:6" ht="25" customHeight="1">
      <c r="A224" s="1"/>
      <c r="B224" s="1" t="s">
        <v>238</v>
      </c>
      <c r="C224" s="1" t="s">
        <v>239</v>
      </c>
      <c r="D224" s="1" t="s">
        <v>183</v>
      </c>
      <c r="E224" s="9">
        <v>228.328</v>
      </c>
      <c r="F224" s="1" t="s">
        <v>233</v>
      </c>
    </row>
    <row r="225" spans="1:6" ht="25" customHeight="1">
      <c r="A225" s="1"/>
      <c r="B225" s="1" t="s">
        <v>238</v>
      </c>
      <c r="C225" s="1" t="s">
        <v>239</v>
      </c>
      <c r="D225" s="1" t="s">
        <v>184</v>
      </c>
      <c r="E225" s="9">
        <v>231.59100000000001</v>
      </c>
      <c r="F225" s="1" t="s">
        <v>233</v>
      </c>
    </row>
    <row r="226" spans="1:6" ht="25" customHeight="1">
      <c r="A226" s="1"/>
      <c r="B226" s="1" t="s">
        <v>238</v>
      </c>
      <c r="C226" s="1" t="s">
        <v>239</v>
      </c>
      <c r="D226" s="1" t="s">
        <v>185</v>
      </c>
      <c r="E226" s="9">
        <v>232.41200000000001</v>
      </c>
      <c r="F226" s="1" t="s">
        <v>233</v>
      </c>
    </row>
    <row r="227" spans="1:6" ht="25" customHeight="1">
      <c r="A227" s="1"/>
      <c r="B227" s="1" t="s">
        <v>238</v>
      </c>
      <c r="C227" s="1" t="s">
        <v>239</v>
      </c>
      <c r="D227" s="1" t="s">
        <v>186</v>
      </c>
      <c r="E227" s="9">
        <v>233.4</v>
      </c>
      <c r="F227" s="1" t="s">
        <v>233</v>
      </c>
    </row>
    <row r="228" spans="1:6" ht="25" customHeight="1">
      <c r="A228" s="1"/>
      <c r="B228" s="1" t="s">
        <v>238</v>
      </c>
      <c r="C228" s="1" t="s">
        <v>239</v>
      </c>
      <c r="D228" s="1" t="s">
        <v>187</v>
      </c>
      <c r="E228" s="9">
        <v>234.03700000000001</v>
      </c>
      <c r="F228" s="1" t="s">
        <v>233</v>
      </c>
    </row>
    <row r="229" spans="1:6" ht="25" customHeight="1">
      <c r="A229" s="1"/>
      <c r="B229" s="1" t="s">
        <v>238</v>
      </c>
      <c r="C229" s="1" t="s">
        <v>239</v>
      </c>
      <c r="D229" s="1" t="s">
        <v>188</v>
      </c>
      <c r="E229" s="9">
        <v>233.62700000000001</v>
      </c>
      <c r="F229" s="1" t="s">
        <v>233</v>
      </c>
    </row>
    <row r="230" spans="1:6" ht="25" customHeight="1">
      <c r="A230" s="1"/>
      <c r="B230" s="1" t="s">
        <v>238</v>
      </c>
      <c r="C230" s="1" t="s">
        <v>239</v>
      </c>
      <c r="D230" s="1" t="s">
        <v>189</v>
      </c>
      <c r="E230" s="9">
        <v>233.06899999999999</v>
      </c>
      <c r="F230" s="1" t="s">
        <v>233</v>
      </c>
    </row>
    <row r="231" spans="1:6" ht="25" customHeight="1">
      <c r="A231" s="1"/>
      <c r="B231" s="1" t="s">
        <v>238</v>
      </c>
      <c r="C231" s="1" t="s">
        <v>239</v>
      </c>
      <c r="D231" s="1" t="s">
        <v>190</v>
      </c>
      <c r="E231" s="9">
        <v>233.541</v>
      </c>
      <c r="F231" s="1" t="s">
        <v>233</v>
      </c>
    </row>
    <row r="232" spans="1:6" ht="25" customHeight="1">
      <c r="A232" s="1"/>
      <c r="B232" s="1" t="s">
        <v>238</v>
      </c>
      <c r="C232" s="1" t="s">
        <v>239</v>
      </c>
      <c r="D232" s="1" t="s">
        <v>191</v>
      </c>
      <c r="E232" s="9">
        <v>232.315</v>
      </c>
      <c r="F232" s="1" t="s">
        <v>233</v>
      </c>
    </row>
    <row r="233" spans="1:6" ht="25" customHeight="1">
      <c r="A233" s="1"/>
      <c r="B233" s="1" t="s">
        <v>238</v>
      </c>
      <c r="C233" s="1" t="s">
        <v>239</v>
      </c>
      <c r="D233" s="1" t="s">
        <v>192</v>
      </c>
      <c r="E233" s="9">
        <v>234.011</v>
      </c>
      <c r="F233" s="1" t="s">
        <v>233</v>
      </c>
    </row>
    <row r="234" spans="1:6" ht="25" customHeight="1">
      <c r="A234" s="1"/>
      <c r="B234" s="1" t="s">
        <v>238</v>
      </c>
      <c r="C234" s="1" t="s">
        <v>239</v>
      </c>
      <c r="D234" s="1" t="s">
        <v>193</v>
      </c>
      <c r="E234" s="9">
        <v>234.297</v>
      </c>
      <c r="F234" s="1" t="s">
        <v>233</v>
      </c>
    </row>
    <row r="235" spans="1:6" ht="25" customHeight="1">
      <c r="A235" s="1"/>
      <c r="B235" s="1" t="s">
        <v>238</v>
      </c>
      <c r="C235" s="1" t="s">
        <v>239</v>
      </c>
      <c r="D235" s="1" t="s">
        <v>194</v>
      </c>
      <c r="E235" s="9">
        <v>232.81299999999999</v>
      </c>
      <c r="F235" s="1" t="s">
        <v>233</v>
      </c>
    </row>
    <row r="236" spans="1:6" ht="25" customHeight="1">
      <c r="A236" s="1"/>
      <c r="B236" s="1" t="s">
        <v>238</v>
      </c>
      <c r="C236" s="1" t="s">
        <v>239</v>
      </c>
      <c r="D236" s="1" t="s">
        <v>195</v>
      </c>
      <c r="E236" s="9">
        <v>232.57300000000001</v>
      </c>
      <c r="F236" s="1" t="s">
        <v>233</v>
      </c>
    </row>
    <row r="237" spans="1:6" ht="25" customHeight="1">
      <c r="A237" s="1"/>
      <c r="B237" s="1" t="s">
        <v>238</v>
      </c>
      <c r="C237" s="1" t="s">
        <v>239</v>
      </c>
      <c r="D237" s="1" t="s">
        <v>196</v>
      </c>
      <c r="E237" s="9">
        <v>233.24600000000001</v>
      </c>
      <c r="F237" s="1" t="s">
        <v>233</v>
      </c>
    </row>
    <row r="238" spans="1:6" ht="25" customHeight="1">
      <c r="A238" s="1"/>
      <c r="B238" s="1" t="s">
        <v>238</v>
      </c>
      <c r="C238" s="1" t="s">
        <v>239</v>
      </c>
      <c r="D238" s="1" t="s">
        <v>197</v>
      </c>
      <c r="E238" s="9">
        <v>232.155</v>
      </c>
      <c r="F238" s="1" t="s">
        <v>233</v>
      </c>
    </row>
    <row r="239" spans="1:6" ht="25" customHeight="1">
      <c r="A239" s="1"/>
      <c r="B239" s="1" t="s">
        <v>238</v>
      </c>
      <c r="C239" s="1" t="s">
        <v>239</v>
      </c>
      <c r="D239" s="1" t="s">
        <v>198</v>
      </c>
      <c r="E239" s="9">
        <v>232.20099999999999</v>
      </c>
      <c r="F239" s="1" t="s">
        <v>233</v>
      </c>
    </row>
    <row r="240" spans="1:6" ht="25" customHeight="1">
      <c r="A240" s="1"/>
      <c r="B240" s="1" t="s">
        <v>238</v>
      </c>
      <c r="C240" s="1" t="s">
        <v>239</v>
      </c>
      <c r="D240" s="1" t="s">
        <v>199</v>
      </c>
      <c r="E240" s="9">
        <v>232.43899999999999</v>
      </c>
      <c r="F240" s="1" t="s">
        <v>233</v>
      </c>
    </row>
    <row r="241" spans="1:6" ht="25" customHeight="1">
      <c r="A241" s="1"/>
      <c r="B241" s="1" t="s">
        <v>238</v>
      </c>
      <c r="C241" s="1" t="s">
        <v>239</v>
      </c>
      <c r="D241" s="1" t="s">
        <v>200</v>
      </c>
      <c r="E241" s="9">
        <v>230.471</v>
      </c>
      <c r="F241" s="1" t="s">
        <v>233</v>
      </c>
    </row>
    <row r="242" spans="1:6" ht="25" customHeight="1">
      <c r="A242" s="1"/>
      <c r="B242" s="1" t="s">
        <v>238</v>
      </c>
      <c r="C242" s="1" t="s">
        <v>239</v>
      </c>
      <c r="D242" s="1" t="s">
        <v>201</v>
      </c>
      <c r="E242" s="9">
        <v>230.53200000000001</v>
      </c>
      <c r="F242" s="1" t="s">
        <v>233</v>
      </c>
    </row>
    <row r="243" spans="1:6" ht="25" customHeight="1">
      <c r="A243" s="1"/>
      <c r="B243" s="1" t="s">
        <v>238</v>
      </c>
      <c r="C243" s="1" t="s">
        <v>239</v>
      </c>
      <c r="D243" s="1" t="s">
        <v>202</v>
      </c>
      <c r="E243" s="9">
        <v>233.33</v>
      </c>
      <c r="F243" s="1" t="s">
        <v>233</v>
      </c>
    </row>
    <row r="244" spans="1:6" ht="25" customHeight="1">
      <c r="A244" s="1"/>
      <c r="B244" s="1" t="s">
        <v>238</v>
      </c>
      <c r="C244" s="1" t="s">
        <v>239</v>
      </c>
      <c r="D244" s="1" t="s">
        <v>203</v>
      </c>
      <c r="E244" s="9">
        <v>233.375</v>
      </c>
      <c r="F244" s="1" t="s">
        <v>233</v>
      </c>
    </row>
    <row r="245" spans="1:6" ht="25" customHeight="1">
      <c r="A245" s="1"/>
      <c r="B245" s="1" t="s">
        <v>238</v>
      </c>
      <c r="C245" s="1" t="s">
        <v>239</v>
      </c>
      <c r="D245" s="1" t="s">
        <v>204</v>
      </c>
      <c r="E245" s="9">
        <v>234.21299999999999</v>
      </c>
      <c r="F245" s="1" t="s">
        <v>233</v>
      </c>
    </row>
    <row r="246" spans="1:6" ht="25" customHeight="1">
      <c r="A246" s="1"/>
      <c r="B246" s="1" t="s">
        <v>238</v>
      </c>
      <c r="C246" s="1" t="s">
        <v>239</v>
      </c>
      <c r="D246" s="1" t="s">
        <v>205</v>
      </c>
      <c r="E246" s="9">
        <v>234.66800000000001</v>
      </c>
      <c r="F246" s="1" t="s">
        <v>233</v>
      </c>
    </row>
    <row r="247" spans="1:6" ht="25" customHeight="1">
      <c r="A247" s="1"/>
      <c r="B247" s="1" t="s">
        <v>238</v>
      </c>
      <c r="C247" s="1" t="s">
        <v>239</v>
      </c>
      <c r="D247" s="1" t="s">
        <v>206</v>
      </c>
      <c r="E247" s="9">
        <v>234.31800000000001</v>
      </c>
      <c r="F247" s="1" t="s">
        <v>233</v>
      </c>
    </row>
    <row r="248" spans="1:6" ht="25" customHeight="1">
      <c r="A248" s="1"/>
      <c r="B248" s="1" t="s">
        <v>238</v>
      </c>
      <c r="C248" s="1" t="s">
        <v>239</v>
      </c>
      <c r="D248" s="1" t="s">
        <v>207</v>
      </c>
      <c r="E248" s="9">
        <v>233.59899999999999</v>
      </c>
      <c r="F248" s="1" t="s">
        <v>233</v>
      </c>
    </row>
    <row r="249" spans="1:6" ht="25" customHeight="1">
      <c r="A249" s="1"/>
      <c r="B249" s="1" t="s">
        <v>238</v>
      </c>
      <c r="C249" s="1" t="s">
        <v>239</v>
      </c>
      <c r="D249" s="1" t="s">
        <v>208</v>
      </c>
      <c r="E249" s="9">
        <v>233.24199999999999</v>
      </c>
      <c r="F249" s="1" t="s">
        <v>233</v>
      </c>
    </row>
    <row r="250" spans="1:6" ht="25" customHeight="1">
      <c r="A250" s="1"/>
      <c r="B250" s="1" t="s">
        <v>238</v>
      </c>
      <c r="C250" s="1" t="s">
        <v>239</v>
      </c>
      <c r="D250" s="1" t="s">
        <v>209</v>
      </c>
      <c r="E250" s="9">
        <v>235.62299999999999</v>
      </c>
      <c r="F250" s="1" t="s">
        <v>233</v>
      </c>
    </row>
    <row r="251" spans="1:6" ht="25" customHeight="1">
      <c r="A251" s="1"/>
      <c r="B251" s="1" t="s">
        <v>238</v>
      </c>
      <c r="C251" s="1" t="s">
        <v>239</v>
      </c>
      <c r="D251" s="1" t="s">
        <v>210</v>
      </c>
      <c r="E251" s="9">
        <v>238.857</v>
      </c>
      <c r="F251" s="1" t="s">
        <v>233</v>
      </c>
    </row>
    <row r="252" spans="1:6" ht="25" customHeight="1">
      <c r="A252" s="1"/>
      <c r="B252" s="1" t="s">
        <v>238</v>
      </c>
      <c r="C252" s="1" t="s">
        <v>239</v>
      </c>
      <c r="D252" s="1" t="s">
        <v>211</v>
      </c>
      <c r="E252" s="9">
        <v>237.92500000000001</v>
      </c>
      <c r="F252" s="1" t="s">
        <v>233</v>
      </c>
    </row>
    <row r="253" spans="1:6" ht="25" customHeight="1">
      <c r="A253" s="1"/>
      <c r="B253" s="1" t="s">
        <v>238</v>
      </c>
      <c r="C253" s="1" t="s">
        <v>239</v>
      </c>
      <c r="D253" s="1" t="s">
        <v>212</v>
      </c>
      <c r="E253" s="9">
        <v>240.79</v>
      </c>
      <c r="F253" s="1" t="s">
        <v>233</v>
      </c>
    </row>
    <row r="254" spans="1:6" ht="25" customHeight="1">
      <c r="A254" s="1"/>
      <c r="B254" s="1" t="s">
        <v>238</v>
      </c>
      <c r="C254" s="1" t="s">
        <v>239</v>
      </c>
      <c r="D254" s="1" t="s">
        <v>213</v>
      </c>
      <c r="E254" s="9">
        <v>243.179</v>
      </c>
      <c r="F254" s="1" t="s">
        <v>233</v>
      </c>
    </row>
    <row r="255" spans="1:6" ht="25" customHeight="1">
      <c r="A255" s="1"/>
      <c r="B255" s="1" t="s">
        <v>238</v>
      </c>
      <c r="C255" s="1" t="s">
        <v>239</v>
      </c>
      <c r="D255" s="1" t="s">
        <v>214</v>
      </c>
      <c r="E255" s="9"/>
      <c r="F255" s="1" t="s">
        <v>233</v>
      </c>
    </row>
    <row r="256" spans="1:6" ht="25" customHeight="1">
      <c r="A256" s="1"/>
      <c r="B256" s="1" t="s">
        <v>238</v>
      </c>
      <c r="C256" s="1" t="s">
        <v>239</v>
      </c>
      <c r="D256" s="1" t="s">
        <v>215</v>
      </c>
      <c r="E256" s="9">
        <v>240.845</v>
      </c>
      <c r="F256" s="1" t="s">
        <v>233</v>
      </c>
    </row>
    <row r="257" spans="1:6" ht="25" customHeight="1">
      <c r="A257" s="1"/>
      <c r="B257" s="1" t="s">
        <v>238</v>
      </c>
      <c r="C257" s="1" t="s">
        <v>239</v>
      </c>
      <c r="D257" s="1" t="s">
        <v>216</v>
      </c>
      <c r="E257" s="9">
        <v>237.06200000000001</v>
      </c>
      <c r="F257" s="1" t="s">
        <v>233</v>
      </c>
    </row>
    <row r="258" spans="1:6" ht="25" customHeight="1">
      <c r="A258" s="1"/>
      <c r="B258" s="1" t="s">
        <v>238</v>
      </c>
      <c r="C258" s="1" t="s">
        <v>239</v>
      </c>
      <c r="D258" s="1" t="s">
        <v>217</v>
      </c>
      <c r="E258" s="9">
        <v>238.35400000000001</v>
      </c>
      <c r="F258" s="1" t="s">
        <v>233</v>
      </c>
    </row>
    <row r="259" spans="1:6" ht="25" customHeight="1">
      <c r="A259" s="1"/>
      <c r="B259" s="1" t="s">
        <v>238</v>
      </c>
      <c r="C259" s="1" t="s">
        <v>239</v>
      </c>
      <c r="D259" s="1" t="s">
        <v>218</v>
      </c>
      <c r="E259" s="9">
        <v>237.696</v>
      </c>
      <c r="F259" s="1" t="s">
        <v>233</v>
      </c>
    </row>
    <row r="260" spans="1:6" ht="25" customHeight="1">
      <c r="A260" s="1"/>
      <c r="B260" s="1" t="s">
        <v>238</v>
      </c>
      <c r="C260" s="1" t="s">
        <v>239</v>
      </c>
      <c r="D260" s="1" t="s">
        <v>19</v>
      </c>
      <c r="E260" s="9">
        <v>238.03700000000001</v>
      </c>
      <c r="F260" s="1" t="s">
        <v>233</v>
      </c>
    </row>
    <row r="261" spans="1:6" ht="25" customHeight="1">
      <c r="A261" s="1"/>
      <c r="B261" s="1" t="s">
        <v>238</v>
      </c>
      <c r="C261" s="1" t="s">
        <v>239</v>
      </c>
      <c r="D261" s="1" t="s">
        <v>16</v>
      </c>
      <c r="E261" s="9">
        <v>240.87799999999999</v>
      </c>
      <c r="F261" s="1" t="s">
        <v>233</v>
      </c>
    </row>
    <row r="262" spans="1:6" ht="25" customHeight="1">
      <c r="A262" s="1"/>
      <c r="B262" s="1"/>
      <c r="C262" s="1"/>
      <c r="D262" s="1"/>
      <c r="E262" s="1"/>
      <c r="F262" s="1"/>
    </row>
    <row r="263" spans="1:6" ht="25" customHeight="1">
      <c r="A263" s="1"/>
      <c r="B263" s="1"/>
      <c r="C263" s="1"/>
      <c r="D263" s="1"/>
      <c r="E263" s="1"/>
      <c r="F263" s="1"/>
    </row>
    <row r="264" spans="1:6" ht="25" customHeight="1">
      <c r="A264" s="1"/>
      <c r="B264" s="1"/>
      <c r="C264" s="1"/>
      <c r="D264" s="1"/>
      <c r="E264" s="1"/>
      <c r="F264" s="1"/>
    </row>
  </sheetData>
  <phoneticPr fontId="8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942"/>
  <sheetViews>
    <sheetView showGridLines="0" workbookViewId="0">
      <pane ySplit="5" topLeftCell="A6" activePane="bottomLeft" state="frozen"/>
      <selection pane="bottomLeft"/>
    </sheetView>
  </sheetViews>
  <sheetFormatPr baseColWidth="10" defaultColWidth="8.83203125" defaultRowHeight="14"/>
  <cols>
    <col min="1" max="1" width="3" customWidth="1"/>
    <col min="2" max="2" width="19" customWidth="1"/>
    <col min="3" max="3" width="39" customWidth="1"/>
    <col min="4" max="4" width="27" customWidth="1"/>
    <col min="5" max="5" width="20" customWidth="1"/>
    <col min="6" max="6" width="19" customWidth="1"/>
    <col min="7" max="7" width="45" customWidth="1"/>
    <col min="8" max="8" width="72" customWidth="1"/>
    <col min="9" max="9" width="95" customWidth="1"/>
  </cols>
  <sheetData>
    <row r="1" spans="1:9" ht="25" customHeight="1">
      <c r="A1" s="1"/>
      <c r="B1" s="1"/>
      <c r="C1" s="1"/>
      <c r="D1" s="1"/>
      <c r="E1" s="1"/>
      <c r="F1" s="1"/>
      <c r="G1" s="1"/>
      <c r="H1" s="1"/>
      <c r="I1" s="1"/>
    </row>
    <row r="2" spans="1:9" ht="25" customHeight="1">
      <c r="A2" s="1"/>
      <c r="B2" s="2" t="s">
        <v>240</v>
      </c>
      <c r="C2" s="1"/>
      <c r="D2" s="1"/>
      <c r="E2" s="1"/>
      <c r="F2" s="1"/>
      <c r="G2" s="1"/>
      <c r="H2" s="1"/>
      <c r="I2" s="1"/>
    </row>
    <row r="3" spans="1:9" ht="25" customHeight="1">
      <c r="A3" s="1"/>
      <c r="B3" s="1"/>
      <c r="C3" s="1"/>
      <c r="D3" s="1"/>
      <c r="E3" s="1"/>
      <c r="F3" s="1"/>
      <c r="G3" s="1"/>
      <c r="H3" s="1"/>
      <c r="I3" s="1"/>
    </row>
    <row r="4" spans="1:9" ht="25" customHeight="1">
      <c r="A4" s="1"/>
      <c r="B4" s="1"/>
      <c r="C4" s="1"/>
      <c r="D4" s="1"/>
      <c r="E4" s="1"/>
      <c r="F4" s="1"/>
      <c r="G4" s="1"/>
      <c r="H4" s="1"/>
      <c r="I4" s="1"/>
    </row>
    <row r="5" spans="1:9" ht="44" customHeight="1">
      <c r="A5" s="1"/>
      <c r="B5" s="3" t="s">
        <v>24</v>
      </c>
      <c r="C5" s="3" t="s">
        <v>68</v>
      </c>
      <c r="D5" s="3" t="s">
        <v>241</v>
      </c>
      <c r="E5" s="3" t="s">
        <v>152</v>
      </c>
      <c r="F5" s="3" t="s">
        <v>131</v>
      </c>
      <c r="G5" s="3" t="s">
        <v>242</v>
      </c>
      <c r="H5" s="3" t="s">
        <v>243</v>
      </c>
      <c r="I5" s="3" t="s">
        <v>244</v>
      </c>
    </row>
    <row r="6" spans="1:9" ht="25" customHeight="1">
      <c r="A6" s="1"/>
      <c r="B6" s="1" t="s">
        <v>98</v>
      </c>
      <c r="C6" s="1" t="s">
        <v>34</v>
      </c>
      <c r="D6" s="1" t="s">
        <v>245</v>
      </c>
      <c r="E6" s="1">
        <v>0</v>
      </c>
      <c r="F6" s="1" t="s">
        <v>132</v>
      </c>
      <c r="G6" s="1" t="s">
        <v>246</v>
      </c>
      <c r="H6" s="1" t="s">
        <v>247</v>
      </c>
      <c r="I6" s="1" t="s">
        <v>248</v>
      </c>
    </row>
    <row r="7" spans="1:9" ht="25" customHeight="1">
      <c r="A7" s="1"/>
      <c r="B7" s="1" t="s">
        <v>98</v>
      </c>
      <c r="C7" s="1" t="s">
        <v>34</v>
      </c>
      <c r="D7" s="1" t="s">
        <v>75</v>
      </c>
      <c r="E7" s="1">
        <v>-1</v>
      </c>
      <c r="F7" s="1" t="s">
        <v>132</v>
      </c>
      <c r="G7" s="1" t="s">
        <v>246</v>
      </c>
      <c r="H7" s="1" t="s">
        <v>247</v>
      </c>
      <c r="I7" s="1" t="s">
        <v>248</v>
      </c>
    </row>
    <row r="8" spans="1:9" ht="25" customHeight="1">
      <c r="A8" s="1"/>
      <c r="B8" s="1" t="s">
        <v>98</v>
      </c>
      <c r="C8" s="1" t="s">
        <v>34</v>
      </c>
      <c r="D8" s="1" t="s">
        <v>249</v>
      </c>
      <c r="E8" s="1">
        <v>-2</v>
      </c>
      <c r="F8" s="1" t="s">
        <v>132</v>
      </c>
      <c r="G8" s="1" t="s">
        <v>246</v>
      </c>
      <c r="H8" s="1" t="s">
        <v>247</v>
      </c>
      <c r="I8" s="1" t="s">
        <v>248</v>
      </c>
    </row>
    <row r="9" spans="1:9" ht="25" customHeight="1">
      <c r="A9" s="1"/>
      <c r="B9" s="1" t="s">
        <v>98</v>
      </c>
      <c r="C9" s="1" t="s">
        <v>34</v>
      </c>
      <c r="D9" s="1" t="s">
        <v>79</v>
      </c>
      <c r="E9" s="1">
        <v>4</v>
      </c>
      <c r="F9" s="1" t="s">
        <v>132</v>
      </c>
      <c r="G9" s="1" t="s">
        <v>246</v>
      </c>
      <c r="H9" s="1" t="s">
        <v>247</v>
      </c>
      <c r="I9" s="1" t="s">
        <v>248</v>
      </c>
    </row>
    <row r="10" spans="1:9" ht="25" customHeight="1">
      <c r="A10" s="1"/>
      <c r="B10" s="1" t="s">
        <v>98</v>
      </c>
      <c r="C10" s="1" t="s">
        <v>34</v>
      </c>
      <c r="D10" s="1" t="s">
        <v>250</v>
      </c>
      <c r="E10" s="1">
        <v>0</v>
      </c>
      <c r="F10" s="1" t="s">
        <v>132</v>
      </c>
      <c r="G10" s="1" t="s">
        <v>246</v>
      </c>
      <c r="H10" s="1" t="s">
        <v>247</v>
      </c>
      <c r="I10" s="1" t="s">
        <v>248</v>
      </c>
    </row>
    <row r="11" spans="1:9" ht="25" customHeight="1">
      <c r="A11" s="1"/>
      <c r="B11" s="1" t="s">
        <v>98</v>
      </c>
      <c r="C11" s="1" t="s">
        <v>34</v>
      </c>
      <c r="D11" s="1" t="s">
        <v>251</v>
      </c>
      <c r="E11" s="1">
        <v>0</v>
      </c>
      <c r="F11" s="1" t="s">
        <v>132</v>
      </c>
      <c r="G11" s="1" t="s">
        <v>246</v>
      </c>
      <c r="H11" s="1" t="s">
        <v>247</v>
      </c>
      <c r="I11" s="1" t="s">
        <v>248</v>
      </c>
    </row>
    <row r="12" spans="1:9" ht="25" customHeight="1">
      <c r="A12" s="1"/>
      <c r="B12" s="1" t="s">
        <v>98</v>
      </c>
      <c r="C12" s="1" t="s">
        <v>34</v>
      </c>
      <c r="D12" s="1" t="s">
        <v>252</v>
      </c>
      <c r="E12" s="1">
        <v>2</v>
      </c>
      <c r="F12" s="1" t="s">
        <v>132</v>
      </c>
      <c r="G12" s="1" t="s">
        <v>246</v>
      </c>
      <c r="H12" s="1" t="s">
        <v>247</v>
      </c>
      <c r="I12" s="1" t="s">
        <v>248</v>
      </c>
    </row>
    <row r="13" spans="1:9" ht="25" customHeight="1">
      <c r="A13" s="1"/>
      <c r="B13" s="1" t="s">
        <v>98</v>
      </c>
      <c r="C13" s="1" t="s">
        <v>43</v>
      </c>
      <c r="D13" s="1" t="s">
        <v>245</v>
      </c>
      <c r="E13" s="1">
        <v>1</v>
      </c>
      <c r="F13" s="1" t="s">
        <v>132</v>
      </c>
      <c r="G13" s="1" t="s">
        <v>253</v>
      </c>
      <c r="H13" s="1" t="s">
        <v>247</v>
      </c>
      <c r="I13" s="1" t="s">
        <v>254</v>
      </c>
    </row>
    <row r="14" spans="1:9" ht="25" customHeight="1">
      <c r="A14" s="1"/>
      <c r="B14" s="1" t="s">
        <v>98</v>
      </c>
      <c r="C14" s="1" t="s">
        <v>43</v>
      </c>
      <c r="D14" s="1" t="s">
        <v>75</v>
      </c>
      <c r="E14" s="1">
        <v>1</v>
      </c>
      <c r="F14" s="1" t="s">
        <v>132</v>
      </c>
      <c r="G14" s="1" t="s">
        <v>253</v>
      </c>
      <c r="H14" s="1" t="s">
        <v>247</v>
      </c>
      <c r="I14" s="1" t="s">
        <v>254</v>
      </c>
    </row>
    <row r="15" spans="1:9" ht="25" customHeight="1">
      <c r="A15" s="1"/>
      <c r="B15" s="1" t="s">
        <v>98</v>
      </c>
      <c r="C15" s="1" t="s">
        <v>43</v>
      </c>
      <c r="D15" s="1" t="s">
        <v>249</v>
      </c>
      <c r="E15" s="1">
        <v>-5</v>
      </c>
      <c r="F15" s="1" t="s">
        <v>132</v>
      </c>
      <c r="G15" s="1" t="s">
        <v>253</v>
      </c>
      <c r="H15" s="1" t="s">
        <v>247</v>
      </c>
      <c r="I15" s="1" t="s">
        <v>254</v>
      </c>
    </row>
    <row r="16" spans="1:9" ht="25" customHeight="1">
      <c r="A16" s="1"/>
      <c r="B16" s="1" t="s">
        <v>98</v>
      </c>
      <c r="C16" s="1" t="s">
        <v>43</v>
      </c>
      <c r="D16" s="1" t="s">
        <v>79</v>
      </c>
      <c r="E16" s="1">
        <v>6</v>
      </c>
      <c r="F16" s="1" t="s">
        <v>132</v>
      </c>
      <c r="G16" s="1" t="s">
        <v>253</v>
      </c>
      <c r="H16" s="1" t="s">
        <v>247</v>
      </c>
      <c r="I16" s="1" t="s">
        <v>254</v>
      </c>
    </row>
    <row r="17" spans="1:9" ht="25" customHeight="1">
      <c r="A17" s="1"/>
      <c r="B17" s="1" t="s">
        <v>98</v>
      </c>
      <c r="C17" s="1" t="s">
        <v>43</v>
      </c>
      <c r="D17" s="1" t="s">
        <v>250</v>
      </c>
      <c r="E17" s="1">
        <v>1</v>
      </c>
      <c r="F17" s="1" t="s">
        <v>132</v>
      </c>
      <c r="G17" s="1" t="s">
        <v>253</v>
      </c>
      <c r="H17" s="1" t="s">
        <v>247</v>
      </c>
      <c r="I17" s="1" t="s">
        <v>254</v>
      </c>
    </row>
    <row r="18" spans="1:9" ht="25" customHeight="1">
      <c r="A18" s="1"/>
      <c r="B18" s="1" t="s">
        <v>98</v>
      </c>
      <c r="C18" s="1" t="s">
        <v>43</v>
      </c>
      <c r="D18" s="1" t="s">
        <v>251</v>
      </c>
      <c r="E18" s="1">
        <v>0</v>
      </c>
      <c r="F18" s="1" t="s">
        <v>132</v>
      </c>
      <c r="G18" s="1" t="s">
        <v>253</v>
      </c>
      <c r="H18" s="1" t="s">
        <v>247</v>
      </c>
      <c r="I18" s="1" t="s">
        <v>254</v>
      </c>
    </row>
    <row r="19" spans="1:9" ht="25" customHeight="1">
      <c r="A19" s="1"/>
      <c r="B19" s="1" t="s">
        <v>98</v>
      </c>
      <c r="C19" s="1" t="s">
        <v>43</v>
      </c>
      <c r="D19" s="1" t="s">
        <v>252</v>
      </c>
      <c r="E19" s="1">
        <v>3</v>
      </c>
      <c r="F19" s="1" t="s">
        <v>132</v>
      </c>
      <c r="G19" s="1" t="s">
        <v>253</v>
      </c>
      <c r="H19" s="1" t="s">
        <v>247</v>
      </c>
      <c r="I19" s="1" t="s">
        <v>254</v>
      </c>
    </row>
    <row r="20" spans="1:9" ht="25" customHeight="1">
      <c r="A20" s="1"/>
      <c r="B20" s="1" t="s">
        <v>98</v>
      </c>
      <c r="C20" s="1" t="s">
        <v>45</v>
      </c>
      <c r="D20" s="1" t="s">
        <v>245</v>
      </c>
      <c r="E20" s="1">
        <v>8</v>
      </c>
      <c r="F20" s="1" t="s">
        <v>132</v>
      </c>
      <c r="G20" s="1" t="s">
        <v>255</v>
      </c>
      <c r="H20" s="1" t="s">
        <v>247</v>
      </c>
      <c r="I20" s="1" t="s">
        <v>256</v>
      </c>
    </row>
    <row r="21" spans="1:9" ht="25" customHeight="1">
      <c r="A21" s="1"/>
      <c r="B21" s="1" t="s">
        <v>98</v>
      </c>
      <c r="C21" s="1" t="s">
        <v>45</v>
      </c>
      <c r="D21" s="1" t="s">
        <v>75</v>
      </c>
      <c r="E21" s="1">
        <v>8</v>
      </c>
      <c r="F21" s="1" t="s">
        <v>132</v>
      </c>
      <c r="G21" s="1" t="s">
        <v>255</v>
      </c>
      <c r="H21" s="1" t="s">
        <v>247</v>
      </c>
      <c r="I21" s="1" t="s">
        <v>256</v>
      </c>
    </row>
    <row r="22" spans="1:9" ht="25" customHeight="1">
      <c r="A22" s="1"/>
      <c r="B22" s="1" t="s">
        <v>98</v>
      </c>
      <c r="C22" s="1" t="s">
        <v>45</v>
      </c>
      <c r="D22" s="1" t="s">
        <v>249</v>
      </c>
      <c r="E22" s="1">
        <v>-3</v>
      </c>
      <c r="F22" s="1" t="s">
        <v>132</v>
      </c>
      <c r="G22" s="1" t="s">
        <v>255</v>
      </c>
      <c r="H22" s="1" t="s">
        <v>247</v>
      </c>
      <c r="I22" s="1" t="s">
        <v>256</v>
      </c>
    </row>
    <row r="23" spans="1:9" ht="25" customHeight="1">
      <c r="A23" s="1"/>
      <c r="B23" s="1" t="s">
        <v>98</v>
      </c>
      <c r="C23" s="1" t="s">
        <v>45</v>
      </c>
      <c r="D23" s="1" t="s">
        <v>79</v>
      </c>
      <c r="E23" s="1">
        <v>3</v>
      </c>
      <c r="F23" s="1" t="s">
        <v>132</v>
      </c>
      <c r="G23" s="1" t="s">
        <v>255</v>
      </c>
      <c r="H23" s="1" t="s">
        <v>247</v>
      </c>
      <c r="I23" s="1" t="s">
        <v>256</v>
      </c>
    </row>
    <row r="24" spans="1:9" ht="25" customHeight="1">
      <c r="A24" s="1"/>
      <c r="B24" s="1" t="s">
        <v>98</v>
      </c>
      <c r="C24" s="1" t="s">
        <v>45</v>
      </c>
      <c r="D24" s="1" t="s">
        <v>250</v>
      </c>
      <c r="E24" s="1">
        <v>5</v>
      </c>
      <c r="F24" s="1" t="s">
        <v>132</v>
      </c>
      <c r="G24" s="1" t="s">
        <v>255</v>
      </c>
      <c r="H24" s="1" t="s">
        <v>247</v>
      </c>
      <c r="I24" s="1" t="s">
        <v>256</v>
      </c>
    </row>
    <row r="25" spans="1:9" ht="25" customHeight="1">
      <c r="A25" s="1"/>
      <c r="B25" s="1" t="s">
        <v>98</v>
      </c>
      <c r="C25" s="1" t="s">
        <v>45</v>
      </c>
      <c r="D25" s="1" t="s">
        <v>251</v>
      </c>
      <c r="E25" s="1">
        <v>0</v>
      </c>
      <c r="F25" s="1" t="s">
        <v>132</v>
      </c>
      <c r="G25" s="1" t="s">
        <v>255</v>
      </c>
      <c r="H25" s="1" t="s">
        <v>247</v>
      </c>
      <c r="I25" s="1" t="s">
        <v>256</v>
      </c>
    </row>
    <row r="26" spans="1:9" ht="25" customHeight="1">
      <c r="A26" s="1"/>
      <c r="B26" s="1" t="s">
        <v>98</v>
      </c>
      <c r="C26" s="1" t="s">
        <v>45</v>
      </c>
      <c r="D26" s="1" t="s">
        <v>252</v>
      </c>
      <c r="E26" s="1">
        <v>13</v>
      </c>
      <c r="F26" s="1" t="s">
        <v>132</v>
      </c>
      <c r="G26" s="1" t="s">
        <v>255</v>
      </c>
      <c r="H26" s="1" t="s">
        <v>247</v>
      </c>
      <c r="I26" s="1" t="s">
        <v>256</v>
      </c>
    </row>
    <row r="27" spans="1:9" ht="25" customHeight="1">
      <c r="A27" s="1"/>
      <c r="B27" s="1" t="s">
        <v>98</v>
      </c>
      <c r="C27" s="1" t="s">
        <v>50</v>
      </c>
      <c r="D27" s="1" t="s">
        <v>245</v>
      </c>
      <c r="E27" s="1">
        <v>4</v>
      </c>
      <c r="F27" s="1" t="s">
        <v>132</v>
      </c>
      <c r="G27" s="1" t="s">
        <v>257</v>
      </c>
      <c r="H27" s="1" t="s">
        <v>247</v>
      </c>
      <c r="I27" s="1" t="s">
        <v>258</v>
      </c>
    </row>
    <row r="28" spans="1:9" ht="25" customHeight="1">
      <c r="A28" s="1"/>
      <c r="B28" s="1" t="s">
        <v>98</v>
      </c>
      <c r="C28" s="1" t="s">
        <v>50</v>
      </c>
      <c r="D28" s="1" t="s">
        <v>75</v>
      </c>
      <c r="E28" s="1">
        <v>5</v>
      </c>
      <c r="F28" s="1" t="s">
        <v>132</v>
      </c>
      <c r="G28" s="1" t="s">
        <v>257</v>
      </c>
      <c r="H28" s="1" t="s">
        <v>247</v>
      </c>
      <c r="I28" s="1" t="s">
        <v>258</v>
      </c>
    </row>
    <row r="29" spans="1:9" ht="25" customHeight="1">
      <c r="A29" s="1"/>
      <c r="B29" s="1" t="s">
        <v>98</v>
      </c>
      <c r="C29" s="1" t="s">
        <v>50</v>
      </c>
      <c r="D29" s="1" t="s">
        <v>249</v>
      </c>
      <c r="E29" s="1">
        <v>-3</v>
      </c>
      <c r="F29" s="1" t="s">
        <v>132</v>
      </c>
      <c r="G29" s="1" t="s">
        <v>257</v>
      </c>
      <c r="H29" s="1" t="s">
        <v>247</v>
      </c>
      <c r="I29" s="1" t="s">
        <v>258</v>
      </c>
    </row>
    <row r="30" spans="1:9" ht="25" customHeight="1">
      <c r="A30" s="1"/>
      <c r="B30" s="1" t="s">
        <v>98</v>
      </c>
      <c r="C30" s="1" t="s">
        <v>50</v>
      </c>
      <c r="D30" s="1" t="s">
        <v>79</v>
      </c>
      <c r="E30" s="1">
        <v>5</v>
      </c>
      <c r="F30" s="1" t="s">
        <v>132</v>
      </c>
      <c r="G30" s="1" t="s">
        <v>257</v>
      </c>
      <c r="H30" s="1" t="s">
        <v>247</v>
      </c>
      <c r="I30" s="1" t="s">
        <v>258</v>
      </c>
    </row>
    <row r="31" spans="1:9" ht="25" customHeight="1">
      <c r="A31" s="1"/>
      <c r="B31" s="1" t="s">
        <v>98</v>
      </c>
      <c r="C31" s="1" t="s">
        <v>50</v>
      </c>
      <c r="D31" s="1" t="s">
        <v>250</v>
      </c>
      <c r="E31" s="1">
        <v>1</v>
      </c>
      <c r="F31" s="1" t="s">
        <v>132</v>
      </c>
      <c r="G31" s="1" t="s">
        <v>257</v>
      </c>
      <c r="H31" s="1" t="s">
        <v>247</v>
      </c>
      <c r="I31" s="1" t="s">
        <v>258</v>
      </c>
    </row>
    <row r="32" spans="1:9" ht="25" customHeight="1">
      <c r="A32" s="1"/>
      <c r="B32" s="1" t="s">
        <v>98</v>
      </c>
      <c r="C32" s="1" t="s">
        <v>50</v>
      </c>
      <c r="D32" s="1" t="s">
        <v>251</v>
      </c>
      <c r="E32" s="1">
        <v>0</v>
      </c>
      <c r="F32" s="1" t="s">
        <v>132</v>
      </c>
      <c r="G32" s="1" t="s">
        <v>257</v>
      </c>
      <c r="H32" s="1" t="s">
        <v>247</v>
      </c>
      <c r="I32" s="1" t="s">
        <v>258</v>
      </c>
    </row>
    <row r="33" spans="1:9" ht="25" customHeight="1">
      <c r="A33" s="1"/>
      <c r="B33" s="1" t="s">
        <v>98</v>
      </c>
      <c r="C33" s="1" t="s">
        <v>50</v>
      </c>
      <c r="D33" s="1" t="s">
        <v>252</v>
      </c>
      <c r="E33" s="1">
        <v>7</v>
      </c>
      <c r="F33" s="1" t="s">
        <v>132</v>
      </c>
      <c r="G33" s="1" t="s">
        <v>257</v>
      </c>
      <c r="H33" s="1" t="s">
        <v>247</v>
      </c>
      <c r="I33" s="1" t="s">
        <v>258</v>
      </c>
    </row>
    <row r="34" spans="1:9" ht="25" customHeight="1">
      <c r="A34" s="1"/>
      <c r="B34" s="1" t="s">
        <v>98</v>
      </c>
      <c r="C34" s="1" t="s">
        <v>55</v>
      </c>
      <c r="D34" s="1" t="s">
        <v>245</v>
      </c>
      <c r="E34" s="1">
        <v>2</v>
      </c>
      <c r="F34" s="1" t="s">
        <v>132</v>
      </c>
      <c r="G34" s="1" t="s">
        <v>259</v>
      </c>
      <c r="H34" s="1" t="s">
        <v>247</v>
      </c>
      <c r="I34" s="1" t="s">
        <v>260</v>
      </c>
    </row>
    <row r="35" spans="1:9" ht="25" customHeight="1">
      <c r="A35" s="1"/>
      <c r="B35" s="1" t="s">
        <v>98</v>
      </c>
      <c r="C35" s="1" t="s">
        <v>55</v>
      </c>
      <c r="D35" s="1" t="s">
        <v>75</v>
      </c>
      <c r="E35" s="1">
        <v>2</v>
      </c>
      <c r="F35" s="1" t="s">
        <v>132</v>
      </c>
      <c r="G35" s="1" t="s">
        <v>259</v>
      </c>
      <c r="H35" s="1" t="s">
        <v>247</v>
      </c>
      <c r="I35" s="1" t="s">
        <v>260</v>
      </c>
    </row>
    <row r="36" spans="1:9" ht="25" customHeight="1">
      <c r="A36" s="1"/>
      <c r="B36" s="1" t="s">
        <v>98</v>
      </c>
      <c r="C36" s="1" t="s">
        <v>55</v>
      </c>
      <c r="D36" s="1" t="s">
        <v>249</v>
      </c>
      <c r="E36" s="1">
        <v>-3</v>
      </c>
      <c r="F36" s="1" t="s">
        <v>132</v>
      </c>
      <c r="G36" s="1" t="s">
        <v>259</v>
      </c>
      <c r="H36" s="1" t="s">
        <v>247</v>
      </c>
      <c r="I36" s="1" t="s">
        <v>260</v>
      </c>
    </row>
    <row r="37" spans="1:9" ht="25" customHeight="1">
      <c r="A37" s="1"/>
      <c r="B37" s="1" t="s">
        <v>98</v>
      </c>
      <c r="C37" s="1" t="s">
        <v>55</v>
      </c>
      <c r="D37" s="1" t="s">
        <v>79</v>
      </c>
      <c r="E37" s="1">
        <v>5</v>
      </c>
      <c r="F37" s="1" t="s">
        <v>132</v>
      </c>
      <c r="G37" s="1" t="s">
        <v>259</v>
      </c>
      <c r="H37" s="1" t="s">
        <v>247</v>
      </c>
      <c r="I37" s="1" t="s">
        <v>260</v>
      </c>
    </row>
    <row r="38" spans="1:9" ht="25" customHeight="1">
      <c r="A38" s="1"/>
      <c r="B38" s="1" t="s">
        <v>98</v>
      </c>
      <c r="C38" s="1" t="s">
        <v>55</v>
      </c>
      <c r="D38" s="1" t="s">
        <v>250</v>
      </c>
      <c r="E38" s="1">
        <v>2</v>
      </c>
      <c r="F38" s="1" t="s">
        <v>132</v>
      </c>
      <c r="G38" s="1" t="s">
        <v>259</v>
      </c>
      <c r="H38" s="1" t="s">
        <v>247</v>
      </c>
      <c r="I38" s="1" t="s">
        <v>260</v>
      </c>
    </row>
    <row r="39" spans="1:9" ht="25" customHeight="1">
      <c r="A39" s="1"/>
      <c r="B39" s="1" t="s">
        <v>98</v>
      </c>
      <c r="C39" s="1" t="s">
        <v>55</v>
      </c>
      <c r="D39" s="1" t="s">
        <v>251</v>
      </c>
      <c r="E39" s="1">
        <v>1</v>
      </c>
      <c r="F39" s="1" t="s">
        <v>132</v>
      </c>
      <c r="G39" s="1" t="s">
        <v>259</v>
      </c>
      <c r="H39" s="1" t="s">
        <v>247</v>
      </c>
      <c r="I39" s="1" t="s">
        <v>260</v>
      </c>
    </row>
    <row r="40" spans="1:9" ht="25" customHeight="1">
      <c r="A40" s="1"/>
      <c r="B40" s="1" t="s">
        <v>98</v>
      </c>
      <c r="C40" s="1" t="s">
        <v>55</v>
      </c>
      <c r="D40" s="1" t="s">
        <v>252</v>
      </c>
      <c r="E40" s="1">
        <v>7</v>
      </c>
      <c r="F40" s="1" t="s">
        <v>132</v>
      </c>
      <c r="G40" s="1" t="s">
        <v>259</v>
      </c>
      <c r="H40" s="1" t="s">
        <v>247</v>
      </c>
      <c r="I40" s="1" t="s">
        <v>260</v>
      </c>
    </row>
    <row r="41" spans="1:9" ht="25" customHeight="1">
      <c r="A41" s="1"/>
      <c r="B41" s="1" t="s">
        <v>98</v>
      </c>
      <c r="C41" s="1" t="s">
        <v>134</v>
      </c>
      <c r="D41" s="1" t="s">
        <v>245</v>
      </c>
      <c r="E41" s="1">
        <v>3</v>
      </c>
      <c r="F41" s="1" t="s">
        <v>132</v>
      </c>
      <c r="G41" s="1" t="s">
        <v>261</v>
      </c>
      <c r="H41" s="1" t="s">
        <v>247</v>
      </c>
      <c r="I41" s="1" t="s">
        <v>262</v>
      </c>
    </row>
    <row r="42" spans="1:9" ht="25" customHeight="1">
      <c r="A42" s="1"/>
      <c r="B42" s="1" t="s">
        <v>98</v>
      </c>
      <c r="C42" s="1" t="s">
        <v>134</v>
      </c>
      <c r="D42" s="1" t="s">
        <v>75</v>
      </c>
      <c r="E42" s="1">
        <v>3</v>
      </c>
      <c r="F42" s="1" t="s">
        <v>132</v>
      </c>
      <c r="G42" s="1" t="s">
        <v>261</v>
      </c>
      <c r="H42" s="1" t="s">
        <v>247</v>
      </c>
      <c r="I42" s="1" t="s">
        <v>262</v>
      </c>
    </row>
    <row r="43" spans="1:9" ht="25" customHeight="1">
      <c r="A43" s="1"/>
      <c r="B43" s="1" t="s">
        <v>98</v>
      </c>
      <c r="C43" s="1" t="s">
        <v>134</v>
      </c>
      <c r="D43" s="1" t="s">
        <v>249</v>
      </c>
      <c r="E43" s="1">
        <v>-3</v>
      </c>
      <c r="F43" s="1" t="s">
        <v>132</v>
      </c>
      <c r="G43" s="1" t="s">
        <v>261</v>
      </c>
      <c r="H43" s="1" t="s">
        <v>247</v>
      </c>
      <c r="I43" s="1" t="s">
        <v>262</v>
      </c>
    </row>
    <row r="44" spans="1:9" ht="25" customHeight="1">
      <c r="A44" s="1"/>
      <c r="B44" s="1" t="s">
        <v>98</v>
      </c>
      <c r="C44" s="1" t="s">
        <v>134</v>
      </c>
      <c r="D44" s="1" t="s">
        <v>79</v>
      </c>
      <c r="E44" s="1">
        <v>5</v>
      </c>
      <c r="F44" s="1" t="s">
        <v>132</v>
      </c>
      <c r="G44" s="1" t="s">
        <v>261</v>
      </c>
      <c r="H44" s="1" t="s">
        <v>247</v>
      </c>
      <c r="I44" s="1" t="s">
        <v>262</v>
      </c>
    </row>
    <row r="45" spans="1:9" ht="25" customHeight="1">
      <c r="A45" s="1"/>
      <c r="B45" s="1" t="s">
        <v>98</v>
      </c>
      <c r="C45" s="1" t="s">
        <v>134</v>
      </c>
      <c r="D45" s="1" t="s">
        <v>250</v>
      </c>
      <c r="E45" s="1">
        <v>2</v>
      </c>
      <c r="F45" s="1" t="s">
        <v>132</v>
      </c>
      <c r="G45" s="1" t="s">
        <v>261</v>
      </c>
      <c r="H45" s="1" t="s">
        <v>247</v>
      </c>
      <c r="I45" s="1" t="s">
        <v>262</v>
      </c>
    </row>
    <row r="46" spans="1:9" ht="25" customHeight="1">
      <c r="A46" s="1"/>
      <c r="B46" s="1" t="s">
        <v>98</v>
      </c>
      <c r="C46" s="1" t="s">
        <v>134</v>
      </c>
      <c r="D46" s="1" t="s">
        <v>251</v>
      </c>
      <c r="E46" s="1">
        <v>0</v>
      </c>
      <c r="F46" s="1" t="s">
        <v>132</v>
      </c>
      <c r="G46" s="1" t="s">
        <v>261</v>
      </c>
      <c r="H46" s="1" t="s">
        <v>247</v>
      </c>
      <c r="I46" s="1" t="s">
        <v>262</v>
      </c>
    </row>
    <row r="47" spans="1:9" ht="25" customHeight="1">
      <c r="A47" s="1"/>
      <c r="B47" s="1" t="s">
        <v>98</v>
      </c>
      <c r="C47" s="1" t="s">
        <v>134</v>
      </c>
      <c r="D47" s="1" t="s">
        <v>252</v>
      </c>
      <c r="E47" s="1">
        <v>7</v>
      </c>
      <c r="F47" s="1" t="s">
        <v>132</v>
      </c>
      <c r="G47" s="1" t="s">
        <v>261</v>
      </c>
      <c r="H47" s="1" t="s">
        <v>247</v>
      </c>
      <c r="I47" s="1" t="s">
        <v>262</v>
      </c>
    </row>
    <row r="48" spans="1:9" ht="25" customHeight="1">
      <c r="A48" s="1"/>
      <c r="B48" s="1" t="s">
        <v>98</v>
      </c>
      <c r="C48" s="1" t="s">
        <v>34</v>
      </c>
      <c r="D48" s="1" t="s">
        <v>263</v>
      </c>
      <c r="E48" s="1">
        <v>3389</v>
      </c>
      <c r="F48" s="1" t="s">
        <v>132</v>
      </c>
      <c r="G48" s="1" t="s">
        <v>264</v>
      </c>
      <c r="H48" s="1" t="s">
        <v>247</v>
      </c>
      <c r="I48" s="1" t="s">
        <v>265</v>
      </c>
    </row>
    <row r="49" spans="1:9" ht="25" customHeight="1">
      <c r="A49" s="1"/>
      <c r="B49" s="1" t="s">
        <v>98</v>
      </c>
      <c r="C49" s="1" t="s">
        <v>43</v>
      </c>
      <c r="D49" s="1" t="s">
        <v>263</v>
      </c>
      <c r="E49" s="1">
        <v>1481</v>
      </c>
      <c r="F49" s="1" t="s">
        <v>132</v>
      </c>
      <c r="G49" s="1" t="s">
        <v>266</v>
      </c>
      <c r="H49" s="1" t="s">
        <v>247</v>
      </c>
      <c r="I49" s="1" t="s">
        <v>267</v>
      </c>
    </row>
    <row r="50" spans="1:9" ht="25" customHeight="1">
      <c r="A50" s="1"/>
      <c r="B50" s="1" t="s">
        <v>98</v>
      </c>
      <c r="C50" s="1" t="s">
        <v>45</v>
      </c>
      <c r="D50" s="1" t="s">
        <v>263</v>
      </c>
      <c r="E50" s="1">
        <v>2662</v>
      </c>
      <c r="F50" s="1" t="s">
        <v>132</v>
      </c>
      <c r="G50" s="1" t="s">
        <v>268</v>
      </c>
      <c r="H50" s="1" t="s">
        <v>247</v>
      </c>
      <c r="I50" s="1" t="s">
        <v>269</v>
      </c>
    </row>
    <row r="51" spans="1:9" ht="25" customHeight="1">
      <c r="A51" s="1"/>
      <c r="B51" s="1" t="s">
        <v>98</v>
      </c>
      <c r="C51" s="1" t="s">
        <v>50</v>
      </c>
      <c r="D51" s="1" t="s">
        <v>263</v>
      </c>
      <c r="E51" s="1">
        <v>6699</v>
      </c>
      <c r="F51" s="1" t="s">
        <v>132</v>
      </c>
      <c r="G51" s="1" t="s">
        <v>270</v>
      </c>
      <c r="H51" s="1" t="s">
        <v>247</v>
      </c>
      <c r="I51" s="1" t="s">
        <v>271</v>
      </c>
    </row>
    <row r="52" spans="1:9" ht="25" customHeight="1">
      <c r="A52" s="1"/>
      <c r="B52" s="1" t="s">
        <v>98</v>
      </c>
      <c r="C52" s="1" t="s">
        <v>55</v>
      </c>
      <c r="D52" s="1" t="s">
        <v>263</v>
      </c>
      <c r="E52" s="1">
        <v>4935</v>
      </c>
      <c r="F52" s="1" t="s">
        <v>132</v>
      </c>
      <c r="G52" s="1" t="s">
        <v>272</v>
      </c>
      <c r="H52" s="1" t="s">
        <v>247</v>
      </c>
      <c r="I52" s="1" t="s">
        <v>273</v>
      </c>
    </row>
    <row r="53" spans="1:9" ht="25" customHeight="1">
      <c r="A53" s="1"/>
      <c r="B53" s="1" t="s">
        <v>98</v>
      </c>
      <c r="C53" s="1" t="s">
        <v>133</v>
      </c>
      <c r="D53" s="1" t="s">
        <v>263</v>
      </c>
      <c r="E53" s="1">
        <v>215</v>
      </c>
      <c r="F53" s="1" t="s">
        <v>132</v>
      </c>
      <c r="G53" s="1" t="s">
        <v>274</v>
      </c>
      <c r="H53" s="1" t="s">
        <v>247</v>
      </c>
      <c r="I53" s="1" t="s">
        <v>275</v>
      </c>
    </row>
    <row r="54" spans="1:9" ht="25" customHeight="1">
      <c r="A54" s="1"/>
      <c r="B54" s="1" t="s">
        <v>98</v>
      </c>
      <c r="C54" s="1" t="s">
        <v>134</v>
      </c>
      <c r="D54" s="1" t="s">
        <v>263</v>
      </c>
      <c r="E54" s="1">
        <v>19381</v>
      </c>
      <c r="F54" s="1" t="s">
        <v>132</v>
      </c>
      <c r="G54" s="1" t="s">
        <v>276</v>
      </c>
      <c r="H54" s="1" t="s">
        <v>247</v>
      </c>
      <c r="I54" s="1" t="s">
        <v>277</v>
      </c>
    </row>
    <row r="55" spans="1:9" ht="25" customHeight="1">
      <c r="A55" s="1"/>
      <c r="B55" s="1" t="s">
        <v>98</v>
      </c>
      <c r="C55" s="1" t="s">
        <v>34</v>
      </c>
      <c r="D55" s="1" t="s">
        <v>81</v>
      </c>
      <c r="E55" s="1">
        <v>3</v>
      </c>
      <c r="F55" s="1" t="s">
        <v>132</v>
      </c>
      <c r="G55" s="1" t="s">
        <v>278</v>
      </c>
      <c r="H55" s="1" t="s">
        <v>247</v>
      </c>
      <c r="I55" s="1" t="s">
        <v>279</v>
      </c>
    </row>
    <row r="56" spans="1:9" ht="25" customHeight="1">
      <c r="A56" s="1"/>
      <c r="B56" s="1" t="s">
        <v>98</v>
      </c>
      <c r="C56" s="1" t="s">
        <v>43</v>
      </c>
      <c r="D56" s="1" t="s">
        <v>81</v>
      </c>
      <c r="E56" s="1">
        <v>8</v>
      </c>
      <c r="F56" s="1" t="s">
        <v>132</v>
      </c>
      <c r="G56" s="1" t="s">
        <v>280</v>
      </c>
      <c r="H56" s="1" t="s">
        <v>247</v>
      </c>
      <c r="I56" s="1" t="s">
        <v>281</v>
      </c>
    </row>
    <row r="57" spans="1:9" ht="25" customHeight="1">
      <c r="A57" s="1"/>
      <c r="B57" s="1" t="s">
        <v>98</v>
      </c>
      <c r="C57" s="1" t="s">
        <v>45</v>
      </c>
      <c r="D57" s="1" t="s">
        <v>81</v>
      </c>
      <c r="E57" s="1">
        <v>16</v>
      </c>
      <c r="F57" s="1" t="s">
        <v>132</v>
      </c>
      <c r="G57" s="1" t="s">
        <v>282</v>
      </c>
      <c r="H57" s="1" t="s">
        <v>247</v>
      </c>
      <c r="I57" s="1" t="s">
        <v>283</v>
      </c>
    </row>
    <row r="58" spans="1:9" ht="25" customHeight="1">
      <c r="A58" s="1"/>
      <c r="B58" s="1" t="s">
        <v>98</v>
      </c>
      <c r="C58" s="1" t="s">
        <v>50</v>
      </c>
      <c r="D58" s="1" t="s">
        <v>81</v>
      </c>
      <c r="E58" s="1">
        <v>10</v>
      </c>
      <c r="F58" s="1" t="s">
        <v>132</v>
      </c>
      <c r="G58" s="1" t="s">
        <v>284</v>
      </c>
      <c r="H58" s="1" t="s">
        <v>247</v>
      </c>
      <c r="I58" s="1" t="s">
        <v>285</v>
      </c>
    </row>
    <row r="59" spans="1:9" ht="25" customHeight="1">
      <c r="A59" s="1"/>
      <c r="B59" s="1" t="s">
        <v>98</v>
      </c>
      <c r="C59" s="1" t="s">
        <v>55</v>
      </c>
      <c r="D59" s="1" t="s">
        <v>81</v>
      </c>
      <c r="E59" s="1">
        <v>10</v>
      </c>
      <c r="F59" s="1" t="s">
        <v>132</v>
      </c>
      <c r="G59" s="1" t="s">
        <v>286</v>
      </c>
      <c r="H59" s="1" t="s">
        <v>247</v>
      </c>
      <c r="I59" s="1" t="s">
        <v>287</v>
      </c>
    </row>
    <row r="60" spans="1:9" ht="25" customHeight="1">
      <c r="A60" s="1"/>
      <c r="B60" s="1" t="s">
        <v>98</v>
      </c>
      <c r="C60" s="1" t="s">
        <v>134</v>
      </c>
      <c r="D60" s="1" t="s">
        <v>81</v>
      </c>
      <c r="E60" s="1">
        <v>10</v>
      </c>
      <c r="F60" s="1" t="s">
        <v>132</v>
      </c>
      <c r="G60" s="1" t="s">
        <v>288</v>
      </c>
      <c r="H60" s="1" t="s">
        <v>247</v>
      </c>
      <c r="I60" s="1" t="s">
        <v>289</v>
      </c>
    </row>
    <row r="61" spans="1:9" ht="25" customHeight="1">
      <c r="A61" s="1"/>
      <c r="B61" s="1" t="s">
        <v>99</v>
      </c>
      <c r="C61" s="1" t="s">
        <v>34</v>
      </c>
      <c r="D61" s="1" t="s">
        <v>245</v>
      </c>
      <c r="E61" s="1">
        <v>-1</v>
      </c>
      <c r="F61" s="1" t="s">
        <v>135</v>
      </c>
      <c r="G61" s="1" t="s">
        <v>290</v>
      </c>
      <c r="H61" s="1" t="s">
        <v>291</v>
      </c>
      <c r="I61" s="1" t="s">
        <v>292</v>
      </c>
    </row>
    <row r="62" spans="1:9" ht="25" customHeight="1">
      <c r="A62" s="1"/>
      <c r="B62" s="1" t="s">
        <v>99</v>
      </c>
      <c r="C62" s="1" t="s">
        <v>34</v>
      </c>
      <c r="D62" s="1" t="s">
        <v>249</v>
      </c>
      <c r="E62" s="1">
        <v>-3</v>
      </c>
      <c r="F62" s="1" t="s">
        <v>135</v>
      </c>
      <c r="G62" s="1" t="s">
        <v>290</v>
      </c>
      <c r="H62" s="1" t="s">
        <v>291</v>
      </c>
      <c r="I62" s="1" t="s">
        <v>292</v>
      </c>
    </row>
    <row r="63" spans="1:9" ht="25" customHeight="1">
      <c r="A63" s="1"/>
      <c r="B63" s="1" t="s">
        <v>99</v>
      </c>
      <c r="C63" s="1" t="s">
        <v>34</v>
      </c>
      <c r="D63" s="1" t="s">
        <v>79</v>
      </c>
      <c r="E63" s="1">
        <v>6</v>
      </c>
      <c r="F63" s="1" t="s">
        <v>135</v>
      </c>
      <c r="G63" s="1" t="s">
        <v>290</v>
      </c>
      <c r="H63" s="1" t="s">
        <v>291</v>
      </c>
      <c r="I63" s="1" t="s">
        <v>292</v>
      </c>
    </row>
    <row r="64" spans="1:9" ht="25" customHeight="1">
      <c r="A64" s="1"/>
      <c r="B64" s="1" t="s">
        <v>99</v>
      </c>
      <c r="C64" s="1" t="s">
        <v>34</v>
      </c>
      <c r="D64" s="1" t="s">
        <v>250</v>
      </c>
      <c r="E64" s="1">
        <v>-4</v>
      </c>
      <c r="F64" s="1" t="s">
        <v>135</v>
      </c>
      <c r="G64" s="1" t="s">
        <v>290</v>
      </c>
      <c r="H64" s="1" t="s">
        <v>291</v>
      </c>
      <c r="I64" s="1" t="s">
        <v>292</v>
      </c>
    </row>
    <row r="65" spans="1:9" ht="25" customHeight="1">
      <c r="A65" s="1"/>
      <c r="B65" s="1" t="s">
        <v>99</v>
      </c>
      <c r="C65" s="1" t="s">
        <v>34</v>
      </c>
      <c r="D65" s="1" t="s">
        <v>251</v>
      </c>
      <c r="E65" s="1">
        <v>1</v>
      </c>
      <c r="F65" s="1" t="s">
        <v>135</v>
      </c>
      <c r="G65" s="1" t="s">
        <v>290</v>
      </c>
      <c r="H65" s="1" t="s">
        <v>291</v>
      </c>
      <c r="I65" s="1" t="s">
        <v>292</v>
      </c>
    </row>
    <row r="66" spans="1:9" ht="25" customHeight="1">
      <c r="A66" s="1"/>
      <c r="B66" s="1" t="s">
        <v>99</v>
      </c>
      <c r="C66" s="1" t="s">
        <v>34</v>
      </c>
      <c r="D66" s="1" t="s">
        <v>252</v>
      </c>
      <c r="E66" s="1">
        <v>-1</v>
      </c>
      <c r="F66" s="1" t="s">
        <v>135</v>
      </c>
      <c r="G66" s="1" t="s">
        <v>290</v>
      </c>
      <c r="H66" s="1" t="s">
        <v>291</v>
      </c>
      <c r="I66" s="1" t="s">
        <v>292</v>
      </c>
    </row>
    <row r="67" spans="1:9" ht="25" customHeight="1">
      <c r="A67" s="1"/>
      <c r="B67" s="1" t="s">
        <v>99</v>
      </c>
      <c r="C67" s="1" t="s">
        <v>34</v>
      </c>
      <c r="D67" s="1" t="s">
        <v>75</v>
      </c>
      <c r="E67" s="1">
        <v>-2</v>
      </c>
      <c r="F67" s="1" t="s">
        <v>135</v>
      </c>
      <c r="G67" s="1" t="s">
        <v>290</v>
      </c>
      <c r="H67" s="1" t="s">
        <v>291</v>
      </c>
      <c r="I67" s="1" t="s">
        <v>292</v>
      </c>
    </row>
    <row r="68" spans="1:9" ht="25" customHeight="1">
      <c r="A68" s="1"/>
      <c r="B68" s="1" t="s">
        <v>99</v>
      </c>
      <c r="C68" s="1" t="s">
        <v>34</v>
      </c>
      <c r="D68" s="1" t="s">
        <v>81</v>
      </c>
      <c r="E68" s="1">
        <v>0</v>
      </c>
      <c r="F68" s="1" t="s">
        <v>135</v>
      </c>
      <c r="G68" s="1" t="s">
        <v>290</v>
      </c>
      <c r="H68" s="1" t="s">
        <v>291</v>
      </c>
      <c r="I68" s="1" t="s">
        <v>292</v>
      </c>
    </row>
    <row r="69" spans="1:9" ht="25" customHeight="1">
      <c r="A69" s="1"/>
      <c r="B69" s="1" t="s">
        <v>99</v>
      </c>
      <c r="C69" s="1" t="s">
        <v>43</v>
      </c>
      <c r="D69" s="1" t="s">
        <v>245</v>
      </c>
      <c r="E69" s="1">
        <v>-3</v>
      </c>
      <c r="F69" s="1" t="s">
        <v>135</v>
      </c>
      <c r="G69" s="1" t="s">
        <v>293</v>
      </c>
      <c r="H69" s="1" t="s">
        <v>291</v>
      </c>
      <c r="I69" s="1" t="s">
        <v>294</v>
      </c>
    </row>
    <row r="70" spans="1:9" ht="25" customHeight="1">
      <c r="A70" s="1"/>
      <c r="B70" s="1" t="s">
        <v>99</v>
      </c>
      <c r="C70" s="1" t="s">
        <v>43</v>
      </c>
      <c r="D70" s="1" t="s">
        <v>249</v>
      </c>
      <c r="E70" s="1">
        <v>-6</v>
      </c>
      <c r="F70" s="1" t="s">
        <v>135</v>
      </c>
      <c r="G70" s="1" t="s">
        <v>293</v>
      </c>
      <c r="H70" s="1" t="s">
        <v>291</v>
      </c>
      <c r="I70" s="1" t="s">
        <v>294</v>
      </c>
    </row>
    <row r="71" spans="1:9" ht="25" customHeight="1">
      <c r="A71" s="1"/>
      <c r="B71" s="1" t="s">
        <v>99</v>
      </c>
      <c r="C71" s="1" t="s">
        <v>43</v>
      </c>
      <c r="D71" s="1" t="s">
        <v>79</v>
      </c>
      <c r="E71" s="1">
        <v>6</v>
      </c>
      <c r="F71" s="1" t="s">
        <v>135</v>
      </c>
      <c r="G71" s="1" t="s">
        <v>293</v>
      </c>
      <c r="H71" s="1" t="s">
        <v>291</v>
      </c>
      <c r="I71" s="1" t="s">
        <v>294</v>
      </c>
    </row>
    <row r="72" spans="1:9" ht="25" customHeight="1">
      <c r="A72" s="1"/>
      <c r="B72" s="1" t="s">
        <v>99</v>
      </c>
      <c r="C72" s="1" t="s">
        <v>43</v>
      </c>
      <c r="D72" s="1" t="s">
        <v>250</v>
      </c>
      <c r="E72" s="1">
        <v>-1</v>
      </c>
      <c r="F72" s="1" t="s">
        <v>135</v>
      </c>
      <c r="G72" s="1" t="s">
        <v>293</v>
      </c>
      <c r="H72" s="1" t="s">
        <v>291</v>
      </c>
      <c r="I72" s="1" t="s">
        <v>294</v>
      </c>
    </row>
    <row r="73" spans="1:9" ht="25" customHeight="1">
      <c r="A73" s="1"/>
      <c r="B73" s="1" t="s">
        <v>99</v>
      </c>
      <c r="C73" s="1" t="s">
        <v>43</v>
      </c>
      <c r="D73" s="1" t="s">
        <v>251</v>
      </c>
      <c r="E73" s="1">
        <v>1</v>
      </c>
      <c r="F73" s="1" t="s">
        <v>135</v>
      </c>
      <c r="G73" s="1" t="s">
        <v>293</v>
      </c>
      <c r="H73" s="1" t="s">
        <v>291</v>
      </c>
      <c r="I73" s="1" t="s">
        <v>294</v>
      </c>
    </row>
    <row r="74" spans="1:9" ht="25" customHeight="1">
      <c r="A74" s="1"/>
      <c r="B74" s="1" t="s">
        <v>99</v>
      </c>
      <c r="C74" s="1" t="s">
        <v>43</v>
      </c>
      <c r="D74" s="1" t="s">
        <v>252</v>
      </c>
      <c r="E74" s="1">
        <v>-3</v>
      </c>
      <c r="F74" s="1" t="s">
        <v>135</v>
      </c>
      <c r="G74" s="1" t="s">
        <v>293</v>
      </c>
      <c r="H74" s="1" t="s">
        <v>291</v>
      </c>
      <c r="I74" s="1" t="s">
        <v>294</v>
      </c>
    </row>
    <row r="75" spans="1:9" ht="25" customHeight="1">
      <c r="A75" s="1"/>
      <c r="B75" s="1" t="s">
        <v>99</v>
      </c>
      <c r="C75" s="1" t="s">
        <v>43</v>
      </c>
      <c r="D75" s="1" t="s">
        <v>75</v>
      </c>
      <c r="E75" s="1">
        <v>-2</v>
      </c>
      <c r="F75" s="1" t="s">
        <v>135</v>
      </c>
      <c r="G75" s="1" t="s">
        <v>293</v>
      </c>
      <c r="H75" s="1" t="s">
        <v>291</v>
      </c>
      <c r="I75" s="1" t="s">
        <v>294</v>
      </c>
    </row>
    <row r="76" spans="1:9" ht="25" customHeight="1">
      <c r="A76" s="1"/>
      <c r="B76" s="1" t="s">
        <v>99</v>
      </c>
      <c r="C76" s="1" t="s">
        <v>43</v>
      </c>
      <c r="D76" s="1" t="s">
        <v>81</v>
      </c>
      <c r="E76" s="1">
        <v>3</v>
      </c>
      <c r="F76" s="1" t="s">
        <v>135</v>
      </c>
      <c r="G76" s="1" t="s">
        <v>293</v>
      </c>
      <c r="H76" s="1" t="s">
        <v>291</v>
      </c>
      <c r="I76" s="1" t="s">
        <v>294</v>
      </c>
    </row>
    <row r="77" spans="1:9" ht="25" customHeight="1">
      <c r="A77" s="1"/>
      <c r="B77" s="1" t="s">
        <v>99</v>
      </c>
      <c r="C77" s="1" t="s">
        <v>45</v>
      </c>
      <c r="D77" s="1" t="s">
        <v>245</v>
      </c>
      <c r="E77" s="1">
        <v>0</v>
      </c>
      <c r="F77" s="1" t="s">
        <v>135</v>
      </c>
      <c r="G77" s="1" t="s">
        <v>295</v>
      </c>
      <c r="H77" s="1" t="s">
        <v>291</v>
      </c>
      <c r="I77" s="1" t="s">
        <v>296</v>
      </c>
    </row>
    <row r="78" spans="1:9" ht="25" customHeight="1">
      <c r="A78" s="1"/>
      <c r="B78" s="1" t="s">
        <v>99</v>
      </c>
      <c r="C78" s="1" t="s">
        <v>45</v>
      </c>
      <c r="D78" s="1" t="s">
        <v>249</v>
      </c>
      <c r="E78" s="1">
        <v>-4</v>
      </c>
      <c r="F78" s="1" t="s">
        <v>135</v>
      </c>
      <c r="G78" s="1" t="s">
        <v>295</v>
      </c>
      <c r="H78" s="1" t="s">
        <v>291</v>
      </c>
      <c r="I78" s="1" t="s">
        <v>296</v>
      </c>
    </row>
    <row r="79" spans="1:9" ht="25" customHeight="1">
      <c r="A79" s="1"/>
      <c r="B79" s="1" t="s">
        <v>99</v>
      </c>
      <c r="C79" s="1" t="s">
        <v>45</v>
      </c>
      <c r="D79" s="1" t="s">
        <v>79</v>
      </c>
      <c r="E79" s="1">
        <v>5</v>
      </c>
      <c r="F79" s="1" t="s">
        <v>135</v>
      </c>
      <c r="G79" s="1" t="s">
        <v>295</v>
      </c>
      <c r="H79" s="1" t="s">
        <v>291</v>
      </c>
      <c r="I79" s="1" t="s">
        <v>296</v>
      </c>
    </row>
    <row r="80" spans="1:9" ht="25" customHeight="1">
      <c r="A80" s="1"/>
      <c r="B80" s="1" t="s">
        <v>99</v>
      </c>
      <c r="C80" s="1" t="s">
        <v>45</v>
      </c>
      <c r="D80" s="1" t="s">
        <v>250</v>
      </c>
      <c r="E80" s="1">
        <v>4</v>
      </c>
      <c r="F80" s="1" t="s">
        <v>135</v>
      </c>
      <c r="G80" s="1" t="s">
        <v>295</v>
      </c>
      <c r="H80" s="1" t="s">
        <v>291</v>
      </c>
      <c r="I80" s="1" t="s">
        <v>296</v>
      </c>
    </row>
    <row r="81" spans="1:9" ht="25" customHeight="1">
      <c r="A81" s="1"/>
      <c r="B81" s="1" t="s">
        <v>99</v>
      </c>
      <c r="C81" s="1" t="s">
        <v>45</v>
      </c>
      <c r="D81" s="1" t="s">
        <v>251</v>
      </c>
      <c r="E81" s="1">
        <v>0</v>
      </c>
      <c r="F81" s="1" t="s">
        <v>135</v>
      </c>
      <c r="G81" s="1" t="s">
        <v>295</v>
      </c>
      <c r="H81" s="1" t="s">
        <v>291</v>
      </c>
      <c r="I81" s="1" t="s">
        <v>296</v>
      </c>
    </row>
    <row r="82" spans="1:9" ht="25" customHeight="1">
      <c r="A82" s="1"/>
      <c r="B82" s="1" t="s">
        <v>99</v>
      </c>
      <c r="C82" s="1" t="s">
        <v>45</v>
      </c>
      <c r="D82" s="1" t="s">
        <v>252</v>
      </c>
      <c r="E82" s="1">
        <v>5</v>
      </c>
      <c r="F82" s="1" t="s">
        <v>135</v>
      </c>
      <c r="G82" s="1" t="s">
        <v>295</v>
      </c>
      <c r="H82" s="1" t="s">
        <v>291</v>
      </c>
      <c r="I82" s="1" t="s">
        <v>296</v>
      </c>
    </row>
    <row r="83" spans="1:9" ht="25" customHeight="1">
      <c r="A83" s="1"/>
      <c r="B83" s="1" t="s">
        <v>99</v>
      </c>
      <c r="C83" s="1" t="s">
        <v>45</v>
      </c>
      <c r="D83" s="1" t="s">
        <v>75</v>
      </c>
      <c r="E83" s="1">
        <v>0</v>
      </c>
      <c r="F83" s="1" t="s">
        <v>135</v>
      </c>
      <c r="G83" s="1" t="s">
        <v>295</v>
      </c>
      <c r="H83" s="1" t="s">
        <v>291</v>
      </c>
      <c r="I83" s="1" t="s">
        <v>296</v>
      </c>
    </row>
    <row r="84" spans="1:9" ht="25" customHeight="1">
      <c r="A84" s="1"/>
      <c r="B84" s="1" t="s">
        <v>99</v>
      </c>
      <c r="C84" s="1" t="s">
        <v>45</v>
      </c>
      <c r="D84" s="1" t="s">
        <v>81</v>
      </c>
      <c r="E84" s="1">
        <v>9</v>
      </c>
      <c r="F84" s="1" t="s">
        <v>135</v>
      </c>
      <c r="G84" s="1" t="s">
        <v>295</v>
      </c>
      <c r="H84" s="1" t="s">
        <v>291</v>
      </c>
      <c r="I84" s="1" t="s">
        <v>296</v>
      </c>
    </row>
    <row r="85" spans="1:9" ht="25" customHeight="1">
      <c r="A85" s="1"/>
      <c r="B85" s="1" t="s">
        <v>99</v>
      </c>
      <c r="C85" s="1" t="s">
        <v>50</v>
      </c>
      <c r="D85" s="1" t="s">
        <v>245</v>
      </c>
      <c r="E85" s="1">
        <v>-1</v>
      </c>
      <c r="F85" s="1" t="s">
        <v>135</v>
      </c>
      <c r="G85" s="1" t="s">
        <v>297</v>
      </c>
      <c r="H85" s="1" t="s">
        <v>291</v>
      </c>
      <c r="I85" s="1" t="s">
        <v>298</v>
      </c>
    </row>
    <row r="86" spans="1:9" ht="25" customHeight="1">
      <c r="A86" s="1"/>
      <c r="B86" s="1" t="s">
        <v>99</v>
      </c>
      <c r="C86" s="1" t="s">
        <v>50</v>
      </c>
      <c r="D86" s="1" t="s">
        <v>249</v>
      </c>
      <c r="E86" s="1">
        <v>-5</v>
      </c>
      <c r="F86" s="1" t="s">
        <v>135</v>
      </c>
      <c r="G86" s="1" t="s">
        <v>297</v>
      </c>
      <c r="H86" s="1" t="s">
        <v>291</v>
      </c>
      <c r="I86" s="1" t="s">
        <v>298</v>
      </c>
    </row>
    <row r="87" spans="1:9" ht="25" customHeight="1">
      <c r="A87" s="1"/>
      <c r="B87" s="1" t="s">
        <v>99</v>
      </c>
      <c r="C87" s="1" t="s">
        <v>50</v>
      </c>
      <c r="D87" s="1" t="s">
        <v>79</v>
      </c>
      <c r="E87" s="1">
        <v>10</v>
      </c>
      <c r="F87" s="1" t="s">
        <v>135</v>
      </c>
      <c r="G87" s="1" t="s">
        <v>297</v>
      </c>
      <c r="H87" s="1" t="s">
        <v>291</v>
      </c>
      <c r="I87" s="1" t="s">
        <v>298</v>
      </c>
    </row>
    <row r="88" spans="1:9" ht="25" customHeight="1">
      <c r="A88" s="1"/>
      <c r="B88" s="1" t="s">
        <v>99</v>
      </c>
      <c r="C88" s="1" t="s">
        <v>50</v>
      </c>
      <c r="D88" s="1" t="s">
        <v>250</v>
      </c>
      <c r="E88" s="1">
        <v>0</v>
      </c>
      <c r="F88" s="1" t="s">
        <v>135</v>
      </c>
      <c r="G88" s="1" t="s">
        <v>297</v>
      </c>
      <c r="H88" s="1" t="s">
        <v>291</v>
      </c>
      <c r="I88" s="1" t="s">
        <v>298</v>
      </c>
    </row>
    <row r="89" spans="1:9" ht="25" customHeight="1">
      <c r="A89" s="1"/>
      <c r="B89" s="1" t="s">
        <v>99</v>
      </c>
      <c r="C89" s="1" t="s">
        <v>50</v>
      </c>
      <c r="D89" s="1" t="s">
        <v>251</v>
      </c>
      <c r="E89" s="1">
        <v>0</v>
      </c>
      <c r="F89" s="1" t="s">
        <v>135</v>
      </c>
      <c r="G89" s="1" t="s">
        <v>297</v>
      </c>
      <c r="H89" s="1" t="s">
        <v>291</v>
      </c>
      <c r="I89" s="1" t="s">
        <v>298</v>
      </c>
    </row>
    <row r="90" spans="1:9" ht="25" customHeight="1">
      <c r="A90" s="1"/>
      <c r="B90" s="1" t="s">
        <v>99</v>
      </c>
      <c r="C90" s="1" t="s">
        <v>50</v>
      </c>
      <c r="D90" s="1" t="s">
        <v>252</v>
      </c>
      <c r="E90" s="1">
        <v>4</v>
      </c>
      <c r="F90" s="1" t="s">
        <v>135</v>
      </c>
      <c r="G90" s="1" t="s">
        <v>297</v>
      </c>
      <c r="H90" s="1" t="s">
        <v>291</v>
      </c>
      <c r="I90" s="1" t="s">
        <v>298</v>
      </c>
    </row>
    <row r="91" spans="1:9" ht="25" customHeight="1">
      <c r="A91" s="1"/>
      <c r="B91" s="1" t="s">
        <v>99</v>
      </c>
      <c r="C91" s="1" t="s">
        <v>50</v>
      </c>
      <c r="D91" s="1" t="s">
        <v>75</v>
      </c>
      <c r="E91" s="1">
        <v>-1</v>
      </c>
      <c r="F91" s="1" t="s">
        <v>135</v>
      </c>
      <c r="G91" s="1" t="s">
        <v>297</v>
      </c>
      <c r="H91" s="1" t="s">
        <v>291</v>
      </c>
      <c r="I91" s="1" t="s">
        <v>298</v>
      </c>
    </row>
    <row r="92" spans="1:9" ht="25" customHeight="1">
      <c r="A92" s="1"/>
      <c r="B92" s="1" t="s">
        <v>99</v>
      </c>
      <c r="C92" s="1" t="s">
        <v>50</v>
      </c>
      <c r="D92" s="1" t="s">
        <v>81</v>
      </c>
      <c r="E92" s="1">
        <v>9</v>
      </c>
      <c r="F92" s="1" t="s">
        <v>135</v>
      </c>
      <c r="G92" s="1" t="s">
        <v>297</v>
      </c>
      <c r="H92" s="1" t="s">
        <v>291</v>
      </c>
      <c r="I92" s="1" t="s">
        <v>298</v>
      </c>
    </row>
    <row r="93" spans="1:9" ht="25" customHeight="1">
      <c r="A93" s="1"/>
      <c r="B93" s="1" t="s">
        <v>99</v>
      </c>
      <c r="C93" s="1" t="s">
        <v>55</v>
      </c>
      <c r="D93" s="1" t="s">
        <v>245</v>
      </c>
      <c r="E93" s="1">
        <v>0</v>
      </c>
      <c r="F93" s="1" t="s">
        <v>135</v>
      </c>
      <c r="G93" s="1" t="s">
        <v>299</v>
      </c>
      <c r="H93" s="1" t="s">
        <v>291</v>
      </c>
      <c r="I93" s="1" t="s">
        <v>300</v>
      </c>
    </row>
    <row r="94" spans="1:9" ht="25" customHeight="1">
      <c r="A94" s="1"/>
      <c r="B94" s="1" t="s">
        <v>99</v>
      </c>
      <c r="C94" s="1" t="s">
        <v>55</v>
      </c>
      <c r="D94" s="1" t="s">
        <v>249</v>
      </c>
      <c r="E94" s="1">
        <v>-3</v>
      </c>
      <c r="F94" s="1" t="s">
        <v>135</v>
      </c>
      <c r="G94" s="1" t="s">
        <v>299</v>
      </c>
      <c r="H94" s="1" t="s">
        <v>291</v>
      </c>
      <c r="I94" s="1" t="s">
        <v>300</v>
      </c>
    </row>
    <row r="95" spans="1:9" ht="25" customHeight="1">
      <c r="A95" s="1"/>
      <c r="B95" s="1" t="s">
        <v>99</v>
      </c>
      <c r="C95" s="1" t="s">
        <v>55</v>
      </c>
      <c r="D95" s="1" t="s">
        <v>79</v>
      </c>
      <c r="E95" s="1">
        <v>6</v>
      </c>
      <c r="F95" s="1" t="s">
        <v>135</v>
      </c>
      <c r="G95" s="1" t="s">
        <v>299</v>
      </c>
      <c r="H95" s="1" t="s">
        <v>291</v>
      </c>
      <c r="I95" s="1" t="s">
        <v>300</v>
      </c>
    </row>
    <row r="96" spans="1:9" ht="25" customHeight="1">
      <c r="A96" s="1"/>
      <c r="B96" s="1" t="s">
        <v>99</v>
      </c>
      <c r="C96" s="1" t="s">
        <v>55</v>
      </c>
      <c r="D96" s="1" t="s">
        <v>250</v>
      </c>
      <c r="E96" s="1">
        <v>1</v>
      </c>
      <c r="F96" s="1" t="s">
        <v>135</v>
      </c>
      <c r="G96" s="1" t="s">
        <v>299</v>
      </c>
      <c r="H96" s="1" t="s">
        <v>291</v>
      </c>
      <c r="I96" s="1" t="s">
        <v>300</v>
      </c>
    </row>
    <row r="97" spans="1:9" ht="25" customHeight="1">
      <c r="A97" s="1"/>
      <c r="B97" s="1" t="s">
        <v>99</v>
      </c>
      <c r="C97" s="1" t="s">
        <v>55</v>
      </c>
      <c r="D97" s="1" t="s">
        <v>251</v>
      </c>
      <c r="E97" s="1">
        <v>-1</v>
      </c>
      <c r="F97" s="1" t="s">
        <v>135</v>
      </c>
      <c r="G97" s="1" t="s">
        <v>299</v>
      </c>
      <c r="H97" s="1" t="s">
        <v>291</v>
      </c>
      <c r="I97" s="1" t="s">
        <v>300</v>
      </c>
    </row>
    <row r="98" spans="1:9" ht="25" customHeight="1">
      <c r="A98" s="1"/>
      <c r="B98" s="1" t="s">
        <v>99</v>
      </c>
      <c r="C98" s="1" t="s">
        <v>55</v>
      </c>
      <c r="D98" s="1" t="s">
        <v>252</v>
      </c>
      <c r="E98" s="1">
        <v>3</v>
      </c>
      <c r="F98" s="1" t="s">
        <v>135</v>
      </c>
      <c r="G98" s="1" t="s">
        <v>299</v>
      </c>
      <c r="H98" s="1" t="s">
        <v>291</v>
      </c>
      <c r="I98" s="1" t="s">
        <v>300</v>
      </c>
    </row>
    <row r="99" spans="1:9" ht="25" customHeight="1">
      <c r="A99" s="1"/>
      <c r="B99" s="1" t="s">
        <v>99</v>
      </c>
      <c r="C99" s="1" t="s">
        <v>55</v>
      </c>
      <c r="D99" s="1" t="s">
        <v>75</v>
      </c>
      <c r="E99" s="1">
        <v>0</v>
      </c>
      <c r="F99" s="1" t="s">
        <v>135</v>
      </c>
      <c r="G99" s="1" t="s">
        <v>299</v>
      </c>
      <c r="H99" s="1" t="s">
        <v>291</v>
      </c>
      <c r="I99" s="1" t="s">
        <v>300</v>
      </c>
    </row>
    <row r="100" spans="1:9" ht="25" customHeight="1">
      <c r="A100" s="1"/>
      <c r="B100" s="1" t="s">
        <v>99</v>
      </c>
      <c r="C100" s="1" t="s">
        <v>55</v>
      </c>
      <c r="D100" s="1" t="s">
        <v>81</v>
      </c>
      <c r="E100" s="1">
        <v>7</v>
      </c>
      <c r="F100" s="1" t="s">
        <v>135</v>
      </c>
      <c r="G100" s="1" t="s">
        <v>299</v>
      </c>
      <c r="H100" s="1" t="s">
        <v>291</v>
      </c>
      <c r="I100" s="1" t="s">
        <v>300</v>
      </c>
    </row>
    <row r="101" spans="1:9" ht="25" customHeight="1">
      <c r="A101" s="1"/>
      <c r="B101" s="1" t="s">
        <v>99</v>
      </c>
      <c r="C101" s="1" t="s">
        <v>134</v>
      </c>
      <c r="D101" s="1" t="s">
        <v>245</v>
      </c>
      <c r="E101" s="1">
        <v>-1</v>
      </c>
      <c r="F101" s="1" t="s">
        <v>135</v>
      </c>
      <c r="G101" s="1" t="s">
        <v>301</v>
      </c>
      <c r="H101" s="1" t="s">
        <v>291</v>
      </c>
      <c r="I101" s="1" t="s">
        <v>302</v>
      </c>
    </row>
    <row r="102" spans="1:9" ht="25" customHeight="1">
      <c r="A102" s="1"/>
      <c r="B102" s="1" t="s">
        <v>99</v>
      </c>
      <c r="C102" s="1" t="s">
        <v>134</v>
      </c>
      <c r="D102" s="1" t="s">
        <v>249</v>
      </c>
      <c r="E102" s="1">
        <v>-4</v>
      </c>
      <c r="F102" s="1" t="s">
        <v>135</v>
      </c>
      <c r="G102" s="1" t="s">
        <v>301</v>
      </c>
      <c r="H102" s="1" t="s">
        <v>291</v>
      </c>
      <c r="I102" s="1" t="s">
        <v>302</v>
      </c>
    </row>
    <row r="103" spans="1:9" ht="25" customHeight="1">
      <c r="A103" s="1"/>
      <c r="B103" s="1" t="s">
        <v>99</v>
      </c>
      <c r="C103" s="1" t="s">
        <v>134</v>
      </c>
      <c r="D103" s="1" t="s">
        <v>79</v>
      </c>
      <c r="E103" s="1">
        <v>8</v>
      </c>
      <c r="F103" s="1" t="s">
        <v>135</v>
      </c>
      <c r="G103" s="1" t="s">
        <v>301</v>
      </c>
      <c r="H103" s="1" t="s">
        <v>291</v>
      </c>
      <c r="I103" s="1" t="s">
        <v>302</v>
      </c>
    </row>
    <row r="104" spans="1:9" ht="25" customHeight="1">
      <c r="A104" s="1"/>
      <c r="B104" s="1" t="s">
        <v>99</v>
      </c>
      <c r="C104" s="1" t="s">
        <v>134</v>
      </c>
      <c r="D104" s="1" t="s">
        <v>250</v>
      </c>
      <c r="E104" s="1">
        <v>0</v>
      </c>
      <c r="F104" s="1" t="s">
        <v>135</v>
      </c>
      <c r="G104" s="1" t="s">
        <v>301</v>
      </c>
      <c r="H104" s="1" t="s">
        <v>291</v>
      </c>
      <c r="I104" s="1" t="s">
        <v>302</v>
      </c>
    </row>
    <row r="105" spans="1:9" ht="25" customHeight="1">
      <c r="A105" s="1"/>
      <c r="B105" s="1" t="s">
        <v>99</v>
      </c>
      <c r="C105" s="1" t="s">
        <v>134</v>
      </c>
      <c r="D105" s="1" t="s">
        <v>251</v>
      </c>
      <c r="E105" s="1">
        <v>0</v>
      </c>
      <c r="F105" s="1" t="s">
        <v>135</v>
      </c>
      <c r="G105" s="1" t="s">
        <v>301</v>
      </c>
      <c r="H105" s="1" t="s">
        <v>291</v>
      </c>
      <c r="I105" s="1" t="s">
        <v>302</v>
      </c>
    </row>
    <row r="106" spans="1:9" ht="25" customHeight="1">
      <c r="A106" s="1"/>
      <c r="B106" s="1" t="s">
        <v>99</v>
      </c>
      <c r="C106" s="1" t="s">
        <v>134</v>
      </c>
      <c r="D106" s="1" t="s">
        <v>252</v>
      </c>
      <c r="E106" s="1">
        <v>3</v>
      </c>
      <c r="F106" s="1" t="s">
        <v>135</v>
      </c>
      <c r="G106" s="1" t="s">
        <v>301</v>
      </c>
      <c r="H106" s="1" t="s">
        <v>291</v>
      </c>
      <c r="I106" s="1" t="s">
        <v>302</v>
      </c>
    </row>
    <row r="107" spans="1:9" ht="25" customHeight="1">
      <c r="A107" s="1"/>
      <c r="B107" s="1" t="s">
        <v>99</v>
      </c>
      <c r="C107" s="1" t="s">
        <v>134</v>
      </c>
      <c r="D107" s="1" t="s">
        <v>75</v>
      </c>
      <c r="E107" s="1">
        <v>-1</v>
      </c>
      <c r="F107" s="1" t="s">
        <v>135</v>
      </c>
      <c r="G107" s="1" t="s">
        <v>301</v>
      </c>
      <c r="H107" s="1" t="s">
        <v>291</v>
      </c>
      <c r="I107" s="1" t="s">
        <v>302</v>
      </c>
    </row>
    <row r="108" spans="1:9" ht="25" customHeight="1">
      <c r="A108" s="1"/>
      <c r="B108" s="1" t="s">
        <v>99</v>
      </c>
      <c r="C108" s="1" t="s">
        <v>134</v>
      </c>
      <c r="D108" s="1" t="s">
        <v>81</v>
      </c>
      <c r="E108" s="1">
        <v>7</v>
      </c>
      <c r="F108" s="1" t="s">
        <v>135</v>
      </c>
      <c r="G108" s="1" t="s">
        <v>301</v>
      </c>
      <c r="H108" s="1" t="s">
        <v>291</v>
      </c>
      <c r="I108" s="1" t="s">
        <v>302</v>
      </c>
    </row>
    <row r="109" spans="1:9" ht="25" customHeight="1">
      <c r="A109" s="1"/>
      <c r="B109" s="1" t="s">
        <v>99</v>
      </c>
      <c r="C109" s="1" t="s">
        <v>34</v>
      </c>
      <c r="D109" s="1" t="s">
        <v>263</v>
      </c>
      <c r="E109" s="1">
        <v>3461</v>
      </c>
      <c r="F109" s="1" t="s">
        <v>135</v>
      </c>
      <c r="G109" s="1" t="s">
        <v>303</v>
      </c>
      <c r="H109" s="1" t="s">
        <v>291</v>
      </c>
      <c r="I109" s="1" t="s">
        <v>304</v>
      </c>
    </row>
    <row r="110" spans="1:9" ht="25" customHeight="1">
      <c r="A110" s="1"/>
      <c r="B110" s="1" t="s">
        <v>99</v>
      </c>
      <c r="C110" s="1" t="s">
        <v>43</v>
      </c>
      <c r="D110" s="1" t="s">
        <v>263</v>
      </c>
      <c r="E110" s="1">
        <v>1608</v>
      </c>
      <c r="F110" s="1" t="s">
        <v>135</v>
      </c>
      <c r="G110" s="1" t="s">
        <v>305</v>
      </c>
      <c r="H110" s="1" t="s">
        <v>291</v>
      </c>
      <c r="I110" s="1" t="s">
        <v>306</v>
      </c>
    </row>
    <row r="111" spans="1:9" ht="25" customHeight="1">
      <c r="A111" s="1"/>
      <c r="B111" s="1" t="s">
        <v>99</v>
      </c>
      <c r="C111" s="1" t="s">
        <v>45</v>
      </c>
      <c r="D111" s="1" t="s">
        <v>263</v>
      </c>
      <c r="E111" s="1">
        <v>2510</v>
      </c>
      <c r="F111" s="1" t="s">
        <v>135</v>
      </c>
      <c r="G111" s="1" t="s">
        <v>307</v>
      </c>
      <c r="H111" s="1" t="s">
        <v>291</v>
      </c>
      <c r="I111" s="1" t="s">
        <v>308</v>
      </c>
    </row>
    <row r="112" spans="1:9" ht="25" customHeight="1">
      <c r="A112" s="1"/>
      <c r="B112" s="1" t="s">
        <v>99</v>
      </c>
      <c r="C112" s="1" t="s">
        <v>50</v>
      </c>
      <c r="D112" s="1" t="s">
        <v>263</v>
      </c>
      <c r="E112" s="1">
        <v>6876</v>
      </c>
      <c r="F112" s="1" t="s">
        <v>135</v>
      </c>
      <c r="G112" s="1" t="s">
        <v>309</v>
      </c>
      <c r="H112" s="1" t="s">
        <v>291</v>
      </c>
      <c r="I112" s="1" t="s">
        <v>310</v>
      </c>
    </row>
    <row r="113" spans="1:9" ht="25" customHeight="1">
      <c r="A113" s="1"/>
      <c r="B113" s="1" t="s">
        <v>99</v>
      </c>
      <c r="C113" s="1" t="s">
        <v>55</v>
      </c>
      <c r="D113" s="1" t="s">
        <v>263</v>
      </c>
      <c r="E113" s="1">
        <v>4821</v>
      </c>
      <c r="F113" s="1" t="s">
        <v>135</v>
      </c>
      <c r="G113" s="1" t="s">
        <v>311</v>
      </c>
      <c r="H113" s="1" t="s">
        <v>291</v>
      </c>
      <c r="I113" s="1" t="s">
        <v>312</v>
      </c>
    </row>
    <row r="114" spans="1:9" ht="25" customHeight="1">
      <c r="A114" s="1"/>
      <c r="B114" s="1" t="s">
        <v>99</v>
      </c>
      <c r="C114" s="1" t="s">
        <v>133</v>
      </c>
      <c r="D114" s="1" t="s">
        <v>263</v>
      </c>
      <c r="E114" s="1">
        <v>239</v>
      </c>
      <c r="F114" s="1" t="s">
        <v>135</v>
      </c>
      <c r="G114" s="1" t="s">
        <v>313</v>
      </c>
      <c r="H114" s="1" t="s">
        <v>291</v>
      </c>
      <c r="I114" s="1" t="s">
        <v>314</v>
      </c>
    </row>
    <row r="115" spans="1:9" ht="25" customHeight="1">
      <c r="A115" s="1"/>
      <c r="B115" s="1" t="s">
        <v>99</v>
      </c>
      <c r="C115" s="1" t="s">
        <v>134</v>
      </c>
      <c r="D115" s="1" t="s">
        <v>263</v>
      </c>
      <c r="E115" s="1">
        <v>19515</v>
      </c>
      <c r="F115" s="1" t="s">
        <v>135</v>
      </c>
      <c r="G115" s="1" t="s">
        <v>315</v>
      </c>
      <c r="H115" s="1" t="s">
        <v>291</v>
      </c>
      <c r="I115" s="1" t="s">
        <v>316</v>
      </c>
    </row>
    <row r="116" spans="1:9" ht="25" customHeight="1">
      <c r="A116" s="1"/>
      <c r="B116" s="1" t="s">
        <v>100</v>
      </c>
      <c r="C116" s="1" t="s">
        <v>34</v>
      </c>
      <c r="D116" s="1" t="s">
        <v>245</v>
      </c>
      <c r="E116" s="1">
        <v>-1</v>
      </c>
      <c r="F116" s="1" t="s">
        <v>136</v>
      </c>
      <c r="G116" s="1" t="s">
        <v>317</v>
      </c>
      <c r="H116" s="1" t="s">
        <v>318</v>
      </c>
      <c r="I116" s="1" t="s">
        <v>319</v>
      </c>
    </row>
    <row r="117" spans="1:9" ht="25" customHeight="1">
      <c r="A117" s="1"/>
      <c r="B117" s="1" t="s">
        <v>100</v>
      </c>
      <c r="C117" s="1" t="s">
        <v>34</v>
      </c>
      <c r="D117" s="1" t="s">
        <v>75</v>
      </c>
      <c r="E117" s="1">
        <v>-1</v>
      </c>
      <c r="F117" s="1" t="s">
        <v>136</v>
      </c>
      <c r="G117" s="1" t="s">
        <v>317</v>
      </c>
      <c r="H117" s="1" t="s">
        <v>318</v>
      </c>
      <c r="I117" s="1" t="s">
        <v>319</v>
      </c>
    </row>
    <row r="118" spans="1:9" ht="25" customHeight="1">
      <c r="A118" s="1"/>
      <c r="B118" s="1" t="s">
        <v>100</v>
      </c>
      <c r="C118" s="1" t="s">
        <v>34</v>
      </c>
      <c r="D118" s="1" t="s">
        <v>249</v>
      </c>
      <c r="E118" s="1">
        <v>-6</v>
      </c>
      <c r="F118" s="1" t="s">
        <v>136</v>
      </c>
      <c r="G118" s="1" t="s">
        <v>317</v>
      </c>
      <c r="H118" s="1" t="s">
        <v>318</v>
      </c>
      <c r="I118" s="1" t="s">
        <v>319</v>
      </c>
    </row>
    <row r="119" spans="1:9" ht="25" customHeight="1">
      <c r="A119" s="1"/>
      <c r="B119" s="1" t="s">
        <v>100</v>
      </c>
      <c r="C119" s="1" t="s">
        <v>34</v>
      </c>
      <c r="D119" s="1" t="s">
        <v>79</v>
      </c>
      <c r="E119" s="1">
        <v>7</v>
      </c>
      <c r="F119" s="1" t="s">
        <v>136</v>
      </c>
      <c r="G119" s="1" t="s">
        <v>317</v>
      </c>
      <c r="H119" s="1" t="s">
        <v>318</v>
      </c>
      <c r="I119" s="1" t="s">
        <v>319</v>
      </c>
    </row>
    <row r="120" spans="1:9" ht="25" customHeight="1">
      <c r="A120" s="1"/>
      <c r="B120" s="1" t="s">
        <v>100</v>
      </c>
      <c r="C120" s="1" t="s">
        <v>34</v>
      </c>
      <c r="D120" s="1" t="s">
        <v>250</v>
      </c>
      <c r="E120" s="1">
        <v>-2</v>
      </c>
      <c r="F120" s="1" t="s">
        <v>136</v>
      </c>
      <c r="G120" s="1" t="s">
        <v>317</v>
      </c>
      <c r="H120" s="1" t="s">
        <v>318</v>
      </c>
      <c r="I120" s="1" t="s">
        <v>319</v>
      </c>
    </row>
    <row r="121" spans="1:9" ht="25" customHeight="1">
      <c r="A121" s="1"/>
      <c r="B121" s="1" t="s">
        <v>100</v>
      </c>
      <c r="C121" s="1" t="s">
        <v>34</v>
      </c>
      <c r="D121" s="1" t="s">
        <v>251</v>
      </c>
      <c r="E121" s="1">
        <v>2</v>
      </c>
      <c r="F121" s="1" t="s">
        <v>136</v>
      </c>
      <c r="G121" s="1" t="s">
        <v>317</v>
      </c>
      <c r="H121" s="1" t="s">
        <v>318</v>
      </c>
      <c r="I121" s="1" t="s">
        <v>319</v>
      </c>
    </row>
    <row r="122" spans="1:9" ht="25" customHeight="1">
      <c r="A122" s="1"/>
      <c r="B122" s="1" t="s">
        <v>100</v>
      </c>
      <c r="C122" s="1" t="s">
        <v>34</v>
      </c>
      <c r="D122" s="1" t="s">
        <v>252</v>
      </c>
      <c r="E122" s="1">
        <v>0</v>
      </c>
      <c r="F122" s="1" t="s">
        <v>136</v>
      </c>
      <c r="G122" s="1" t="s">
        <v>317</v>
      </c>
      <c r="H122" s="1" t="s">
        <v>318</v>
      </c>
      <c r="I122" s="1" t="s">
        <v>319</v>
      </c>
    </row>
    <row r="123" spans="1:9" ht="25" customHeight="1">
      <c r="A123" s="1"/>
      <c r="B123" s="1" t="s">
        <v>100</v>
      </c>
      <c r="C123" s="1" t="s">
        <v>43</v>
      </c>
      <c r="D123" s="1" t="s">
        <v>245</v>
      </c>
      <c r="E123" s="1">
        <v>0</v>
      </c>
      <c r="F123" s="1" t="s">
        <v>136</v>
      </c>
      <c r="G123" s="1" t="s">
        <v>320</v>
      </c>
      <c r="H123" s="1" t="s">
        <v>318</v>
      </c>
      <c r="I123" s="1" t="s">
        <v>321</v>
      </c>
    </row>
    <row r="124" spans="1:9" ht="25" customHeight="1">
      <c r="A124" s="1"/>
      <c r="B124" s="1" t="s">
        <v>100</v>
      </c>
      <c r="C124" s="1" t="s">
        <v>43</v>
      </c>
      <c r="D124" s="1" t="s">
        <v>75</v>
      </c>
      <c r="E124" s="1">
        <v>1</v>
      </c>
      <c r="F124" s="1" t="s">
        <v>136</v>
      </c>
      <c r="G124" s="1" t="s">
        <v>320</v>
      </c>
      <c r="H124" s="1" t="s">
        <v>318</v>
      </c>
      <c r="I124" s="1" t="s">
        <v>321</v>
      </c>
    </row>
    <row r="125" spans="1:9" ht="25" customHeight="1">
      <c r="A125" s="1"/>
      <c r="B125" s="1" t="s">
        <v>100</v>
      </c>
      <c r="C125" s="1" t="s">
        <v>43</v>
      </c>
      <c r="D125" s="1" t="s">
        <v>249</v>
      </c>
      <c r="E125" s="1">
        <v>-8</v>
      </c>
      <c r="F125" s="1" t="s">
        <v>136</v>
      </c>
      <c r="G125" s="1" t="s">
        <v>320</v>
      </c>
      <c r="H125" s="1" t="s">
        <v>318</v>
      </c>
      <c r="I125" s="1" t="s">
        <v>321</v>
      </c>
    </row>
    <row r="126" spans="1:9" ht="25" customHeight="1">
      <c r="A126" s="1"/>
      <c r="B126" s="1" t="s">
        <v>100</v>
      </c>
      <c r="C126" s="1" t="s">
        <v>43</v>
      </c>
      <c r="D126" s="1" t="s">
        <v>79</v>
      </c>
      <c r="E126" s="1">
        <v>8</v>
      </c>
      <c r="F126" s="1" t="s">
        <v>136</v>
      </c>
      <c r="G126" s="1" t="s">
        <v>320</v>
      </c>
      <c r="H126" s="1" t="s">
        <v>318</v>
      </c>
      <c r="I126" s="1" t="s">
        <v>321</v>
      </c>
    </row>
    <row r="127" spans="1:9" ht="25" customHeight="1">
      <c r="A127" s="1"/>
      <c r="B127" s="1" t="s">
        <v>100</v>
      </c>
      <c r="C127" s="1" t="s">
        <v>43</v>
      </c>
      <c r="D127" s="1" t="s">
        <v>250</v>
      </c>
      <c r="E127" s="1">
        <v>-4</v>
      </c>
      <c r="F127" s="1" t="s">
        <v>136</v>
      </c>
      <c r="G127" s="1" t="s">
        <v>320</v>
      </c>
      <c r="H127" s="1" t="s">
        <v>318</v>
      </c>
      <c r="I127" s="1" t="s">
        <v>321</v>
      </c>
    </row>
    <row r="128" spans="1:9" ht="25" customHeight="1">
      <c r="A128" s="1"/>
      <c r="B128" s="1" t="s">
        <v>100</v>
      </c>
      <c r="C128" s="1" t="s">
        <v>43</v>
      </c>
      <c r="D128" s="1" t="s">
        <v>251</v>
      </c>
      <c r="E128" s="1">
        <v>0</v>
      </c>
      <c r="F128" s="1" t="s">
        <v>136</v>
      </c>
      <c r="G128" s="1" t="s">
        <v>320</v>
      </c>
      <c r="H128" s="1" t="s">
        <v>318</v>
      </c>
      <c r="I128" s="1" t="s">
        <v>321</v>
      </c>
    </row>
    <row r="129" spans="1:9" ht="25" customHeight="1">
      <c r="A129" s="1"/>
      <c r="B129" s="1" t="s">
        <v>100</v>
      </c>
      <c r="C129" s="1" t="s">
        <v>43</v>
      </c>
      <c r="D129" s="1" t="s">
        <v>252</v>
      </c>
      <c r="E129" s="1">
        <v>-4</v>
      </c>
      <c r="F129" s="1" t="s">
        <v>136</v>
      </c>
      <c r="G129" s="1" t="s">
        <v>320</v>
      </c>
      <c r="H129" s="1" t="s">
        <v>318</v>
      </c>
      <c r="I129" s="1" t="s">
        <v>321</v>
      </c>
    </row>
    <row r="130" spans="1:9" ht="25" customHeight="1">
      <c r="A130" s="1"/>
      <c r="B130" s="1" t="s">
        <v>100</v>
      </c>
      <c r="C130" s="1" t="s">
        <v>45</v>
      </c>
      <c r="D130" s="1" t="s">
        <v>245</v>
      </c>
      <c r="E130" s="1">
        <v>-2</v>
      </c>
      <c r="F130" s="1" t="s">
        <v>136</v>
      </c>
      <c r="G130" s="1" t="s">
        <v>322</v>
      </c>
      <c r="H130" s="1" t="s">
        <v>318</v>
      </c>
      <c r="I130" s="1" t="s">
        <v>323</v>
      </c>
    </row>
    <row r="131" spans="1:9" ht="25" customHeight="1">
      <c r="A131" s="1"/>
      <c r="B131" s="1" t="s">
        <v>100</v>
      </c>
      <c r="C131" s="1" t="s">
        <v>45</v>
      </c>
      <c r="D131" s="1" t="s">
        <v>75</v>
      </c>
      <c r="E131" s="1">
        <v>-2</v>
      </c>
      <c r="F131" s="1" t="s">
        <v>136</v>
      </c>
      <c r="G131" s="1" t="s">
        <v>322</v>
      </c>
      <c r="H131" s="1" t="s">
        <v>318</v>
      </c>
      <c r="I131" s="1" t="s">
        <v>323</v>
      </c>
    </row>
    <row r="132" spans="1:9" ht="25" customHeight="1">
      <c r="A132" s="1"/>
      <c r="B132" s="1" t="s">
        <v>100</v>
      </c>
      <c r="C132" s="1" t="s">
        <v>45</v>
      </c>
      <c r="D132" s="1" t="s">
        <v>249</v>
      </c>
      <c r="E132" s="1">
        <v>-5</v>
      </c>
      <c r="F132" s="1" t="s">
        <v>136</v>
      </c>
      <c r="G132" s="1" t="s">
        <v>322</v>
      </c>
      <c r="H132" s="1" t="s">
        <v>318</v>
      </c>
      <c r="I132" s="1" t="s">
        <v>323</v>
      </c>
    </row>
    <row r="133" spans="1:9" ht="25" customHeight="1">
      <c r="A133" s="1"/>
      <c r="B133" s="1" t="s">
        <v>100</v>
      </c>
      <c r="C133" s="1" t="s">
        <v>45</v>
      </c>
      <c r="D133" s="1" t="s">
        <v>79</v>
      </c>
      <c r="E133" s="1">
        <v>6</v>
      </c>
      <c r="F133" s="1" t="s">
        <v>136</v>
      </c>
      <c r="G133" s="1" t="s">
        <v>322</v>
      </c>
      <c r="H133" s="1" t="s">
        <v>318</v>
      </c>
      <c r="I133" s="1" t="s">
        <v>323</v>
      </c>
    </row>
    <row r="134" spans="1:9" ht="25" customHeight="1">
      <c r="A134" s="1"/>
      <c r="B134" s="1" t="s">
        <v>100</v>
      </c>
      <c r="C134" s="1" t="s">
        <v>45</v>
      </c>
      <c r="D134" s="1" t="s">
        <v>250</v>
      </c>
      <c r="E134" s="1">
        <v>4</v>
      </c>
      <c r="F134" s="1" t="s">
        <v>136</v>
      </c>
      <c r="G134" s="1" t="s">
        <v>322</v>
      </c>
      <c r="H134" s="1" t="s">
        <v>318</v>
      </c>
      <c r="I134" s="1" t="s">
        <v>323</v>
      </c>
    </row>
    <row r="135" spans="1:9" ht="25" customHeight="1">
      <c r="A135" s="1"/>
      <c r="B135" s="1" t="s">
        <v>100</v>
      </c>
      <c r="C135" s="1" t="s">
        <v>45</v>
      </c>
      <c r="D135" s="1" t="s">
        <v>251</v>
      </c>
      <c r="E135" s="1">
        <v>0</v>
      </c>
      <c r="F135" s="1" t="s">
        <v>136</v>
      </c>
      <c r="G135" s="1" t="s">
        <v>322</v>
      </c>
      <c r="H135" s="1" t="s">
        <v>318</v>
      </c>
      <c r="I135" s="1" t="s">
        <v>323</v>
      </c>
    </row>
    <row r="136" spans="1:9" ht="25" customHeight="1">
      <c r="A136" s="1"/>
      <c r="B136" s="1" t="s">
        <v>100</v>
      </c>
      <c r="C136" s="1" t="s">
        <v>45</v>
      </c>
      <c r="D136" s="1" t="s">
        <v>252</v>
      </c>
      <c r="E136" s="1">
        <v>3</v>
      </c>
      <c r="F136" s="1" t="s">
        <v>136</v>
      </c>
      <c r="G136" s="1" t="s">
        <v>322</v>
      </c>
      <c r="H136" s="1" t="s">
        <v>318</v>
      </c>
      <c r="I136" s="1" t="s">
        <v>323</v>
      </c>
    </row>
    <row r="137" spans="1:9" ht="25" customHeight="1">
      <c r="A137" s="1"/>
      <c r="B137" s="1" t="s">
        <v>100</v>
      </c>
      <c r="C137" s="1" t="s">
        <v>50</v>
      </c>
      <c r="D137" s="1" t="s">
        <v>245</v>
      </c>
      <c r="E137" s="1">
        <v>-4</v>
      </c>
      <c r="F137" s="1" t="s">
        <v>136</v>
      </c>
      <c r="G137" s="1" t="s">
        <v>324</v>
      </c>
      <c r="H137" s="1" t="s">
        <v>318</v>
      </c>
      <c r="I137" s="1" t="s">
        <v>325</v>
      </c>
    </row>
    <row r="138" spans="1:9" ht="25" customHeight="1">
      <c r="A138" s="1"/>
      <c r="B138" s="1" t="s">
        <v>100</v>
      </c>
      <c r="C138" s="1" t="s">
        <v>50</v>
      </c>
      <c r="D138" s="1" t="s">
        <v>75</v>
      </c>
      <c r="E138" s="1">
        <v>-4</v>
      </c>
      <c r="F138" s="1" t="s">
        <v>136</v>
      </c>
      <c r="G138" s="1" t="s">
        <v>324</v>
      </c>
      <c r="H138" s="1" t="s">
        <v>318</v>
      </c>
      <c r="I138" s="1" t="s">
        <v>325</v>
      </c>
    </row>
    <row r="139" spans="1:9" ht="25" customHeight="1">
      <c r="A139" s="1"/>
      <c r="B139" s="1" t="s">
        <v>100</v>
      </c>
      <c r="C139" s="1" t="s">
        <v>50</v>
      </c>
      <c r="D139" s="1" t="s">
        <v>249</v>
      </c>
      <c r="E139" s="1">
        <v>-6</v>
      </c>
      <c r="F139" s="1" t="s">
        <v>136</v>
      </c>
      <c r="G139" s="1" t="s">
        <v>324</v>
      </c>
      <c r="H139" s="1" t="s">
        <v>318</v>
      </c>
      <c r="I139" s="1" t="s">
        <v>325</v>
      </c>
    </row>
    <row r="140" spans="1:9" ht="25" customHeight="1">
      <c r="A140" s="1"/>
      <c r="B140" s="1" t="s">
        <v>100</v>
      </c>
      <c r="C140" s="1" t="s">
        <v>50</v>
      </c>
      <c r="D140" s="1" t="s">
        <v>79</v>
      </c>
      <c r="E140" s="1">
        <v>11</v>
      </c>
      <c r="F140" s="1" t="s">
        <v>136</v>
      </c>
      <c r="G140" s="1" t="s">
        <v>324</v>
      </c>
      <c r="H140" s="1" t="s">
        <v>318</v>
      </c>
      <c r="I140" s="1" t="s">
        <v>325</v>
      </c>
    </row>
    <row r="141" spans="1:9" ht="25" customHeight="1">
      <c r="A141" s="1"/>
      <c r="B141" s="1" t="s">
        <v>100</v>
      </c>
      <c r="C141" s="1" t="s">
        <v>50</v>
      </c>
      <c r="D141" s="1" t="s">
        <v>250</v>
      </c>
      <c r="E141" s="1">
        <v>1</v>
      </c>
      <c r="F141" s="1" t="s">
        <v>136</v>
      </c>
      <c r="G141" s="1" t="s">
        <v>324</v>
      </c>
      <c r="H141" s="1" t="s">
        <v>318</v>
      </c>
      <c r="I141" s="1" t="s">
        <v>325</v>
      </c>
    </row>
    <row r="142" spans="1:9" ht="25" customHeight="1">
      <c r="A142" s="1"/>
      <c r="B142" s="1" t="s">
        <v>100</v>
      </c>
      <c r="C142" s="1" t="s">
        <v>50</v>
      </c>
      <c r="D142" s="1" t="s">
        <v>251</v>
      </c>
      <c r="E142" s="1">
        <v>-1</v>
      </c>
      <c r="F142" s="1" t="s">
        <v>136</v>
      </c>
      <c r="G142" s="1" t="s">
        <v>324</v>
      </c>
      <c r="H142" s="1" t="s">
        <v>318</v>
      </c>
      <c r="I142" s="1" t="s">
        <v>325</v>
      </c>
    </row>
    <row r="143" spans="1:9" ht="25" customHeight="1">
      <c r="A143" s="1"/>
      <c r="B143" s="1" t="s">
        <v>100</v>
      </c>
      <c r="C143" s="1" t="s">
        <v>50</v>
      </c>
      <c r="D143" s="1" t="s">
        <v>252</v>
      </c>
      <c r="E143" s="1">
        <v>1</v>
      </c>
      <c r="F143" s="1" t="s">
        <v>136</v>
      </c>
      <c r="G143" s="1" t="s">
        <v>324</v>
      </c>
      <c r="H143" s="1" t="s">
        <v>318</v>
      </c>
      <c r="I143" s="1" t="s">
        <v>325</v>
      </c>
    </row>
    <row r="144" spans="1:9" ht="25" customHeight="1">
      <c r="A144" s="1"/>
      <c r="B144" s="1" t="s">
        <v>100</v>
      </c>
      <c r="C144" s="1" t="s">
        <v>55</v>
      </c>
      <c r="D144" s="1" t="s">
        <v>245</v>
      </c>
      <c r="E144" s="1">
        <v>-3</v>
      </c>
      <c r="F144" s="1" t="s">
        <v>136</v>
      </c>
      <c r="G144" s="1" t="s">
        <v>326</v>
      </c>
      <c r="H144" s="1" t="s">
        <v>318</v>
      </c>
      <c r="I144" s="1" t="s">
        <v>327</v>
      </c>
    </row>
    <row r="145" spans="1:9" ht="25" customHeight="1">
      <c r="A145" s="1"/>
      <c r="B145" s="1" t="s">
        <v>100</v>
      </c>
      <c r="C145" s="1" t="s">
        <v>55</v>
      </c>
      <c r="D145" s="1" t="s">
        <v>75</v>
      </c>
      <c r="E145" s="1">
        <v>-3</v>
      </c>
      <c r="F145" s="1" t="s">
        <v>136</v>
      </c>
      <c r="G145" s="1" t="s">
        <v>326</v>
      </c>
      <c r="H145" s="1" t="s">
        <v>318</v>
      </c>
      <c r="I145" s="1" t="s">
        <v>327</v>
      </c>
    </row>
    <row r="146" spans="1:9" ht="25" customHeight="1">
      <c r="A146" s="1"/>
      <c r="B146" s="1" t="s">
        <v>100</v>
      </c>
      <c r="C146" s="1" t="s">
        <v>55</v>
      </c>
      <c r="D146" s="1" t="s">
        <v>249</v>
      </c>
      <c r="E146" s="1">
        <v>-5</v>
      </c>
      <c r="F146" s="1" t="s">
        <v>136</v>
      </c>
      <c r="G146" s="1" t="s">
        <v>326</v>
      </c>
      <c r="H146" s="1" t="s">
        <v>318</v>
      </c>
      <c r="I146" s="1" t="s">
        <v>327</v>
      </c>
    </row>
    <row r="147" spans="1:9" ht="25" customHeight="1">
      <c r="A147" s="1"/>
      <c r="B147" s="1" t="s">
        <v>100</v>
      </c>
      <c r="C147" s="1" t="s">
        <v>55</v>
      </c>
      <c r="D147" s="1" t="s">
        <v>79</v>
      </c>
      <c r="E147" s="1">
        <v>8</v>
      </c>
      <c r="F147" s="1" t="s">
        <v>136</v>
      </c>
      <c r="G147" s="1" t="s">
        <v>326</v>
      </c>
      <c r="H147" s="1" t="s">
        <v>318</v>
      </c>
      <c r="I147" s="1" t="s">
        <v>327</v>
      </c>
    </row>
    <row r="148" spans="1:9" ht="25" customHeight="1">
      <c r="A148" s="1"/>
      <c r="B148" s="1" t="s">
        <v>100</v>
      </c>
      <c r="C148" s="1" t="s">
        <v>55</v>
      </c>
      <c r="D148" s="1" t="s">
        <v>250</v>
      </c>
      <c r="E148" s="1">
        <v>1</v>
      </c>
      <c r="F148" s="1" t="s">
        <v>136</v>
      </c>
      <c r="G148" s="1" t="s">
        <v>326</v>
      </c>
      <c r="H148" s="1" t="s">
        <v>318</v>
      </c>
      <c r="I148" s="1" t="s">
        <v>327</v>
      </c>
    </row>
    <row r="149" spans="1:9" ht="25" customHeight="1">
      <c r="A149" s="1"/>
      <c r="B149" s="1" t="s">
        <v>100</v>
      </c>
      <c r="C149" s="1" t="s">
        <v>55</v>
      </c>
      <c r="D149" s="1" t="s">
        <v>251</v>
      </c>
      <c r="E149" s="1">
        <v>0</v>
      </c>
      <c r="F149" s="1" t="s">
        <v>136</v>
      </c>
      <c r="G149" s="1" t="s">
        <v>326</v>
      </c>
      <c r="H149" s="1" t="s">
        <v>318</v>
      </c>
      <c r="I149" s="1" t="s">
        <v>327</v>
      </c>
    </row>
    <row r="150" spans="1:9" ht="25" customHeight="1">
      <c r="A150" s="1"/>
      <c r="B150" s="1" t="s">
        <v>100</v>
      </c>
      <c r="C150" s="1" t="s">
        <v>55</v>
      </c>
      <c r="D150" s="1" t="s">
        <v>252</v>
      </c>
      <c r="E150" s="1">
        <v>1</v>
      </c>
      <c r="F150" s="1" t="s">
        <v>136</v>
      </c>
      <c r="G150" s="1" t="s">
        <v>326</v>
      </c>
      <c r="H150" s="1" t="s">
        <v>318</v>
      </c>
      <c r="I150" s="1" t="s">
        <v>327</v>
      </c>
    </row>
    <row r="151" spans="1:9" ht="25" customHeight="1">
      <c r="A151" s="1"/>
      <c r="B151" s="1" t="s">
        <v>100</v>
      </c>
      <c r="C151" s="1" t="s">
        <v>134</v>
      </c>
      <c r="D151" s="1" t="s">
        <v>245</v>
      </c>
      <c r="E151" s="1">
        <v>-3</v>
      </c>
      <c r="F151" s="1" t="s">
        <v>136</v>
      </c>
      <c r="G151" s="1" t="s">
        <v>328</v>
      </c>
      <c r="H151" s="1" t="s">
        <v>318</v>
      </c>
      <c r="I151" s="1" t="s">
        <v>329</v>
      </c>
    </row>
    <row r="152" spans="1:9" ht="25" customHeight="1">
      <c r="A152" s="1"/>
      <c r="B152" s="1" t="s">
        <v>100</v>
      </c>
      <c r="C152" s="1" t="s">
        <v>134</v>
      </c>
      <c r="D152" s="1" t="s">
        <v>75</v>
      </c>
      <c r="E152" s="1">
        <v>-3</v>
      </c>
      <c r="F152" s="1" t="s">
        <v>136</v>
      </c>
      <c r="G152" s="1" t="s">
        <v>328</v>
      </c>
      <c r="H152" s="1" t="s">
        <v>318</v>
      </c>
      <c r="I152" s="1" t="s">
        <v>329</v>
      </c>
    </row>
    <row r="153" spans="1:9" ht="25" customHeight="1">
      <c r="A153" s="1"/>
      <c r="B153" s="1" t="s">
        <v>100</v>
      </c>
      <c r="C153" s="1" t="s">
        <v>134</v>
      </c>
      <c r="D153" s="1" t="s">
        <v>249</v>
      </c>
      <c r="E153" s="1">
        <v>-6</v>
      </c>
      <c r="F153" s="1" t="s">
        <v>136</v>
      </c>
      <c r="G153" s="1" t="s">
        <v>328</v>
      </c>
      <c r="H153" s="1" t="s">
        <v>318</v>
      </c>
      <c r="I153" s="1" t="s">
        <v>329</v>
      </c>
    </row>
    <row r="154" spans="1:9" ht="25" customHeight="1">
      <c r="A154" s="1"/>
      <c r="B154" s="1" t="s">
        <v>100</v>
      </c>
      <c r="C154" s="1" t="s">
        <v>134</v>
      </c>
      <c r="D154" s="1" t="s">
        <v>79</v>
      </c>
      <c r="E154" s="1">
        <v>9</v>
      </c>
      <c r="F154" s="1" t="s">
        <v>136</v>
      </c>
      <c r="G154" s="1" t="s">
        <v>328</v>
      </c>
      <c r="H154" s="1" t="s">
        <v>318</v>
      </c>
      <c r="I154" s="1" t="s">
        <v>329</v>
      </c>
    </row>
    <row r="155" spans="1:9" ht="25" customHeight="1">
      <c r="A155" s="1"/>
      <c r="B155" s="1" t="s">
        <v>100</v>
      </c>
      <c r="C155" s="1" t="s">
        <v>134</v>
      </c>
      <c r="D155" s="1" t="s">
        <v>250</v>
      </c>
      <c r="E155" s="1">
        <v>1</v>
      </c>
      <c r="F155" s="1" t="s">
        <v>136</v>
      </c>
      <c r="G155" s="1" t="s">
        <v>328</v>
      </c>
      <c r="H155" s="1" t="s">
        <v>318</v>
      </c>
      <c r="I155" s="1" t="s">
        <v>329</v>
      </c>
    </row>
    <row r="156" spans="1:9" ht="25" customHeight="1">
      <c r="A156" s="1"/>
      <c r="B156" s="1" t="s">
        <v>100</v>
      </c>
      <c r="C156" s="1" t="s">
        <v>134</v>
      </c>
      <c r="D156" s="1" t="s">
        <v>251</v>
      </c>
      <c r="E156" s="1">
        <v>0</v>
      </c>
      <c r="F156" s="1" t="s">
        <v>136</v>
      </c>
      <c r="G156" s="1" t="s">
        <v>328</v>
      </c>
      <c r="H156" s="1" t="s">
        <v>318</v>
      </c>
      <c r="I156" s="1" t="s">
        <v>329</v>
      </c>
    </row>
    <row r="157" spans="1:9" ht="25" customHeight="1">
      <c r="A157" s="1"/>
      <c r="B157" s="1" t="s">
        <v>100</v>
      </c>
      <c r="C157" s="1" t="s">
        <v>134</v>
      </c>
      <c r="D157" s="1" t="s">
        <v>252</v>
      </c>
      <c r="E157" s="1">
        <v>1</v>
      </c>
      <c r="F157" s="1" t="s">
        <v>136</v>
      </c>
      <c r="G157" s="1" t="s">
        <v>328</v>
      </c>
      <c r="H157" s="1" t="s">
        <v>318</v>
      </c>
      <c r="I157" s="1" t="s">
        <v>329</v>
      </c>
    </row>
    <row r="158" spans="1:9" ht="25" customHeight="1">
      <c r="A158" s="1"/>
      <c r="B158" s="1" t="s">
        <v>100</v>
      </c>
      <c r="C158" s="1" t="s">
        <v>34</v>
      </c>
      <c r="D158" s="1" t="s">
        <v>263</v>
      </c>
      <c r="E158" s="1">
        <v>3961</v>
      </c>
      <c r="F158" s="1" t="s">
        <v>136</v>
      </c>
      <c r="G158" s="1" t="s">
        <v>330</v>
      </c>
      <c r="H158" s="1" t="s">
        <v>318</v>
      </c>
      <c r="I158" s="1" t="s">
        <v>331</v>
      </c>
    </row>
    <row r="159" spans="1:9" ht="25" customHeight="1">
      <c r="A159" s="1"/>
      <c r="B159" s="1" t="s">
        <v>100</v>
      </c>
      <c r="C159" s="1" t="s">
        <v>43</v>
      </c>
      <c r="D159" s="1" t="s">
        <v>263</v>
      </c>
      <c r="E159" s="1">
        <v>1625</v>
      </c>
      <c r="F159" s="1" t="s">
        <v>136</v>
      </c>
      <c r="G159" s="1" t="s">
        <v>332</v>
      </c>
      <c r="H159" s="1" t="s">
        <v>318</v>
      </c>
      <c r="I159" s="1" t="s">
        <v>333</v>
      </c>
    </row>
    <row r="160" spans="1:9" ht="25" customHeight="1">
      <c r="A160" s="1"/>
      <c r="B160" s="1" t="s">
        <v>100</v>
      </c>
      <c r="C160" s="1" t="s">
        <v>45</v>
      </c>
      <c r="D160" s="1" t="s">
        <v>263</v>
      </c>
      <c r="E160" s="1">
        <v>2757</v>
      </c>
      <c r="F160" s="1" t="s">
        <v>136</v>
      </c>
      <c r="G160" s="1" t="s">
        <v>334</v>
      </c>
      <c r="H160" s="1" t="s">
        <v>318</v>
      </c>
      <c r="I160" s="1" t="s">
        <v>335</v>
      </c>
    </row>
    <row r="161" spans="1:9" ht="25" customHeight="1">
      <c r="A161" s="1"/>
      <c r="B161" s="1" t="s">
        <v>100</v>
      </c>
      <c r="C161" s="1" t="s">
        <v>50</v>
      </c>
      <c r="D161" s="1" t="s">
        <v>263</v>
      </c>
      <c r="E161" s="1">
        <v>7082</v>
      </c>
      <c r="F161" s="1" t="s">
        <v>136</v>
      </c>
      <c r="G161" s="1" t="s">
        <v>336</v>
      </c>
      <c r="H161" s="1" t="s">
        <v>318</v>
      </c>
      <c r="I161" s="1" t="s">
        <v>337</v>
      </c>
    </row>
    <row r="162" spans="1:9" ht="25" customHeight="1">
      <c r="A162" s="1"/>
      <c r="B162" s="1" t="s">
        <v>100</v>
      </c>
      <c r="C162" s="1" t="s">
        <v>55</v>
      </c>
      <c r="D162" s="1" t="s">
        <v>263</v>
      </c>
      <c r="E162" s="1">
        <v>4934</v>
      </c>
      <c r="F162" s="1" t="s">
        <v>136</v>
      </c>
      <c r="G162" s="1" t="s">
        <v>338</v>
      </c>
      <c r="H162" s="1" t="s">
        <v>318</v>
      </c>
      <c r="I162" s="1" t="s">
        <v>339</v>
      </c>
    </row>
    <row r="163" spans="1:9" ht="25" customHeight="1">
      <c r="A163" s="1"/>
      <c r="B163" s="1" t="s">
        <v>100</v>
      </c>
      <c r="C163" s="1" t="s">
        <v>133</v>
      </c>
      <c r="D163" s="1" t="s">
        <v>263</v>
      </c>
      <c r="E163" s="1">
        <v>253</v>
      </c>
      <c r="F163" s="1" t="s">
        <v>136</v>
      </c>
      <c r="G163" s="1" t="s">
        <v>340</v>
      </c>
      <c r="H163" s="1" t="s">
        <v>318</v>
      </c>
      <c r="I163" s="1" t="s">
        <v>341</v>
      </c>
    </row>
    <row r="164" spans="1:9" ht="25" customHeight="1">
      <c r="A164" s="1"/>
      <c r="B164" s="1" t="s">
        <v>100</v>
      </c>
      <c r="C164" s="1" t="s">
        <v>134</v>
      </c>
      <c r="D164" s="1" t="s">
        <v>263</v>
      </c>
      <c r="E164" s="1">
        <v>20612</v>
      </c>
      <c r="F164" s="1" t="s">
        <v>136</v>
      </c>
      <c r="G164" s="1" t="s">
        <v>342</v>
      </c>
      <c r="H164" s="1" t="s">
        <v>318</v>
      </c>
      <c r="I164" s="1" t="s">
        <v>343</v>
      </c>
    </row>
    <row r="165" spans="1:9" ht="25" customHeight="1">
      <c r="A165" s="1"/>
      <c r="B165" s="1" t="s">
        <v>100</v>
      </c>
      <c r="C165" s="1" t="s">
        <v>34</v>
      </c>
      <c r="D165" s="1" t="s">
        <v>81</v>
      </c>
      <c r="E165" s="1">
        <v>4</v>
      </c>
      <c r="F165" s="1" t="s">
        <v>136</v>
      </c>
      <c r="G165" s="1" t="s">
        <v>344</v>
      </c>
      <c r="H165" s="1" t="s">
        <v>318</v>
      </c>
      <c r="I165" s="1" t="s">
        <v>345</v>
      </c>
    </row>
    <row r="166" spans="1:9" ht="25" customHeight="1">
      <c r="A166" s="1"/>
      <c r="B166" s="1" t="s">
        <v>100</v>
      </c>
      <c r="C166" s="1" t="s">
        <v>43</v>
      </c>
      <c r="D166" s="1" t="s">
        <v>81</v>
      </c>
      <c r="E166" s="1">
        <v>5</v>
      </c>
      <c r="F166" s="1" t="s">
        <v>136</v>
      </c>
      <c r="G166" s="1" t="s">
        <v>246</v>
      </c>
      <c r="H166" s="1" t="s">
        <v>318</v>
      </c>
      <c r="I166" s="1" t="s">
        <v>346</v>
      </c>
    </row>
    <row r="167" spans="1:9" ht="25" customHeight="1">
      <c r="A167" s="1"/>
      <c r="B167" s="1" t="s">
        <v>100</v>
      </c>
      <c r="C167" s="1" t="s">
        <v>45</v>
      </c>
      <c r="D167" s="1" t="s">
        <v>81</v>
      </c>
      <c r="E167" s="1">
        <v>8</v>
      </c>
      <c r="F167" s="1" t="s">
        <v>136</v>
      </c>
      <c r="G167" s="1" t="s">
        <v>253</v>
      </c>
      <c r="H167" s="1" t="s">
        <v>318</v>
      </c>
      <c r="I167" s="1" t="s">
        <v>347</v>
      </c>
    </row>
    <row r="168" spans="1:9" ht="25" customHeight="1">
      <c r="A168" s="1"/>
      <c r="B168" s="1" t="s">
        <v>100</v>
      </c>
      <c r="C168" s="1" t="s">
        <v>50</v>
      </c>
      <c r="D168" s="1" t="s">
        <v>81</v>
      </c>
      <c r="E168" s="1">
        <v>8</v>
      </c>
      <c r="F168" s="1" t="s">
        <v>136</v>
      </c>
      <c r="G168" s="1" t="s">
        <v>255</v>
      </c>
      <c r="H168" s="1" t="s">
        <v>318</v>
      </c>
      <c r="I168" s="1" t="s">
        <v>348</v>
      </c>
    </row>
    <row r="169" spans="1:9" ht="25" customHeight="1">
      <c r="A169" s="1"/>
      <c r="B169" s="1" t="s">
        <v>100</v>
      </c>
      <c r="C169" s="1" t="s">
        <v>55</v>
      </c>
      <c r="D169" s="1" t="s">
        <v>81</v>
      </c>
      <c r="E169" s="1">
        <v>6</v>
      </c>
      <c r="F169" s="1" t="s">
        <v>136</v>
      </c>
      <c r="G169" s="1" t="s">
        <v>257</v>
      </c>
      <c r="H169" s="1" t="s">
        <v>318</v>
      </c>
      <c r="I169" s="1" t="s">
        <v>349</v>
      </c>
    </row>
    <row r="170" spans="1:9" ht="25" customHeight="1">
      <c r="A170" s="1"/>
      <c r="B170" s="1" t="s">
        <v>100</v>
      </c>
      <c r="C170" s="1" t="s">
        <v>134</v>
      </c>
      <c r="D170" s="1" t="s">
        <v>81</v>
      </c>
      <c r="E170" s="1">
        <v>7</v>
      </c>
      <c r="F170" s="1" t="s">
        <v>136</v>
      </c>
      <c r="G170" s="1" t="s">
        <v>259</v>
      </c>
      <c r="H170" s="1" t="s">
        <v>318</v>
      </c>
      <c r="I170" s="1" t="s">
        <v>350</v>
      </c>
    </row>
    <row r="171" spans="1:9" ht="25" customHeight="1">
      <c r="A171" s="1"/>
      <c r="B171" s="1" t="s">
        <v>101</v>
      </c>
      <c r="C171" s="1" t="s">
        <v>34</v>
      </c>
      <c r="D171" s="1" t="s">
        <v>245</v>
      </c>
      <c r="E171" s="1">
        <v>-4</v>
      </c>
      <c r="F171" s="1" t="s">
        <v>137</v>
      </c>
      <c r="G171" s="1" t="s">
        <v>246</v>
      </c>
      <c r="H171" s="1" t="s">
        <v>351</v>
      </c>
      <c r="I171" s="1" t="s">
        <v>352</v>
      </c>
    </row>
    <row r="172" spans="1:9" ht="25" customHeight="1">
      <c r="A172" s="1"/>
      <c r="B172" s="1" t="s">
        <v>101</v>
      </c>
      <c r="C172" s="1" t="s">
        <v>34</v>
      </c>
      <c r="D172" s="1" t="s">
        <v>75</v>
      </c>
      <c r="E172" s="1">
        <v>-4</v>
      </c>
      <c r="F172" s="1" t="s">
        <v>137</v>
      </c>
      <c r="G172" s="1" t="s">
        <v>246</v>
      </c>
      <c r="H172" s="1" t="s">
        <v>351</v>
      </c>
      <c r="I172" s="1" t="s">
        <v>352</v>
      </c>
    </row>
    <row r="173" spans="1:9" ht="25" customHeight="1">
      <c r="A173" s="1"/>
      <c r="B173" s="1" t="s">
        <v>101</v>
      </c>
      <c r="C173" s="1" t="s">
        <v>34</v>
      </c>
      <c r="D173" s="1" t="s">
        <v>249</v>
      </c>
      <c r="E173" s="1">
        <v>-8</v>
      </c>
      <c r="F173" s="1" t="s">
        <v>137</v>
      </c>
      <c r="G173" s="1" t="s">
        <v>246</v>
      </c>
      <c r="H173" s="1" t="s">
        <v>351</v>
      </c>
      <c r="I173" s="1" t="s">
        <v>352</v>
      </c>
    </row>
    <row r="174" spans="1:9" ht="25" customHeight="1">
      <c r="A174" s="1"/>
      <c r="B174" s="1" t="s">
        <v>101</v>
      </c>
      <c r="C174" s="1" t="s">
        <v>34</v>
      </c>
      <c r="D174" s="1" t="s">
        <v>79</v>
      </c>
      <c r="E174" s="1">
        <v>9</v>
      </c>
      <c r="F174" s="1" t="s">
        <v>137</v>
      </c>
      <c r="G174" s="1" t="s">
        <v>246</v>
      </c>
      <c r="H174" s="1" t="s">
        <v>351</v>
      </c>
      <c r="I174" s="1" t="s">
        <v>352</v>
      </c>
    </row>
    <row r="175" spans="1:9" ht="25" customHeight="1">
      <c r="A175" s="1"/>
      <c r="B175" s="1" t="s">
        <v>101</v>
      </c>
      <c r="C175" s="1" t="s">
        <v>34</v>
      </c>
      <c r="D175" s="1" t="s">
        <v>250</v>
      </c>
      <c r="E175" s="1">
        <v>-2</v>
      </c>
      <c r="F175" s="1" t="s">
        <v>137</v>
      </c>
      <c r="G175" s="1" t="s">
        <v>246</v>
      </c>
      <c r="H175" s="1" t="s">
        <v>351</v>
      </c>
      <c r="I175" s="1" t="s">
        <v>352</v>
      </c>
    </row>
    <row r="176" spans="1:9" ht="25" customHeight="1">
      <c r="A176" s="1"/>
      <c r="B176" s="1" t="s">
        <v>101</v>
      </c>
      <c r="C176" s="1" t="s">
        <v>34</v>
      </c>
      <c r="D176" s="1" t="s">
        <v>251</v>
      </c>
      <c r="E176" s="1">
        <v>2</v>
      </c>
      <c r="F176" s="1" t="s">
        <v>137</v>
      </c>
      <c r="G176" s="1" t="s">
        <v>246</v>
      </c>
      <c r="H176" s="1" t="s">
        <v>351</v>
      </c>
      <c r="I176" s="1" t="s">
        <v>352</v>
      </c>
    </row>
    <row r="177" spans="1:9" ht="25" customHeight="1">
      <c r="A177" s="1"/>
      <c r="B177" s="1" t="s">
        <v>101</v>
      </c>
      <c r="C177" s="1" t="s">
        <v>34</v>
      </c>
      <c r="D177" s="1" t="s">
        <v>252</v>
      </c>
      <c r="E177" s="1">
        <v>-3</v>
      </c>
      <c r="F177" s="1" t="s">
        <v>137</v>
      </c>
      <c r="G177" s="1" t="s">
        <v>246</v>
      </c>
      <c r="H177" s="1" t="s">
        <v>351</v>
      </c>
      <c r="I177" s="1" t="s">
        <v>352</v>
      </c>
    </row>
    <row r="178" spans="1:9" ht="25" customHeight="1">
      <c r="A178" s="1"/>
      <c r="B178" s="1" t="s">
        <v>101</v>
      </c>
      <c r="C178" s="1" t="s">
        <v>43</v>
      </c>
      <c r="D178" s="1" t="s">
        <v>245</v>
      </c>
      <c r="E178" s="1">
        <v>-8</v>
      </c>
      <c r="F178" s="1" t="s">
        <v>137</v>
      </c>
      <c r="G178" s="1" t="s">
        <v>253</v>
      </c>
      <c r="H178" s="1" t="s">
        <v>351</v>
      </c>
      <c r="I178" s="1" t="s">
        <v>353</v>
      </c>
    </row>
    <row r="179" spans="1:9" ht="25" customHeight="1">
      <c r="A179" s="1"/>
      <c r="B179" s="1" t="s">
        <v>101</v>
      </c>
      <c r="C179" s="1" t="s">
        <v>43</v>
      </c>
      <c r="D179" s="1" t="s">
        <v>75</v>
      </c>
      <c r="E179" s="1">
        <v>-8</v>
      </c>
      <c r="F179" s="1" t="s">
        <v>137</v>
      </c>
      <c r="G179" s="1" t="s">
        <v>253</v>
      </c>
      <c r="H179" s="1" t="s">
        <v>351</v>
      </c>
      <c r="I179" s="1" t="s">
        <v>353</v>
      </c>
    </row>
    <row r="180" spans="1:9" ht="25" customHeight="1">
      <c r="A180" s="1"/>
      <c r="B180" s="1" t="s">
        <v>101</v>
      </c>
      <c r="C180" s="1" t="s">
        <v>43</v>
      </c>
      <c r="D180" s="1" t="s">
        <v>249</v>
      </c>
      <c r="E180" s="1">
        <v>-9</v>
      </c>
      <c r="F180" s="1" t="s">
        <v>137</v>
      </c>
      <c r="G180" s="1" t="s">
        <v>253</v>
      </c>
      <c r="H180" s="1" t="s">
        <v>351</v>
      </c>
      <c r="I180" s="1" t="s">
        <v>353</v>
      </c>
    </row>
    <row r="181" spans="1:9" ht="25" customHeight="1">
      <c r="A181" s="1"/>
      <c r="B181" s="1" t="s">
        <v>101</v>
      </c>
      <c r="C181" s="1" t="s">
        <v>43</v>
      </c>
      <c r="D181" s="1" t="s">
        <v>79</v>
      </c>
      <c r="E181" s="1">
        <v>11</v>
      </c>
      <c r="F181" s="1" t="s">
        <v>137</v>
      </c>
      <c r="G181" s="1" t="s">
        <v>253</v>
      </c>
      <c r="H181" s="1" t="s">
        <v>351</v>
      </c>
      <c r="I181" s="1" t="s">
        <v>353</v>
      </c>
    </row>
    <row r="182" spans="1:9" ht="25" customHeight="1">
      <c r="A182" s="1"/>
      <c r="B182" s="1" t="s">
        <v>101</v>
      </c>
      <c r="C182" s="1" t="s">
        <v>43</v>
      </c>
      <c r="D182" s="1" t="s">
        <v>250</v>
      </c>
      <c r="E182" s="1">
        <v>-3</v>
      </c>
      <c r="F182" s="1" t="s">
        <v>137</v>
      </c>
      <c r="G182" s="1" t="s">
        <v>253</v>
      </c>
      <c r="H182" s="1" t="s">
        <v>351</v>
      </c>
      <c r="I182" s="1" t="s">
        <v>353</v>
      </c>
    </row>
    <row r="183" spans="1:9" ht="25" customHeight="1">
      <c r="A183" s="1"/>
      <c r="B183" s="1" t="s">
        <v>101</v>
      </c>
      <c r="C183" s="1" t="s">
        <v>43</v>
      </c>
      <c r="D183" s="1" t="s">
        <v>251</v>
      </c>
      <c r="E183" s="1">
        <v>0</v>
      </c>
      <c r="F183" s="1" t="s">
        <v>137</v>
      </c>
      <c r="G183" s="1" t="s">
        <v>253</v>
      </c>
      <c r="H183" s="1" t="s">
        <v>351</v>
      </c>
      <c r="I183" s="1" t="s">
        <v>353</v>
      </c>
    </row>
    <row r="184" spans="1:9" ht="25" customHeight="1">
      <c r="A184" s="1"/>
      <c r="B184" s="1" t="s">
        <v>101</v>
      </c>
      <c r="C184" s="1" t="s">
        <v>43</v>
      </c>
      <c r="D184" s="1" t="s">
        <v>252</v>
      </c>
      <c r="E184" s="1">
        <v>-9</v>
      </c>
      <c r="F184" s="1" t="s">
        <v>137</v>
      </c>
      <c r="G184" s="1" t="s">
        <v>253</v>
      </c>
      <c r="H184" s="1" t="s">
        <v>351</v>
      </c>
      <c r="I184" s="1" t="s">
        <v>353</v>
      </c>
    </row>
    <row r="185" spans="1:9" ht="25" customHeight="1">
      <c r="A185" s="1"/>
      <c r="B185" s="1" t="s">
        <v>101</v>
      </c>
      <c r="C185" s="1" t="s">
        <v>45</v>
      </c>
      <c r="D185" s="1" t="s">
        <v>245</v>
      </c>
      <c r="E185" s="1">
        <v>-1</v>
      </c>
      <c r="F185" s="1" t="s">
        <v>137</v>
      </c>
      <c r="G185" s="1" t="s">
        <v>255</v>
      </c>
      <c r="H185" s="1" t="s">
        <v>351</v>
      </c>
      <c r="I185" s="1" t="s">
        <v>354</v>
      </c>
    </row>
    <row r="186" spans="1:9" ht="25" customHeight="1">
      <c r="A186" s="1"/>
      <c r="B186" s="1" t="s">
        <v>101</v>
      </c>
      <c r="C186" s="1" t="s">
        <v>45</v>
      </c>
      <c r="D186" s="1" t="s">
        <v>75</v>
      </c>
      <c r="E186" s="1">
        <v>-1</v>
      </c>
      <c r="F186" s="1" t="s">
        <v>137</v>
      </c>
      <c r="G186" s="1" t="s">
        <v>255</v>
      </c>
      <c r="H186" s="1" t="s">
        <v>351</v>
      </c>
      <c r="I186" s="1" t="s">
        <v>354</v>
      </c>
    </row>
    <row r="187" spans="1:9" ht="25" customHeight="1">
      <c r="A187" s="1"/>
      <c r="B187" s="1" t="s">
        <v>101</v>
      </c>
      <c r="C187" s="1" t="s">
        <v>45</v>
      </c>
      <c r="D187" s="1" t="s">
        <v>249</v>
      </c>
      <c r="E187" s="1">
        <v>-6</v>
      </c>
      <c r="F187" s="1" t="s">
        <v>137</v>
      </c>
      <c r="G187" s="1" t="s">
        <v>255</v>
      </c>
      <c r="H187" s="1" t="s">
        <v>351</v>
      </c>
      <c r="I187" s="1" t="s">
        <v>354</v>
      </c>
    </row>
    <row r="188" spans="1:9" ht="25" customHeight="1">
      <c r="A188" s="1"/>
      <c r="B188" s="1" t="s">
        <v>101</v>
      </c>
      <c r="C188" s="1" t="s">
        <v>45</v>
      </c>
      <c r="D188" s="1" t="s">
        <v>79</v>
      </c>
      <c r="E188" s="1">
        <v>5</v>
      </c>
      <c r="F188" s="1" t="s">
        <v>137</v>
      </c>
      <c r="G188" s="1" t="s">
        <v>255</v>
      </c>
      <c r="H188" s="1" t="s">
        <v>351</v>
      </c>
      <c r="I188" s="1" t="s">
        <v>354</v>
      </c>
    </row>
    <row r="189" spans="1:9" ht="25" customHeight="1">
      <c r="A189" s="1"/>
      <c r="B189" s="1" t="s">
        <v>101</v>
      </c>
      <c r="C189" s="1" t="s">
        <v>45</v>
      </c>
      <c r="D189" s="1" t="s">
        <v>250</v>
      </c>
      <c r="E189" s="1">
        <v>4</v>
      </c>
      <c r="F189" s="1" t="s">
        <v>137</v>
      </c>
      <c r="G189" s="1" t="s">
        <v>255</v>
      </c>
      <c r="H189" s="1" t="s">
        <v>351</v>
      </c>
      <c r="I189" s="1" t="s">
        <v>354</v>
      </c>
    </row>
    <row r="190" spans="1:9" ht="25" customHeight="1">
      <c r="A190" s="1"/>
      <c r="B190" s="1" t="s">
        <v>101</v>
      </c>
      <c r="C190" s="1" t="s">
        <v>45</v>
      </c>
      <c r="D190" s="1" t="s">
        <v>251</v>
      </c>
      <c r="E190" s="1">
        <v>0</v>
      </c>
      <c r="F190" s="1" t="s">
        <v>137</v>
      </c>
      <c r="G190" s="1" t="s">
        <v>255</v>
      </c>
      <c r="H190" s="1" t="s">
        <v>351</v>
      </c>
      <c r="I190" s="1" t="s">
        <v>354</v>
      </c>
    </row>
    <row r="191" spans="1:9" ht="25" customHeight="1">
      <c r="A191" s="1"/>
      <c r="B191" s="1" t="s">
        <v>101</v>
      </c>
      <c r="C191" s="1" t="s">
        <v>45</v>
      </c>
      <c r="D191" s="1" t="s">
        <v>252</v>
      </c>
      <c r="E191" s="1">
        <v>2</v>
      </c>
      <c r="F191" s="1" t="s">
        <v>137</v>
      </c>
      <c r="G191" s="1" t="s">
        <v>255</v>
      </c>
      <c r="H191" s="1" t="s">
        <v>351</v>
      </c>
      <c r="I191" s="1" t="s">
        <v>354</v>
      </c>
    </row>
    <row r="192" spans="1:9" ht="25" customHeight="1">
      <c r="A192" s="1"/>
      <c r="B192" s="1" t="s">
        <v>101</v>
      </c>
      <c r="C192" s="1" t="s">
        <v>50</v>
      </c>
      <c r="D192" s="1" t="s">
        <v>245</v>
      </c>
      <c r="E192" s="1">
        <v>-7</v>
      </c>
      <c r="F192" s="1" t="s">
        <v>137</v>
      </c>
      <c r="G192" s="1" t="s">
        <v>257</v>
      </c>
      <c r="H192" s="1" t="s">
        <v>351</v>
      </c>
      <c r="I192" s="1" t="s">
        <v>355</v>
      </c>
    </row>
    <row r="193" spans="1:9" ht="25" customHeight="1">
      <c r="A193" s="1"/>
      <c r="B193" s="1" t="s">
        <v>101</v>
      </c>
      <c r="C193" s="1" t="s">
        <v>50</v>
      </c>
      <c r="D193" s="1" t="s">
        <v>75</v>
      </c>
      <c r="E193" s="1">
        <v>-7</v>
      </c>
      <c r="F193" s="1" t="s">
        <v>137</v>
      </c>
      <c r="G193" s="1" t="s">
        <v>257</v>
      </c>
      <c r="H193" s="1" t="s">
        <v>351</v>
      </c>
      <c r="I193" s="1" t="s">
        <v>355</v>
      </c>
    </row>
    <row r="194" spans="1:9" ht="25" customHeight="1">
      <c r="A194" s="1"/>
      <c r="B194" s="1" t="s">
        <v>101</v>
      </c>
      <c r="C194" s="1" t="s">
        <v>50</v>
      </c>
      <c r="D194" s="1" t="s">
        <v>249</v>
      </c>
      <c r="E194" s="1">
        <v>-7</v>
      </c>
      <c r="F194" s="1" t="s">
        <v>137</v>
      </c>
      <c r="G194" s="1" t="s">
        <v>257</v>
      </c>
      <c r="H194" s="1" t="s">
        <v>351</v>
      </c>
      <c r="I194" s="1" t="s">
        <v>355</v>
      </c>
    </row>
    <row r="195" spans="1:9" ht="25" customHeight="1">
      <c r="A195" s="1"/>
      <c r="B195" s="1" t="s">
        <v>101</v>
      </c>
      <c r="C195" s="1" t="s">
        <v>50</v>
      </c>
      <c r="D195" s="1" t="s">
        <v>79</v>
      </c>
      <c r="E195" s="1">
        <v>13</v>
      </c>
      <c r="F195" s="1" t="s">
        <v>137</v>
      </c>
      <c r="G195" s="1" t="s">
        <v>257</v>
      </c>
      <c r="H195" s="1" t="s">
        <v>351</v>
      </c>
      <c r="I195" s="1" t="s">
        <v>355</v>
      </c>
    </row>
    <row r="196" spans="1:9" ht="25" customHeight="1">
      <c r="A196" s="1"/>
      <c r="B196" s="1" t="s">
        <v>101</v>
      </c>
      <c r="C196" s="1" t="s">
        <v>50</v>
      </c>
      <c r="D196" s="1" t="s">
        <v>250</v>
      </c>
      <c r="E196" s="1">
        <v>2</v>
      </c>
      <c r="F196" s="1" t="s">
        <v>137</v>
      </c>
      <c r="G196" s="1" t="s">
        <v>257</v>
      </c>
      <c r="H196" s="1" t="s">
        <v>351</v>
      </c>
      <c r="I196" s="1" t="s">
        <v>355</v>
      </c>
    </row>
    <row r="197" spans="1:9" ht="25" customHeight="1">
      <c r="A197" s="1"/>
      <c r="B197" s="1" t="s">
        <v>101</v>
      </c>
      <c r="C197" s="1" t="s">
        <v>50</v>
      </c>
      <c r="D197" s="1" t="s">
        <v>251</v>
      </c>
      <c r="E197" s="1">
        <v>0</v>
      </c>
      <c r="F197" s="1" t="s">
        <v>137</v>
      </c>
      <c r="G197" s="1" t="s">
        <v>257</v>
      </c>
      <c r="H197" s="1" t="s">
        <v>351</v>
      </c>
      <c r="I197" s="1" t="s">
        <v>355</v>
      </c>
    </row>
    <row r="198" spans="1:9" ht="25" customHeight="1">
      <c r="A198" s="1"/>
      <c r="B198" s="1" t="s">
        <v>101</v>
      </c>
      <c r="C198" s="1" t="s">
        <v>50</v>
      </c>
      <c r="D198" s="1" t="s">
        <v>252</v>
      </c>
      <c r="E198" s="1">
        <v>1</v>
      </c>
      <c r="F198" s="1" t="s">
        <v>137</v>
      </c>
      <c r="G198" s="1" t="s">
        <v>257</v>
      </c>
      <c r="H198" s="1" t="s">
        <v>351</v>
      </c>
      <c r="I198" s="1" t="s">
        <v>355</v>
      </c>
    </row>
    <row r="199" spans="1:9" ht="25" customHeight="1">
      <c r="A199" s="1"/>
      <c r="B199" s="1" t="s">
        <v>101</v>
      </c>
      <c r="C199" s="1" t="s">
        <v>55</v>
      </c>
      <c r="D199" s="1" t="s">
        <v>245</v>
      </c>
      <c r="E199" s="1">
        <v>-6</v>
      </c>
      <c r="F199" s="1" t="s">
        <v>137</v>
      </c>
      <c r="G199" s="1" t="s">
        <v>259</v>
      </c>
      <c r="H199" s="1" t="s">
        <v>351</v>
      </c>
      <c r="I199" s="1" t="s">
        <v>356</v>
      </c>
    </row>
    <row r="200" spans="1:9" ht="25" customHeight="1">
      <c r="A200" s="1"/>
      <c r="B200" s="1" t="s">
        <v>101</v>
      </c>
      <c r="C200" s="1" t="s">
        <v>55</v>
      </c>
      <c r="D200" s="1" t="s">
        <v>75</v>
      </c>
      <c r="E200" s="1">
        <v>-6</v>
      </c>
      <c r="F200" s="1" t="s">
        <v>137</v>
      </c>
      <c r="G200" s="1" t="s">
        <v>259</v>
      </c>
      <c r="H200" s="1" t="s">
        <v>351</v>
      </c>
      <c r="I200" s="1" t="s">
        <v>356</v>
      </c>
    </row>
    <row r="201" spans="1:9" ht="25" customHeight="1">
      <c r="A201" s="1"/>
      <c r="B201" s="1" t="s">
        <v>101</v>
      </c>
      <c r="C201" s="1" t="s">
        <v>55</v>
      </c>
      <c r="D201" s="1" t="s">
        <v>249</v>
      </c>
      <c r="E201" s="1">
        <v>-5</v>
      </c>
      <c r="F201" s="1" t="s">
        <v>137</v>
      </c>
      <c r="G201" s="1" t="s">
        <v>259</v>
      </c>
      <c r="H201" s="1" t="s">
        <v>351</v>
      </c>
      <c r="I201" s="1" t="s">
        <v>356</v>
      </c>
    </row>
    <row r="202" spans="1:9" ht="25" customHeight="1">
      <c r="A202" s="1"/>
      <c r="B202" s="1" t="s">
        <v>101</v>
      </c>
      <c r="C202" s="1" t="s">
        <v>55</v>
      </c>
      <c r="D202" s="1" t="s">
        <v>79</v>
      </c>
      <c r="E202" s="1">
        <v>8</v>
      </c>
      <c r="F202" s="1" t="s">
        <v>137</v>
      </c>
      <c r="G202" s="1" t="s">
        <v>259</v>
      </c>
      <c r="H202" s="1" t="s">
        <v>351</v>
      </c>
      <c r="I202" s="1" t="s">
        <v>356</v>
      </c>
    </row>
    <row r="203" spans="1:9" ht="25" customHeight="1">
      <c r="A203" s="1"/>
      <c r="B203" s="1" t="s">
        <v>101</v>
      </c>
      <c r="C203" s="1" t="s">
        <v>55</v>
      </c>
      <c r="D203" s="1" t="s">
        <v>250</v>
      </c>
      <c r="E203" s="1">
        <v>2</v>
      </c>
      <c r="F203" s="1" t="s">
        <v>137</v>
      </c>
      <c r="G203" s="1" t="s">
        <v>259</v>
      </c>
      <c r="H203" s="1" t="s">
        <v>351</v>
      </c>
      <c r="I203" s="1" t="s">
        <v>356</v>
      </c>
    </row>
    <row r="204" spans="1:9" ht="25" customHeight="1">
      <c r="A204" s="1"/>
      <c r="B204" s="1" t="s">
        <v>101</v>
      </c>
      <c r="C204" s="1" t="s">
        <v>55</v>
      </c>
      <c r="D204" s="1" t="s">
        <v>251</v>
      </c>
      <c r="E204" s="1">
        <v>0</v>
      </c>
      <c r="F204" s="1" t="s">
        <v>137</v>
      </c>
      <c r="G204" s="1" t="s">
        <v>259</v>
      </c>
      <c r="H204" s="1" t="s">
        <v>351</v>
      </c>
      <c r="I204" s="1" t="s">
        <v>356</v>
      </c>
    </row>
    <row r="205" spans="1:9" ht="25" customHeight="1">
      <c r="A205" s="1"/>
      <c r="B205" s="1" t="s">
        <v>101</v>
      </c>
      <c r="C205" s="1" t="s">
        <v>55</v>
      </c>
      <c r="D205" s="1" t="s">
        <v>252</v>
      </c>
      <c r="E205" s="1">
        <v>-1</v>
      </c>
      <c r="F205" s="1" t="s">
        <v>137</v>
      </c>
      <c r="G205" s="1" t="s">
        <v>259</v>
      </c>
      <c r="H205" s="1" t="s">
        <v>351</v>
      </c>
      <c r="I205" s="1" t="s">
        <v>356</v>
      </c>
    </row>
    <row r="206" spans="1:9" ht="25" customHeight="1">
      <c r="A206" s="1"/>
      <c r="B206" s="1" t="s">
        <v>101</v>
      </c>
      <c r="C206" s="1" t="s">
        <v>134</v>
      </c>
      <c r="D206" s="1" t="s">
        <v>245</v>
      </c>
      <c r="E206" s="1">
        <v>-6</v>
      </c>
      <c r="F206" s="1" t="s">
        <v>137</v>
      </c>
      <c r="G206" s="1" t="s">
        <v>261</v>
      </c>
      <c r="H206" s="1" t="s">
        <v>351</v>
      </c>
      <c r="I206" s="1" t="s">
        <v>357</v>
      </c>
    </row>
    <row r="207" spans="1:9" ht="25" customHeight="1">
      <c r="A207" s="1"/>
      <c r="B207" s="1" t="s">
        <v>101</v>
      </c>
      <c r="C207" s="1" t="s">
        <v>134</v>
      </c>
      <c r="D207" s="1" t="s">
        <v>75</v>
      </c>
      <c r="E207" s="1">
        <v>-6</v>
      </c>
      <c r="F207" s="1" t="s">
        <v>137</v>
      </c>
      <c r="G207" s="1" t="s">
        <v>261</v>
      </c>
      <c r="H207" s="1" t="s">
        <v>351</v>
      </c>
      <c r="I207" s="1" t="s">
        <v>357</v>
      </c>
    </row>
    <row r="208" spans="1:9" ht="25" customHeight="1">
      <c r="A208" s="1"/>
      <c r="B208" s="1" t="s">
        <v>101</v>
      </c>
      <c r="C208" s="1" t="s">
        <v>134</v>
      </c>
      <c r="D208" s="1" t="s">
        <v>249</v>
      </c>
      <c r="E208" s="1">
        <v>-6</v>
      </c>
      <c r="F208" s="1" t="s">
        <v>137</v>
      </c>
      <c r="G208" s="1" t="s">
        <v>261</v>
      </c>
      <c r="H208" s="1" t="s">
        <v>351</v>
      </c>
      <c r="I208" s="1" t="s">
        <v>357</v>
      </c>
    </row>
    <row r="209" spans="1:9" ht="25" customHeight="1">
      <c r="A209" s="1"/>
      <c r="B209" s="1" t="s">
        <v>101</v>
      </c>
      <c r="C209" s="1" t="s">
        <v>134</v>
      </c>
      <c r="D209" s="1" t="s">
        <v>79</v>
      </c>
      <c r="E209" s="1">
        <v>10</v>
      </c>
      <c r="F209" s="1" t="s">
        <v>137</v>
      </c>
      <c r="G209" s="1" t="s">
        <v>261</v>
      </c>
      <c r="H209" s="1" t="s">
        <v>351</v>
      </c>
      <c r="I209" s="1" t="s">
        <v>357</v>
      </c>
    </row>
    <row r="210" spans="1:9" ht="25" customHeight="1">
      <c r="A210" s="1"/>
      <c r="B210" s="1" t="s">
        <v>101</v>
      </c>
      <c r="C210" s="1" t="s">
        <v>134</v>
      </c>
      <c r="D210" s="1" t="s">
        <v>250</v>
      </c>
      <c r="E210" s="1">
        <v>1</v>
      </c>
      <c r="F210" s="1" t="s">
        <v>137</v>
      </c>
      <c r="G210" s="1" t="s">
        <v>261</v>
      </c>
      <c r="H210" s="1" t="s">
        <v>351</v>
      </c>
      <c r="I210" s="1" t="s">
        <v>357</v>
      </c>
    </row>
    <row r="211" spans="1:9" ht="25" customHeight="1">
      <c r="A211" s="1"/>
      <c r="B211" s="1" t="s">
        <v>101</v>
      </c>
      <c r="C211" s="1" t="s">
        <v>134</v>
      </c>
      <c r="D211" s="1" t="s">
        <v>251</v>
      </c>
      <c r="E211" s="1">
        <v>0</v>
      </c>
      <c r="F211" s="1" t="s">
        <v>137</v>
      </c>
      <c r="G211" s="1" t="s">
        <v>261</v>
      </c>
      <c r="H211" s="1" t="s">
        <v>351</v>
      </c>
      <c r="I211" s="1" t="s">
        <v>357</v>
      </c>
    </row>
    <row r="212" spans="1:9" ht="25" customHeight="1">
      <c r="A212" s="1"/>
      <c r="B212" s="1" t="s">
        <v>101</v>
      </c>
      <c r="C212" s="1" t="s">
        <v>134</v>
      </c>
      <c r="D212" s="1" t="s">
        <v>252</v>
      </c>
      <c r="E212" s="1">
        <v>-1</v>
      </c>
      <c r="F212" s="1" t="s">
        <v>137</v>
      </c>
      <c r="G212" s="1" t="s">
        <v>261</v>
      </c>
      <c r="H212" s="1" t="s">
        <v>351</v>
      </c>
      <c r="I212" s="1" t="s">
        <v>357</v>
      </c>
    </row>
    <row r="213" spans="1:9" ht="25" customHeight="1">
      <c r="A213" s="1"/>
      <c r="B213" s="1" t="s">
        <v>101</v>
      </c>
      <c r="C213" s="1" t="s">
        <v>34</v>
      </c>
      <c r="D213" s="1" t="s">
        <v>263</v>
      </c>
      <c r="E213" s="1">
        <v>3807</v>
      </c>
      <c r="F213" s="1" t="s">
        <v>137</v>
      </c>
      <c r="G213" s="1" t="s">
        <v>264</v>
      </c>
      <c r="H213" s="1" t="s">
        <v>351</v>
      </c>
      <c r="I213" s="1" t="s">
        <v>358</v>
      </c>
    </row>
    <row r="214" spans="1:9" ht="25" customHeight="1">
      <c r="A214" s="1"/>
      <c r="B214" s="1" t="s">
        <v>101</v>
      </c>
      <c r="C214" s="1" t="s">
        <v>43</v>
      </c>
      <c r="D214" s="1" t="s">
        <v>263</v>
      </c>
      <c r="E214" s="1">
        <v>1643</v>
      </c>
      <c r="F214" s="1" t="s">
        <v>137</v>
      </c>
      <c r="G214" s="1" t="s">
        <v>266</v>
      </c>
      <c r="H214" s="1" t="s">
        <v>351</v>
      </c>
      <c r="I214" s="1" t="s">
        <v>359</v>
      </c>
    </row>
    <row r="215" spans="1:9" ht="25" customHeight="1">
      <c r="A215" s="1"/>
      <c r="B215" s="1" t="s">
        <v>101</v>
      </c>
      <c r="C215" s="1" t="s">
        <v>45</v>
      </c>
      <c r="D215" s="1" t="s">
        <v>263</v>
      </c>
      <c r="E215" s="1">
        <v>3051</v>
      </c>
      <c r="F215" s="1" t="s">
        <v>137</v>
      </c>
      <c r="G215" s="1" t="s">
        <v>268</v>
      </c>
      <c r="H215" s="1" t="s">
        <v>351</v>
      </c>
      <c r="I215" s="1" t="s">
        <v>360</v>
      </c>
    </row>
    <row r="216" spans="1:9" ht="25" customHeight="1">
      <c r="A216" s="1"/>
      <c r="B216" s="1" t="s">
        <v>101</v>
      </c>
      <c r="C216" s="1" t="s">
        <v>50</v>
      </c>
      <c r="D216" s="1" t="s">
        <v>263</v>
      </c>
      <c r="E216" s="1">
        <v>7032</v>
      </c>
      <c r="F216" s="1" t="s">
        <v>137</v>
      </c>
      <c r="G216" s="1" t="s">
        <v>270</v>
      </c>
      <c r="H216" s="1" t="s">
        <v>351</v>
      </c>
      <c r="I216" s="1" t="s">
        <v>361</v>
      </c>
    </row>
    <row r="217" spans="1:9" ht="25" customHeight="1">
      <c r="A217" s="1"/>
      <c r="B217" s="1" t="s">
        <v>101</v>
      </c>
      <c r="C217" s="1" t="s">
        <v>55</v>
      </c>
      <c r="D217" s="1" t="s">
        <v>263</v>
      </c>
      <c r="E217" s="1">
        <v>5065</v>
      </c>
      <c r="F217" s="1" t="s">
        <v>137</v>
      </c>
      <c r="G217" s="1" t="s">
        <v>272</v>
      </c>
      <c r="H217" s="1" t="s">
        <v>351</v>
      </c>
      <c r="I217" s="1" t="s">
        <v>362</v>
      </c>
    </row>
    <row r="218" spans="1:9" ht="25" customHeight="1">
      <c r="A218" s="1"/>
      <c r="B218" s="1" t="s">
        <v>101</v>
      </c>
      <c r="C218" s="1" t="s">
        <v>133</v>
      </c>
      <c r="D218" s="1" t="s">
        <v>263</v>
      </c>
      <c r="E218" s="1">
        <v>175</v>
      </c>
      <c r="F218" s="1" t="s">
        <v>137</v>
      </c>
      <c r="G218" s="1" t="s">
        <v>274</v>
      </c>
      <c r="H218" s="1" t="s">
        <v>351</v>
      </c>
      <c r="I218" s="1" t="s">
        <v>363</v>
      </c>
    </row>
    <row r="219" spans="1:9" ht="25" customHeight="1">
      <c r="A219" s="1"/>
      <c r="B219" s="1" t="s">
        <v>101</v>
      </c>
      <c r="C219" s="1" t="s">
        <v>134</v>
      </c>
      <c r="D219" s="1" t="s">
        <v>263</v>
      </c>
      <c r="E219" s="1">
        <v>20773</v>
      </c>
      <c r="F219" s="1" t="s">
        <v>137</v>
      </c>
      <c r="G219" s="1" t="s">
        <v>276</v>
      </c>
      <c r="H219" s="1" t="s">
        <v>351</v>
      </c>
      <c r="I219" s="1" t="s">
        <v>364</v>
      </c>
    </row>
    <row r="220" spans="1:9" ht="25" customHeight="1">
      <c r="A220" s="1"/>
      <c r="B220" s="1" t="s">
        <v>101</v>
      </c>
      <c r="C220" s="1" t="s">
        <v>34</v>
      </c>
      <c r="D220" s="1" t="s">
        <v>81</v>
      </c>
      <c r="E220" s="1">
        <v>3</v>
      </c>
      <c r="F220" s="1" t="s">
        <v>137</v>
      </c>
      <c r="G220" s="1" t="s">
        <v>278</v>
      </c>
      <c r="H220" s="1" t="s">
        <v>351</v>
      </c>
      <c r="I220" s="1" t="s">
        <v>365</v>
      </c>
    </row>
    <row r="221" spans="1:9" ht="25" customHeight="1">
      <c r="A221" s="1"/>
      <c r="B221" s="1" t="s">
        <v>101</v>
      </c>
      <c r="C221" s="1" t="s">
        <v>43</v>
      </c>
      <c r="D221" s="1" t="s">
        <v>81</v>
      </c>
      <c r="E221" s="1">
        <v>0</v>
      </c>
      <c r="F221" s="1" t="s">
        <v>137</v>
      </c>
      <c r="G221" s="1" t="s">
        <v>280</v>
      </c>
      <c r="H221" s="1" t="s">
        <v>351</v>
      </c>
      <c r="I221" s="1" t="s">
        <v>366</v>
      </c>
    </row>
    <row r="222" spans="1:9" ht="25" customHeight="1">
      <c r="A222" s="1"/>
      <c r="B222" s="1" t="s">
        <v>101</v>
      </c>
      <c r="C222" s="1" t="s">
        <v>45</v>
      </c>
      <c r="D222" s="1" t="s">
        <v>81</v>
      </c>
      <c r="E222" s="1">
        <v>8</v>
      </c>
      <c r="F222" s="1" t="s">
        <v>137</v>
      </c>
      <c r="G222" s="1" t="s">
        <v>282</v>
      </c>
      <c r="H222" s="1" t="s">
        <v>351</v>
      </c>
      <c r="I222" s="1" t="s">
        <v>367</v>
      </c>
    </row>
    <row r="223" spans="1:9" ht="25" customHeight="1">
      <c r="A223" s="1"/>
      <c r="B223" s="1" t="s">
        <v>101</v>
      </c>
      <c r="C223" s="1" t="s">
        <v>50</v>
      </c>
      <c r="D223" s="1" t="s">
        <v>81</v>
      </c>
      <c r="E223" s="1">
        <v>8</v>
      </c>
      <c r="F223" s="1" t="s">
        <v>137</v>
      </c>
      <c r="G223" s="1" t="s">
        <v>284</v>
      </c>
      <c r="H223" s="1" t="s">
        <v>351</v>
      </c>
      <c r="I223" s="1" t="s">
        <v>368</v>
      </c>
    </row>
    <row r="224" spans="1:9" ht="25" customHeight="1">
      <c r="A224" s="1"/>
      <c r="B224" s="1" t="s">
        <v>101</v>
      </c>
      <c r="C224" s="1" t="s">
        <v>55</v>
      </c>
      <c r="D224" s="1" t="s">
        <v>81</v>
      </c>
      <c r="E224" s="1">
        <v>4</v>
      </c>
      <c r="F224" s="1" t="s">
        <v>137</v>
      </c>
      <c r="G224" s="1" t="s">
        <v>286</v>
      </c>
      <c r="H224" s="1" t="s">
        <v>351</v>
      </c>
      <c r="I224" s="1" t="s">
        <v>369</v>
      </c>
    </row>
    <row r="225" spans="1:9" ht="25" customHeight="1">
      <c r="A225" s="1"/>
      <c r="B225" s="1" t="s">
        <v>101</v>
      </c>
      <c r="C225" s="1" t="s">
        <v>134</v>
      </c>
      <c r="D225" s="1" t="s">
        <v>81</v>
      </c>
      <c r="E225" s="1">
        <v>5</v>
      </c>
      <c r="F225" s="1" t="s">
        <v>137</v>
      </c>
      <c r="G225" s="1" t="s">
        <v>288</v>
      </c>
      <c r="H225" s="1" t="s">
        <v>351</v>
      </c>
      <c r="I225" s="1" t="s">
        <v>370</v>
      </c>
    </row>
    <row r="226" spans="1:9" ht="25" customHeight="1">
      <c r="A226" s="1"/>
      <c r="B226" s="1" t="s">
        <v>102</v>
      </c>
      <c r="C226" s="1" t="s">
        <v>34</v>
      </c>
      <c r="D226" s="1" t="s">
        <v>245</v>
      </c>
      <c r="E226" s="1">
        <v>1</v>
      </c>
      <c r="F226" s="1" t="s">
        <v>138</v>
      </c>
      <c r="G226" s="1" t="s">
        <v>246</v>
      </c>
      <c r="H226" s="1" t="s">
        <v>371</v>
      </c>
      <c r="I226" s="1" t="s">
        <v>372</v>
      </c>
    </row>
    <row r="227" spans="1:9" ht="25" customHeight="1">
      <c r="A227" s="1"/>
      <c r="B227" s="1" t="s">
        <v>102</v>
      </c>
      <c r="C227" s="1" t="s">
        <v>34</v>
      </c>
      <c r="D227" s="1" t="s">
        <v>75</v>
      </c>
      <c r="E227" s="1">
        <v>0</v>
      </c>
      <c r="F227" s="1" t="s">
        <v>138</v>
      </c>
      <c r="G227" s="1" t="s">
        <v>246</v>
      </c>
      <c r="H227" s="1" t="s">
        <v>371</v>
      </c>
      <c r="I227" s="1" t="s">
        <v>372</v>
      </c>
    </row>
    <row r="228" spans="1:9" ht="25" customHeight="1">
      <c r="A228" s="1"/>
      <c r="B228" s="1" t="s">
        <v>102</v>
      </c>
      <c r="C228" s="1" t="s">
        <v>34</v>
      </c>
      <c r="D228" s="1" t="s">
        <v>249</v>
      </c>
      <c r="E228" s="1">
        <v>-5</v>
      </c>
      <c r="F228" s="1" t="s">
        <v>138</v>
      </c>
      <c r="G228" s="1" t="s">
        <v>246</v>
      </c>
      <c r="H228" s="1" t="s">
        <v>371</v>
      </c>
      <c r="I228" s="1" t="s">
        <v>372</v>
      </c>
    </row>
    <row r="229" spans="1:9" ht="25" customHeight="1">
      <c r="A229" s="1"/>
      <c r="B229" s="1" t="s">
        <v>102</v>
      </c>
      <c r="C229" s="1" t="s">
        <v>34</v>
      </c>
      <c r="D229" s="1" t="s">
        <v>79</v>
      </c>
      <c r="E229" s="1">
        <v>8</v>
      </c>
      <c r="F229" s="1" t="s">
        <v>138</v>
      </c>
      <c r="G229" s="1" t="s">
        <v>246</v>
      </c>
      <c r="H229" s="1" t="s">
        <v>371</v>
      </c>
      <c r="I229" s="1" t="s">
        <v>372</v>
      </c>
    </row>
    <row r="230" spans="1:9" ht="25" customHeight="1">
      <c r="A230" s="1"/>
      <c r="B230" s="1" t="s">
        <v>102</v>
      </c>
      <c r="C230" s="1" t="s">
        <v>34</v>
      </c>
      <c r="D230" s="1" t="s">
        <v>250</v>
      </c>
      <c r="E230" s="1">
        <v>-1</v>
      </c>
      <c r="F230" s="1" t="s">
        <v>138</v>
      </c>
      <c r="G230" s="1" t="s">
        <v>246</v>
      </c>
      <c r="H230" s="1" t="s">
        <v>371</v>
      </c>
      <c r="I230" s="1" t="s">
        <v>372</v>
      </c>
    </row>
    <row r="231" spans="1:9" ht="25" customHeight="1">
      <c r="A231" s="1"/>
      <c r="B231" s="1" t="s">
        <v>102</v>
      </c>
      <c r="C231" s="1" t="s">
        <v>34</v>
      </c>
      <c r="D231" s="1" t="s">
        <v>251</v>
      </c>
      <c r="E231" s="1">
        <v>0</v>
      </c>
      <c r="F231" s="1" t="s">
        <v>138</v>
      </c>
      <c r="G231" s="1" t="s">
        <v>246</v>
      </c>
      <c r="H231" s="1" t="s">
        <v>371</v>
      </c>
      <c r="I231" s="1" t="s">
        <v>372</v>
      </c>
    </row>
    <row r="232" spans="1:9" ht="25" customHeight="1">
      <c r="A232" s="1"/>
      <c r="B232" s="1" t="s">
        <v>102</v>
      </c>
      <c r="C232" s="1" t="s">
        <v>34</v>
      </c>
      <c r="D232" s="1" t="s">
        <v>252</v>
      </c>
      <c r="E232" s="1">
        <v>3</v>
      </c>
      <c r="F232" s="1" t="s">
        <v>138</v>
      </c>
      <c r="G232" s="1" t="s">
        <v>246</v>
      </c>
      <c r="H232" s="1" t="s">
        <v>371</v>
      </c>
      <c r="I232" s="1" t="s">
        <v>372</v>
      </c>
    </row>
    <row r="233" spans="1:9" ht="25" customHeight="1">
      <c r="A233" s="1"/>
      <c r="B233" s="1" t="s">
        <v>102</v>
      </c>
      <c r="C233" s="1" t="s">
        <v>43</v>
      </c>
      <c r="D233" s="1" t="s">
        <v>245</v>
      </c>
      <c r="E233" s="1">
        <v>-1</v>
      </c>
      <c r="F233" s="1" t="s">
        <v>138</v>
      </c>
      <c r="G233" s="1" t="s">
        <v>253</v>
      </c>
      <c r="H233" s="1" t="s">
        <v>371</v>
      </c>
      <c r="I233" s="1" t="s">
        <v>373</v>
      </c>
    </row>
    <row r="234" spans="1:9" ht="25" customHeight="1">
      <c r="A234" s="1"/>
      <c r="B234" s="1" t="s">
        <v>102</v>
      </c>
      <c r="C234" s="1" t="s">
        <v>43</v>
      </c>
      <c r="D234" s="1" t="s">
        <v>75</v>
      </c>
      <c r="E234" s="1">
        <v>-1</v>
      </c>
      <c r="F234" s="1" t="s">
        <v>138</v>
      </c>
      <c r="G234" s="1" t="s">
        <v>253</v>
      </c>
      <c r="H234" s="1" t="s">
        <v>371</v>
      </c>
      <c r="I234" s="1" t="s">
        <v>373</v>
      </c>
    </row>
    <row r="235" spans="1:9" ht="25" customHeight="1">
      <c r="A235" s="1"/>
      <c r="B235" s="1" t="s">
        <v>102</v>
      </c>
      <c r="C235" s="1" t="s">
        <v>43</v>
      </c>
      <c r="D235" s="1" t="s">
        <v>249</v>
      </c>
      <c r="E235" s="1">
        <v>-6</v>
      </c>
      <c r="F235" s="1" t="s">
        <v>138</v>
      </c>
      <c r="G235" s="1" t="s">
        <v>253</v>
      </c>
      <c r="H235" s="1" t="s">
        <v>371</v>
      </c>
      <c r="I235" s="1" t="s">
        <v>373</v>
      </c>
    </row>
    <row r="236" spans="1:9" ht="25" customHeight="1">
      <c r="A236" s="1"/>
      <c r="B236" s="1" t="s">
        <v>102</v>
      </c>
      <c r="C236" s="1" t="s">
        <v>43</v>
      </c>
      <c r="D236" s="1" t="s">
        <v>79</v>
      </c>
      <c r="E236" s="1">
        <v>10</v>
      </c>
      <c r="F236" s="1" t="s">
        <v>138</v>
      </c>
      <c r="G236" s="1" t="s">
        <v>253</v>
      </c>
      <c r="H236" s="1" t="s">
        <v>371</v>
      </c>
      <c r="I236" s="1" t="s">
        <v>373</v>
      </c>
    </row>
    <row r="237" spans="1:9" ht="25" customHeight="1">
      <c r="A237" s="1"/>
      <c r="B237" s="1" t="s">
        <v>102</v>
      </c>
      <c r="C237" s="1" t="s">
        <v>43</v>
      </c>
      <c r="D237" s="1" t="s">
        <v>250</v>
      </c>
      <c r="E237" s="1">
        <v>-2</v>
      </c>
      <c r="F237" s="1" t="s">
        <v>138</v>
      </c>
      <c r="G237" s="1" t="s">
        <v>253</v>
      </c>
      <c r="H237" s="1" t="s">
        <v>371</v>
      </c>
      <c r="I237" s="1" t="s">
        <v>373</v>
      </c>
    </row>
    <row r="238" spans="1:9" ht="25" customHeight="1">
      <c r="A238" s="1"/>
      <c r="B238" s="1" t="s">
        <v>102</v>
      </c>
      <c r="C238" s="1" t="s">
        <v>43</v>
      </c>
      <c r="D238" s="1" t="s">
        <v>251</v>
      </c>
      <c r="E238" s="1">
        <v>0</v>
      </c>
      <c r="F238" s="1" t="s">
        <v>138</v>
      </c>
      <c r="G238" s="1" t="s">
        <v>253</v>
      </c>
      <c r="H238" s="1" t="s">
        <v>371</v>
      </c>
      <c r="I238" s="1" t="s">
        <v>373</v>
      </c>
    </row>
    <row r="239" spans="1:9" ht="25" customHeight="1">
      <c r="A239" s="1"/>
      <c r="B239" s="1" t="s">
        <v>102</v>
      </c>
      <c r="C239" s="1" t="s">
        <v>43</v>
      </c>
      <c r="D239" s="1" t="s">
        <v>252</v>
      </c>
      <c r="E239" s="1">
        <v>1</v>
      </c>
      <c r="F239" s="1" t="s">
        <v>138</v>
      </c>
      <c r="G239" s="1" t="s">
        <v>253</v>
      </c>
      <c r="H239" s="1" t="s">
        <v>371</v>
      </c>
      <c r="I239" s="1" t="s">
        <v>373</v>
      </c>
    </row>
    <row r="240" spans="1:9" ht="25" customHeight="1">
      <c r="A240" s="1"/>
      <c r="B240" s="1" t="s">
        <v>102</v>
      </c>
      <c r="C240" s="1" t="s">
        <v>45</v>
      </c>
      <c r="D240" s="1" t="s">
        <v>245</v>
      </c>
      <c r="E240" s="1">
        <v>1</v>
      </c>
      <c r="F240" s="1" t="s">
        <v>138</v>
      </c>
      <c r="G240" s="1" t="s">
        <v>255</v>
      </c>
      <c r="H240" s="1" t="s">
        <v>371</v>
      </c>
      <c r="I240" s="1" t="s">
        <v>374</v>
      </c>
    </row>
    <row r="241" spans="1:9" ht="25" customHeight="1">
      <c r="A241" s="1"/>
      <c r="B241" s="1" t="s">
        <v>102</v>
      </c>
      <c r="C241" s="1" t="s">
        <v>45</v>
      </c>
      <c r="D241" s="1" t="s">
        <v>75</v>
      </c>
      <c r="E241" s="1">
        <v>1</v>
      </c>
      <c r="F241" s="1" t="s">
        <v>138</v>
      </c>
      <c r="G241" s="1" t="s">
        <v>255</v>
      </c>
      <c r="H241" s="1" t="s">
        <v>371</v>
      </c>
      <c r="I241" s="1" t="s">
        <v>374</v>
      </c>
    </row>
    <row r="242" spans="1:9" ht="25" customHeight="1">
      <c r="A242" s="1"/>
      <c r="B242" s="1" t="s">
        <v>102</v>
      </c>
      <c r="C242" s="1" t="s">
        <v>45</v>
      </c>
      <c r="D242" s="1" t="s">
        <v>249</v>
      </c>
      <c r="E242" s="1">
        <v>-3</v>
      </c>
      <c r="F242" s="1" t="s">
        <v>138</v>
      </c>
      <c r="G242" s="1" t="s">
        <v>255</v>
      </c>
      <c r="H242" s="1" t="s">
        <v>371</v>
      </c>
      <c r="I242" s="1" t="s">
        <v>374</v>
      </c>
    </row>
    <row r="243" spans="1:9" ht="25" customHeight="1">
      <c r="A243" s="1"/>
      <c r="B243" s="1" t="s">
        <v>102</v>
      </c>
      <c r="C243" s="1" t="s">
        <v>45</v>
      </c>
      <c r="D243" s="1" t="s">
        <v>79</v>
      </c>
      <c r="E243" s="1">
        <v>6</v>
      </c>
      <c r="F243" s="1" t="s">
        <v>138</v>
      </c>
      <c r="G243" s="1" t="s">
        <v>255</v>
      </c>
      <c r="H243" s="1" t="s">
        <v>371</v>
      </c>
      <c r="I243" s="1" t="s">
        <v>374</v>
      </c>
    </row>
    <row r="244" spans="1:9" ht="25" customHeight="1">
      <c r="A244" s="1"/>
      <c r="B244" s="1" t="s">
        <v>102</v>
      </c>
      <c r="C244" s="1" t="s">
        <v>45</v>
      </c>
      <c r="D244" s="1" t="s">
        <v>250</v>
      </c>
      <c r="E244" s="1">
        <v>3</v>
      </c>
      <c r="F244" s="1" t="s">
        <v>138</v>
      </c>
      <c r="G244" s="1" t="s">
        <v>255</v>
      </c>
      <c r="H244" s="1" t="s">
        <v>371</v>
      </c>
      <c r="I244" s="1" t="s">
        <v>374</v>
      </c>
    </row>
    <row r="245" spans="1:9" ht="25" customHeight="1">
      <c r="A245" s="1"/>
      <c r="B245" s="1" t="s">
        <v>102</v>
      </c>
      <c r="C245" s="1" t="s">
        <v>45</v>
      </c>
      <c r="D245" s="1" t="s">
        <v>251</v>
      </c>
      <c r="E245" s="1">
        <v>-1</v>
      </c>
      <c r="F245" s="1" t="s">
        <v>138</v>
      </c>
      <c r="G245" s="1" t="s">
        <v>255</v>
      </c>
      <c r="H245" s="1" t="s">
        <v>371</v>
      </c>
      <c r="I245" s="1" t="s">
        <v>374</v>
      </c>
    </row>
    <row r="246" spans="1:9" ht="25" customHeight="1">
      <c r="A246" s="1"/>
      <c r="B246" s="1" t="s">
        <v>102</v>
      </c>
      <c r="C246" s="1" t="s">
        <v>45</v>
      </c>
      <c r="D246" s="1" t="s">
        <v>252</v>
      </c>
      <c r="E246" s="1">
        <v>6</v>
      </c>
      <c r="F246" s="1" t="s">
        <v>138</v>
      </c>
      <c r="G246" s="1" t="s">
        <v>255</v>
      </c>
      <c r="H246" s="1" t="s">
        <v>371</v>
      </c>
      <c r="I246" s="1" t="s">
        <v>374</v>
      </c>
    </row>
    <row r="247" spans="1:9" ht="25" customHeight="1">
      <c r="A247" s="1"/>
      <c r="B247" s="1" t="s">
        <v>102</v>
      </c>
      <c r="C247" s="1" t="s">
        <v>50</v>
      </c>
      <c r="D247" s="1" t="s">
        <v>245</v>
      </c>
      <c r="E247" s="1">
        <v>-5</v>
      </c>
      <c r="F247" s="1" t="s">
        <v>138</v>
      </c>
      <c r="G247" s="1" t="s">
        <v>257</v>
      </c>
      <c r="H247" s="1" t="s">
        <v>371</v>
      </c>
      <c r="I247" s="1" t="s">
        <v>375</v>
      </c>
    </row>
    <row r="248" spans="1:9" ht="25" customHeight="1">
      <c r="A248" s="1"/>
      <c r="B248" s="1" t="s">
        <v>102</v>
      </c>
      <c r="C248" s="1" t="s">
        <v>50</v>
      </c>
      <c r="D248" s="1" t="s">
        <v>75</v>
      </c>
      <c r="E248" s="1">
        <v>-5</v>
      </c>
      <c r="F248" s="1" t="s">
        <v>138</v>
      </c>
      <c r="G248" s="1" t="s">
        <v>257</v>
      </c>
      <c r="H248" s="1" t="s">
        <v>371</v>
      </c>
      <c r="I248" s="1" t="s">
        <v>375</v>
      </c>
    </row>
    <row r="249" spans="1:9" ht="25" customHeight="1">
      <c r="A249" s="1"/>
      <c r="B249" s="1" t="s">
        <v>102</v>
      </c>
      <c r="C249" s="1" t="s">
        <v>50</v>
      </c>
      <c r="D249" s="1" t="s">
        <v>249</v>
      </c>
      <c r="E249" s="1">
        <v>-4</v>
      </c>
      <c r="F249" s="1" t="s">
        <v>138</v>
      </c>
      <c r="G249" s="1" t="s">
        <v>257</v>
      </c>
      <c r="H249" s="1" t="s">
        <v>371</v>
      </c>
      <c r="I249" s="1" t="s">
        <v>375</v>
      </c>
    </row>
    <row r="250" spans="1:9" ht="25" customHeight="1">
      <c r="A250" s="1"/>
      <c r="B250" s="1" t="s">
        <v>102</v>
      </c>
      <c r="C250" s="1" t="s">
        <v>50</v>
      </c>
      <c r="D250" s="1" t="s">
        <v>79</v>
      </c>
      <c r="E250" s="1">
        <v>13</v>
      </c>
      <c r="F250" s="1" t="s">
        <v>138</v>
      </c>
      <c r="G250" s="1" t="s">
        <v>257</v>
      </c>
      <c r="H250" s="1" t="s">
        <v>371</v>
      </c>
      <c r="I250" s="1" t="s">
        <v>375</v>
      </c>
    </row>
    <row r="251" spans="1:9" ht="25" customHeight="1">
      <c r="A251" s="1"/>
      <c r="B251" s="1" t="s">
        <v>102</v>
      </c>
      <c r="C251" s="1" t="s">
        <v>50</v>
      </c>
      <c r="D251" s="1" t="s">
        <v>250</v>
      </c>
      <c r="E251" s="1">
        <v>1</v>
      </c>
      <c r="F251" s="1" t="s">
        <v>138</v>
      </c>
      <c r="G251" s="1" t="s">
        <v>257</v>
      </c>
      <c r="H251" s="1" t="s">
        <v>371</v>
      </c>
      <c r="I251" s="1" t="s">
        <v>375</v>
      </c>
    </row>
    <row r="252" spans="1:9" ht="25" customHeight="1">
      <c r="A252" s="1"/>
      <c r="B252" s="1" t="s">
        <v>102</v>
      </c>
      <c r="C252" s="1" t="s">
        <v>50</v>
      </c>
      <c r="D252" s="1" t="s">
        <v>251</v>
      </c>
      <c r="E252" s="1">
        <v>0</v>
      </c>
      <c r="F252" s="1" t="s">
        <v>138</v>
      </c>
      <c r="G252" s="1" t="s">
        <v>257</v>
      </c>
      <c r="H252" s="1" t="s">
        <v>371</v>
      </c>
      <c r="I252" s="1" t="s">
        <v>375</v>
      </c>
    </row>
    <row r="253" spans="1:9" ht="25" customHeight="1">
      <c r="A253" s="1"/>
      <c r="B253" s="1" t="s">
        <v>102</v>
      </c>
      <c r="C253" s="1" t="s">
        <v>50</v>
      </c>
      <c r="D253" s="1" t="s">
        <v>252</v>
      </c>
      <c r="E253" s="1">
        <v>5</v>
      </c>
      <c r="F253" s="1" t="s">
        <v>138</v>
      </c>
      <c r="G253" s="1" t="s">
        <v>257</v>
      </c>
      <c r="H253" s="1" t="s">
        <v>371</v>
      </c>
      <c r="I253" s="1" t="s">
        <v>375</v>
      </c>
    </row>
    <row r="254" spans="1:9" ht="25" customHeight="1">
      <c r="A254" s="1"/>
      <c r="B254" s="1" t="s">
        <v>102</v>
      </c>
      <c r="C254" s="1" t="s">
        <v>55</v>
      </c>
      <c r="D254" s="1" t="s">
        <v>245</v>
      </c>
      <c r="E254" s="1">
        <v>-4</v>
      </c>
      <c r="F254" s="1" t="s">
        <v>138</v>
      </c>
      <c r="G254" s="1" t="s">
        <v>259</v>
      </c>
      <c r="H254" s="1" t="s">
        <v>371</v>
      </c>
      <c r="I254" s="1" t="s">
        <v>376</v>
      </c>
    </row>
    <row r="255" spans="1:9" ht="25" customHeight="1">
      <c r="A255" s="1"/>
      <c r="B255" s="1" t="s">
        <v>102</v>
      </c>
      <c r="C255" s="1" t="s">
        <v>55</v>
      </c>
      <c r="D255" s="1" t="s">
        <v>75</v>
      </c>
      <c r="E255" s="1">
        <v>-4</v>
      </c>
      <c r="F255" s="1" t="s">
        <v>138</v>
      </c>
      <c r="G255" s="1" t="s">
        <v>259</v>
      </c>
      <c r="H255" s="1" t="s">
        <v>371</v>
      </c>
      <c r="I255" s="1" t="s">
        <v>376</v>
      </c>
    </row>
    <row r="256" spans="1:9" ht="25" customHeight="1">
      <c r="A256" s="1"/>
      <c r="B256" s="1" t="s">
        <v>102</v>
      </c>
      <c r="C256" s="1" t="s">
        <v>55</v>
      </c>
      <c r="D256" s="1" t="s">
        <v>249</v>
      </c>
      <c r="E256" s="1">
        <v>-3</v>
      </c>
      <c r="F256" s="1" t="s">
        <v>138</v>
      </c>
      <c r="G256" s="1" t="s">
        <v>259</v>
      </c>
      <c r="H256" s="1" t="s">
        <v>371</v>
      </c>
      <c r="I256" s="1" t="s">
        <v>376</v>
      </c>
    </row>
    <row r="257" spans="1:9" ht="25" customHeight="1">
      <c r="A257" s="1"/>
      <c r="B257" s="1" t="s">
        <v>102</v>
      </c>
      <c r="C257" s="1" t="s">
        <v>55</v>
      </c>
      <c r="D257" s="1" t="s">
        <v>79</v>
      </c>
      <c r="E257" s="1">
        <v>8</v>
      </c>
      <c r="F257" s="1" t="s">
        <v>138</v>
      </c>
      <c r="G257" s="1" t="s">
        <v>259</v>
      </c>
      <c r="H257" s="1" t="s">
        <v>371</v>
      </c>
      <c r="I257" s="1" t="s">
        <v>376</v>
      </c>
    </row>
    <row r="258" spans="1:9" ht="25" customHeight="1">
      <c r="A258" s="1"/>
      <c r="B258" s="1" t="s">
        <v>102</v>
      </c>
      <c r="C258" s="1" t="s">
        <v>55</v>
      </c>
      <c r="D258" s="1" t="s">
        <v>250</v>
      </c>
      <c r="E258" s="1">
        <v>2</v>
      </c>
      <c r="F258" s="1" t="s">
        <v>138</v>
      </c>
      <c r="G258" s="1" t="s">
        <v>259</v>
      </c>
      <c r="H258" s="1" t="s">
        <v>371</v>
      </c>
      <c r="I258" s="1" t="s">
        <v>376</v>
      </c>
    </row>
    <row r="259" spans="1:9" ht="25" customHeight="1">
      <c r="A259" s="1"/>
      <c r="B259" s="1" t="s">
        <v>102</v>
      </c>
      <c r="C259" s="1" t="s">
        <v>55</v>
      </c>
      <c r="D259" s="1" t="s">
        <v>251</v>
      </c>
      <c r="E259" s="1">
        <v>0</v>
      </c>
      <c r="F259" s="1" t="s">
        <v>138</v>
      </c>
      <c r="G259" s="1" t="s">
        <v>259</v>
      </c>
      <c r="H259" s="1" t="s">
        <v>371</v>
      </c>
      <c r="I259" s="1" t="s">
        <v>376</v>
      </c>
    </row>
    <row r="260" spans="1:9" ht="25" customHeight="1">
      <c r="A260" s="1"/>
      <c r="B260" s="1" t="s">
        <v>102</v>
      </c>
      <c r="C260" s="1" t="s">
        <v>55</v>
      </c>
      <c r="D260" s="1" t="s">
        <v>252</v>
      </c>
      <c r="E260" s="1">
        <v>3</v>
      </c>
      <c r="F260" s="1" t="s">
        <v>138</v>
      </c>
      <c r="G260" s="1" t="s">
        <v>259</v>
      </c>
      <c r="H260" s="1" t="s">
        <v>371</v>
      </c>
      <c r="I260" s="1" t="s">
        <v>376</v>
      </c>
    </row>
    <row r="261" spans="1:9" ht="25" customHeight="1">
      <c r="A261" s="1"/>
      <c r="B261" s="1" t="s">
        <v>102</v>
      </c>
      <c r="C261" s="1" t="s">
        <v>134</v>
      </c>
      <c r="D261" s="1" t="s">
        <v>245</v>
      </c>
      <c r="E261" s="1">
        <v>-3</v>
      </c>
      <c r="F261" s="1" t="s">
        <v>138</v>
      </c>
      <c r="G261" s="1" t="s">
        <v>261</v>
      </c>
      <c r="H261" s="1" t="s">
        <v>371</v>
      </c>
      <c r="I261" s="1" t="s">
        <v>377</v>
      </c>
    </row>
    <row r="262" spans="1:9" ht="25" customHeight="1">
      <c r="A262" s="1"/>
      <c r="B262" s="1" t="s">
        <v>102</v>
      </c>
      <c r="C262" s="1" t="s">
        <v>134</v>
      </c>
      <c r="D262" s="1" t="s">
        <v>75</v>
      </c>
      <c r="E262" s="1">
        <v>-3</v>
      </c>
      <c r="F262" s="1" t="s">
        <v>138</v>
      </c>
      <c r="G262" s="1" t="s">
        <v>261</v>
      </c>
      <c r="H262" s="1" t="s">
        <v>371</v>
      </c>
      <c r="I262" s="1" t="s">
        <v>377</v>
      </c>
    </row>
    <row r="263" spans="1:9" ht="25" customHeight="1">
      <c r="A263" s="1"/>
      <c r="B263" s="1" t="s">
        <v>102</v>
      </c>
      <c r="C263" s="1" t="s">
        <v>134</v>
      </c>
      <c r="D263" s="1" t="s">
        <v>249</v>
      </c>
      <c r="E263" s="1">
        <v>-4</v>
      </c>
      <c r="F263" s="1" t="s">
        <v>138</v>
      </c>
      <c r="G263" s="1" t="s">
        <v>261</v>
      </c>
      <c r="H263" s="1" t="s">
        <v>371</v>
      </c>
      <c r="I263" s="1" t="s">
        <v>377</v>
      </c>
    </row>
    <row r="264" spans="1:9" ht="25" customHeight="1">
      <c r="A264" s="1"/>
      <c r="B264" s="1" t="s">
        <v>102</v>
      </c>
      <c r="C264" s="1" t="s">
        <v>134</v>
      </c>
      <c r="D264" s="1" t="s">
        <v>79</v>
      </c>
      <c r="E264" s="1">
        <v>10</v>
      </c>
      <c r="F264" s="1" t="s">
        <v>138</v>
      </c>
      <c r="G264" s="1" t="s">
        <v>261</v>
      </c>
      <c r="H264" s="1" t="s">
        <v>371</v>
      </c>
      <c r="I264" s="1" t="s">
        <v>377</v>
      </c>
    </row>
    <row r="265" spans="1:9" ht="25" customHeight="1">
      <c r="A265" s="1"/>
      <c r="B265" s="1" t="s">
        <v>102</v>
      </c>
      <c r="C265" s="1" t="s">
        <v>134</v>
      </c>
      <c r="D265" s="1" t="s">
        <v>250</v>
      </c>
      <c r="E265" s="1">
        <v>1</v>
      </c>
      <c r="F265" s="1" t="s">
        <v>138</v>
      </c>
      <c r="G265" s="1" t="s">
        <v>261</v>
      </c>
      <c r="H265" s="1" t="s">
        <v>371</v>
      </c>
      <c r="I265" s="1" t="s">
        <v>377</v>
      </c>
    </row>
    <row r="266" spans="1:9" ht="25" customHeight="1">
      <c r="A266" s="1"/>
      <c r="B266" s="1" t="s">
        <v>102</v>
      </c>
      <c r="C266" s="1" t="s">
        <v>134</v>
      </c>
      <c r="D266" s="1" t="s">
        <v>251</v>
      </c>
      <c r="E266" s="1">
        <v>0</v>
      </c>
      <c r="F266" s="1" t="s">
        <v>138</v>
      </c>
      <c r="G266" s="1" t="s">
        <v>261</v>
      </c>
      <c r="H266" s="1" t="s">
        <v>371</v>
      </c>
      <c r="I266" s="1" t="s">
        <v>377</v>
      </c>
    </row>
    <row r="267" spans="1:9" ht="25" customHeight="1">
      <c r="A267" s="1"/>
      <c r="B267" s="1" t="s">
        <v>102</v>
      </c>
      <c r="C267" s="1" t="s">
        <v>134</v>
      </c>
      <c r="D267" s="1" t="s">
        <v>252</v>
      </c>
      <c r="E267" s="1">
        <v>4</v>
      </c>
      <c r="F267" s="1" t="s">
        <v>138</v>
      </c>
      <c r="G267" s="1" t="s">
        <v>261</v>
      </c>
      <c r="H267" s="1" t="s">
        <v>371</v>
      </c>
      <c r="I267" s="1" t="s">
        <v>377</v>
      </c>
    </row>
    <row r="268" spans="1:9" ht="25" customHeight="1">
      <c r="A268" s="1"/>
      <c r="B268" s="1" t="s">
        <v>102</v>
      </c>
      <c r="C268" s="1" t="s">
        <v>34</v>
      </c>
      <c r="D268" s="1" t="s">
        <v>263</v>
      </c>
      <c r="E268" s="1">
        <v>3494</v>
      </c>
      <c r="F268" s="1" t="s">
        <v>138</v>
      </c>
      <c r="G268" s="1" t="s">
        <v>264</v>
      </c>
      <c r="H268" s="1" t="s">
        <v>371</v>
      </c>
      <c r="I268" s="1" t="s">
        <v>378</v>
      </c>
    </row>
    <row r="269" spans="1:9" ht="25" customHeight="1">
      <c r="A269" s="1"/>
      <c r="B269" s="1" t="s">
        <v>102</v>
      </c>
      <c r="C269" s="1" t="s">
        <v>43</v>
      </c>
      <c r="D269" s="1" t="s">
        <v>263</v>
      </c>
      <c r="E269" s="1">
        <v>1495</v>
      </c>
      <c r="F269" s="1" t="s">
        <v>138</v>
      </c>
      <c r="G269" s="1" t="s">
        <v>266</v>
      </c>
      <c r="H269" s="1" t="s">
        <v>371</v>
      </c>
      <c r="I269" s="1" t="s">
        <v>379</v>
      </c>
    </row>
    <row r="270" spans="1:9" ht="25" customHeight="1">
      <c r="A270" s="1"/>
      <c r="B270" s="1" t="s">
        <v>102</v>
      </c>
      <c r="C270" s="1" t="s">
        <v>45</v>
      </c>
      <c r="D270" s="1" t="s">
        <v>263</v>
      </c>
      <c r="E270" s="1">
        <v>2828</v>
      </c>
      <c r="F270" s="1" t="s">
        <v>138</v>
      </c>
      <c r="G270" s="1" t="s">
        <v>268</v>
      </c>
      <c r="H270" s="1" t="s">
        <v>371</v>
      </c>
      <c r="I270" s="1" t="s">
        <v>380</v>
      </c>
    </row>
    <row r="271" spans="1:9" ht="25" customHeight="1">
      <c r="A271" s="1"/>
      <c r="B271" s="1" t="s">
        <v>102</v>
      </c>
      <c r="C271" s="1" t="s">
        <v>50</v>
      </c>
      <c r="D271" s="1" t="s">
        <v>263</v>
      </c>
      <c r="E271" s="1">
        <v>7016</v>
      </c>
      <c r="F271" s="1" t="s">
        <v>138</v>
      </c>
      <c r="G271" s="1" t="s">
        <v>270</v>
      </c>
      <c r="H271" s="1" t="s">
        <v>371</v>
      </c>
      <c r="I271" s="1" t="s">
        <v>381</v>
      </c>
    </row>
    <row r="272" spans="1:9" ht="25" customHeight="1">
      <c r="A272" s="1"/>
      <c r="B272" s="1" t="s">
        <v>102</v>
      </c>
      <c r="C272" s="1" t="s">
        <v>55</v>
      </c>
      <c r="D272" s="1" t="s">
        <v>263</v>
      </c>
      <c r="E272" s="1">
        <v>5062</v>
      </c>
      <c r="F272" s="1" t="s">
        <v>138</v>
      </c>
      <c r="G272" s="1" t="s">
        <v>272</v>
      </c>
      <c r="H272" s="1" t="s">
        <v>371</v>
      </c>
      <c r="I272" s="1" t="s">
        <v>382</v>
      </c>
    </row>
    <row r="273" spans="1:9" ht="25" customHeight="1">
      <c r="A273" s="1"/>
      <c r="B273" s="1" t="s">
        <v>102</v>
      </c>
      <c r="C273" s="1" t="s">
        <v>133</v>
      </c>
      <c r="D273" s="1" t="s">
        <v>263</v>
      </c>
      <c r="E273" s="1">
        <v>173</v>
      </c>
      <c r="F273" s="1" t="s">
        <v>138</v>
      </c>
      <c r="G273" s="1" t="s">
        <v>274</v>
      </c>
      <c r="H273" s="1" t="s">
        <v>371</v>
      </c>
      <c r="I273" s="1" t="s">
        <v>383</v>
      </c>
    </row>
    <row r="274" spans="1:9" ht="25" customHeight="1">
      <c r="A274" s="1"/>
      <c r="B274" s="1" t="s">
        <v>102</v>
      </c>
      <c r="C274" s="1" t="s">
        <v>134</v>
      </c>
      <c r="D274" s="1" t="s">
        <v>263</v>
      </c>
      <c r="E274" s="1">
        <v>20068</v>
      </c>
      <c r="F274" s="1" t="s">
        <v>138</v>
      </c>
      <c r="G274" s="1" t="s">
        <v>276</v>
      </c>
      <c r="H274" s="1" t="s">
        <v>371</v>
      </c>
      <c r="I274" s="1" t="s">
        <v>384</v>
      </c>
    </row>
    <row r="275" spans="1:9" ht="25" customHeight="1">
      <c r="A275" s="1"/>
      <c r="B275" s="1" t="s">
        <v>102</v>
      </c>
      <c r="C275" s="1" t="s">
        <v>34</v>
      </c>
      <c r="D275" s="1" t="s">
        <v>81</v>
      </c>
      <c r="E275" s="1">
        <v>7</v>
      </c>
      <c r="F275" s="1" t="s">
        <v>138</v>
      </c>
      <c r="G275" s="1" t="s">
        <v>278</v>
      </c>
      <c r="H275" s="1" t="s">
        <v>371</v>
      </c>
      <c r="I275" s="1" t="s">
        <v>385</v>
      </c>
    </row>
    <row r="276" spans="1:9" ht="25" customHeight="1">
      <c r="A276" s="1"/>
      <c r="B276" s="1" t="s">
        <v>102</v>
      </c>
      <c r="C276" s="1" t="s">
        <v>43</v>
      </c>
      <c r="D276" s="1" t="s">
        <v>81</v>
      </c>
      <c r="E276" s="1">
        <v>7</v>
      </c>
      <c r="F276" s="1" t="s">
        <v>138</v>
      </c>
      <c r="G276" s="1" t="s">
        <v>280</v>
      </c>
      <c r="H276" s="1" t="s">
        <v>371</v>
      </c>
      <c r="I276" s="1" t="s">
        <v>386</v>
      </c>
    </row>
    <row r="277" spans="1:9" ht="25" customHeight="1">
      <c r="A277" s="1"/>
      <c r="B277" s="1" t="s">
        <v>102</v>
      </c>
      <c r="C277" s="1" t="s">
        <v>45</v>
      </c>
      <c r="D277" s="1" t="s">
        <v>81</v>
      </c>
      <c r="E277" s="1">
        <v>9</v>
      </c>
      <c r="F277" s="1" t="s">
        <v>138</v>
      </c>
      <c r="G277" s="1" t="s">
        <v>282</v>
      </c>
      <c r="H277" s="1" t="s">
        <v>371</v>
      </c>
      <c r="I277" s="1" t="s">
        <v>387</v>
      </c>
    </row>
    <row r="278" spans="1:9" ht="25" customHeight="1">
      <c r="A278" s="1"/>
      <c r="B278" s="1" t="s">
        <v>102</v>
      </c>
      <c r="C278" s="1" t="s">
        <v>50</v>
      </c>
      <c r="D278" s="1" t="s">
        <v>81</v>
      </c>
      <c r="E278" s="1">
        <v>9</v>
      </c>
      <c r="F278" s="1" t="s">
        <v>138</v>
      </c>
      <c r="G278" s="1" t="s">
        <v>284</v>
      </c>
      <c r="H278" s="1" t="s">
        <v>371</v>
      </c>
      <c r="I278" s="1" t="s">
        <v>388</v>
      </c>
    </row>
    <row r="279" spans="1:9" ht="25" customHeight="1">
      <c r="A279" s="1"/>
      <c r="B279" s="1" t="s">
        <v>102</v>
      </c>
      <c r="C279" s="1" t="s">
        <v>55</v>
      </c>
      <c r="D279" s="1" t="s">
        <v>81</v>
      </c>
      <c r="E279" s="1">
        <v>6</v>
      </c>
      <c r="F279" s="1" t="s">
        <v>138</v>
      </c>
      <c r="G279" s="1" t="s">
        <v>286</v>
      </c>
      <c r="H279" s="1" t="s">
        <v>371</v>
      </c>
      <c r="I279" s="1" t="s">
        <v>389</v>
      </c>
    </row>
    <row r="280" spans="1:9" ht="25" customHeight="1">
      <c r="A280" s="1"/>
      <c r="B280" s="1" t="s">
        <v>102</v>
      </c>
      <c r="C280" s="1" t="s">
        <v>134</v>
      </c>
      <c r="D280" s="1" t="s">
        <v>81</v>
      </c>
      <c r="E280" s="1">
        <v>7</v>
      </c>
      <c r="F280" s="1" t="s">
        <v>138</v>
      </c>
      <c r="G280" s="1" t="s">
        <v>288</v>
      </c>
      <c r="H280" s="1" t="s">
        <v>371</v>
      </c>
      <c r="I280" s="1" t="s">
        <v>390</v>
      </c>
    </row>
    <row r="281" spans="1:9" ht="25" customHeight="1">
      <c r="A281" s="1"/>
      <c r="B281" s="1" t="s">
        <v>103</v>
      </c>
      <c r="C281" s="1" t="s">
        <v>34</v>
      </c>
      <c r="D281" s="1" t="s">
        <v>245</v>
      </c>
      <c r="E281" s="1">
        <v>0</v>
      </c>
      <c r="F281" s="1" t="s">
        <v>139</v>
      </c>
      <c r="G281" s="1" t="s">
        <v>290</v>
      </c>
      <c r="H281" s="1" t="s">
        <v>391</v>
      </c>
      <c r="I281" s="1" t="s">
        <v>392</v>
      </c>
    </row>
    <row r="282" spans="1:9" ht="25" customHeight="1">
      <c r="A282" s="1"/>
      <c r="B282" s="1" t="s">
        <v>103</v>
      </c>
      <c r="C282" s="1" t="s">
        <v>34</v>
      </c>
      <c r="D282" s="1" t="s">
        <v>249</v>
      </c>
      <c r="E282" s="1">
        <v>-4</v>
      </c>
      <c r="F282" s="1" t="s">
        <v>139</v>
      </c>
      <c r="G282" s="1" t="s">
        <v>290</v>
      </c>
      <c r="H282" s="1" t="s">
        <v>391</v>
      </c>
      <c r="I282" s="1" t="s">
        <v>392</v>
      </c>
    </row>
    <row r="283" spans="1:9" ht="25" customHeight="1">
      <c r="A283" s="1"/>
      <c r="B283" s="1" t="s">
        <v>103</v>
      </c>
      <c r="C283" s="1" t="s">
        <v>34</v>
      </c>
      <c r="D283" s="1" t="s">
        <v>79</v>
      </c>
      <c r="E283" s="1">
        <v>8</v>
      </c>
      <c r="F283" s="1" t="s">
        <v>139</v>
      </c>
      <c r="G283" s="1" t="s">
        <v>290</v>
      </c>
      <c r="H283" s="1" t="s">
        <v>391</v>
      </c>
      <c r="I283" s="1" t="s">
        <v>392</v>
      </c>
    </row>
    <row r="284" spans="1:9" ht="25" customHeight="1">
      <c r="A284" s="1"/>
      <c r="B284" s="1" t="s">
        <v>103</v>
      </c>
      <c r="C284" s="1" t="s">
        <v>34</v>
      </c>
      <c r="D284" s="1" t="s">
        <v>250</v>
      </c>
      <c r="E284" s="1">
        <v>4</v>
      </c>
      <c r="F284" s="1" t="s">
        <v>139</v>
      </c>
      <c r="G284" s="1" t="s">
        <v>290</v>
      </c>
      <c r="H284" s="1" t="s">
        <v>391</v>
      </c>
      <c r="I284" s="1" t="s">
        <v>392</v>
      </c>
    </row>
    <row r="285" spans="1:9" ht="25" customHeight="1">
      <c r="A285" s="1"/>
      <c r="B285" s="1" t="s">
        <v>103</v>
      </c>
      <c r="C285" s="1" t="s">
        <v>34</v>
      </c>
      <c r="D285" s="1" t="s">
        <v>251</v>
      </c>
      <c r="E285" s="1">
        <v>0</v>
      </c>
      <c r="F285" s="1" t="s">
        <v>139</v>
      </c>
      <c r="G285" s="1" t="s">
        <v>290</v>
      </c>
      <c r="H285" s="1" t="s">
        <v>391</v>
      </c>
      <c r="I285" s="1" t="s">
        <v>392</v>
      </c>
    </row>
    <row r="286" spans="1:9" ht="25" customHeight="1">
      <c r="A286" s="1"/>
      <c r="B286" s="1" t="s">
        <v>103</v>
      </c>
      <c r="C286" s="1" t="s">
        <v>34</v>
      </c>
      <c r="D286" s="1" t="s">
        <v>252</v>
      </c>
      <c r="E286" s="1">
        <v>8</v>
      </c>
      <c r="F286" s="1" t="s">
        <v>139</v>
      </c>
      <c r="G286" s="1" t="s">
        <v>290</v>
      </c>
      <c r="H286" s="1" t="s">
        <v>391</v>
      </c>
      <c r="I286" s="1" t="s">
        <v>392</v>
      </c>
    </row>
    <row r="287" spans="1:9" ht="25" customHeight="1">
      <c r="A287" s="1"/>
      <c r="B287" s="1" t="s">
        <v>103</v>
      </c>
      <c r="C287" s="1" t="s">
        <v>34</v>
      </c>
      <c r="D287" s="1" t="s">
        <v>75</v>
      </c>
      <c r="E287" s="1">
        <v>-1</v>
      </c>
      <c r="F287" s="1" t="s">
        <v>139</v>
      </c>
      <c r="G287" s="1" t="s">
        <v>290</v>
      </c>
      <c r="H287" s="1" t="s">
        <v>391</v>
      </c>
      <c r="I287" s="1" t="s">
        <v>392</v>
      </c>
    </row>
    <row r="288" spans="1:9" ht="25" customHeight="1">
      <c r="A288" s="1"/>
      <c r="B288" s="1" t="s">
        <v>103</v>
      </c>
      <c r="C288" s="1" t="s">
        <v>34</v>
      </c>
      <c r="D288" s="1" t="s">
        <v>81</v>
      </c>
      <c r="E288" s="1">
        <v>11</v>
      </c>
      <c r="F288" s="1" t="s">
        <v>139</v>
      </c>
      <c r="G288" s="1" t="s">
        <v>290</v>
      </c>
      <c r="H288" s="1" t="s">
        <v>391</v>
      </c>
      <c r="I288" s="1" t="s">
        <v>392</v>
      </c>
    </row>
    <row r="289" spans="1:9" ht="25" customHeight="1">
      <c r="A289" s="1"/>
      <c r="B289" s="1" t="s">
        <v>103</v>
      </c>
      <c r="C289" s="1" t="s">
        <v>43</v>
      </c>
      <c r="D289" s="1" t="s">
        <v>245</v>
      </c>
      <c r="E289" s="1">
        <v>-1</v>
      </c>
      <c r="F289" s="1" t="s">
        <v>139</v>
      </c>
      <c r="G289" s="1" t="s">
        <v>293</v>
      </c>
      <c r="H289" s="1" t="s">
        <v>391</v>
      </c>
      <c r="I289" s="1" t="s">
        <v>393</v>
      </c>
    </row>
    <row r="290" spans="1:9" ht="25" customHeight="1">
      <c r="A290" s="1"/>
      <c r="B290" s="1" t="s">
        <v>103</v>
      </c>
      <c r="C290" s="1" t="s">
        <v>43</v>
      </c>
      <c r="D290" s="1" t="s">
        <v>249</v>
      </c>
      <c r="E290" s="1">
        <v>-5</v>
      </c>
      <c r="F290" s="1" t="s">
        <v>139</v>
      </c>
      <c r="G290" s="1" t="s">
        <v>293</v>
      </c>
      <c r="H290" s="1" t="s">
        <v>391</v>
      </c>
      <c r="I290" s="1" t="s">
        <v>393</v>
      </c>
    </row>
    <row r="291" spans="1:9" ht="25" customHeight="1">
      <c r="A291" s="1"/>
      <c r="B291" s="1" t="s">
        <v>103</v>
      </c>
      <c r="C291" s="1" t="s">
        <v>43</v>
      </c>
      <c r="D291" s="1" t="s">
        <v>79</v>
      </c>
      <c r="E291" s="1">
        <v>9</v>
      </c>
      <c r="F291" s="1" t="s">
        <v>139</v>
      </c>
      <c r="G291" s="1" t="s">
        <v>293</v>
      </c>
      <c r="H291" s="1" t="s">
        <v>391</v>
      </c>
      <c r="I291" s="1" t="s">
        <v>393</v>
      </c>
    </row>
    <row r="292" spans="1:9" ht="25" customHeight="1">
      <c r="A292" s="1"/>
      <c r="B292" s="1" t="s">
        <v>103</v>
      </c>
      <c r="C292" s="1" t="s">
        <v>43</v>
      </c>
      <c r="D292" s="1" t="s">
        <v>250</v>
      </c>
      <c r="E292" s="1">
        <v>0</v>
      </c>
      <c r="F292" s="1" t="s">
        <v>139</v>
      </c>
      <c r="G292" s="1" t="s">
        <v>293</v>
      </c>
      <c r="H292" s="1" t="s">
        <v>391</v>
      </c>
      <c r="I292" s="1" t="s">
        <v>393</v>
      </c>
    </row>
    <row r="293" spans="1:9" ht="25" customHeight="1">
      <c r="A293" s="1"/>
      <c r="B293" s="1" t="s">
        <v>103</v>
      </c>
      <c r="C293" s="1" t="s">
        <v>43</v>
      </c>
      <c r="D293" s="1" t="s">
        <v>251</v>
      </c>
      <c r="E293" s="1">
        <v>0</v>
      </c>
      <c r="F293" s="1" t="s">
        <v>139</v>
      </c>
      <c r="G293" s="1" t="s">
        <v>293</v>
      </c>
      <c r="H293" s="1" t="s">
        <v>391</v>
      </c>
      <c r="I293" s="1" t="s">
        <v>393</v>
      </c>
    </row>
    <row r="294" spans="1:9" ht="25" customHeight="1">
      <c r="A294" s="1"/>
      <c r="B294" s="1" t="s">
        <v>103</v>
      </c>
      <c r="C294" s="1" t="s">
        <v>43</v>
      </c>
      <c r="D294" s="1" t="s">
        <v>252</v>
      </c>
      <c r="E294" s="1">
        <v>3</v>
      </c>
      <c r="F294" s="1" t="s">
        <v>139</v>
      </c>
      <c r="G294" s="1" t="s">
        <v>293</v>
      </c>
      <c r="H294" s="1" t="s">
        <v>391</v>
      </c>
      <c r="I294" s="1" t="s">
        <v>393</v>
      </c>
    </row>
    <row r="295" spans="1:9" ht="25" customHeight="1">
      <c r="A295" s="1"/>
      <c r="B295" s="1" t="s">
        <v>103</v>
      </c>
      <c r="C295" s="1" t="s">
        <v>43</v>
      </c>
      <c r="D295" s="1" t="s">
        <v>75</v>
      </c>
      <c r="E295" s="1">
        <v>-1</v>
      </c>
      <c r="F295" s="1" t="s">
        <v>139</v>
      </c>
      <c r="G295" s="1" t="s">
        <v>293</v>
      </c>
      <c r="H295" s="1" t="s">
        <v>391</v>
      </c>
      <c r="I295" s="1" t="s">
        <v>393</v>
      </c>
    </row>
    <row r="296" spans="1:9" ht="25" customHeight="1">
      <c r="A296" s="1"/>
      <c r="B296" s="1" t="s">
        <v>103</v>
      </c>
      <c r="C296" s="1" t="s">
        <v>43</v>
      </c>
      <c r="D296" s="1" t="s">
        <v>81</v>
      </c>
      <c r="E296" s="1">
        <v>8</v>
      </c>
      <c r="F296" s="1" t="s">
        <v>139</v>
      </c>
      <c r="G296" s="1" t="s">
        <v>293</v>
      </c>
      <c r="H296" s="1" t="s">
        <v>391</v>
      </c>
      <c r="I296" s="1" t="s">
        <v>393</v>
      </c>
    </row>
    <row r="297" spans="1:9" ht="25" customHeight="1">
      <c r="A297" s="1"/>
      <c r="B297" s="1" t="s">
        <v>103</v>
      </c>
      <c r="C297" s="1" t="s">
        <v>45</v>
      </c>
      <c r="D297" s="1" t="s">
        <v>245</v>
      </c>
      <c r="E297" s="1">
        <v>-3</v>
      </c>
      <c r="F297" s="1" t="s">
        <v>139</v>
      </c>
      <c r="G297" s="1" t="s">
        <v>295</v>
      </c>
      <c r="H297" s="1" t="s">
        <v>391</v>
      </c>
      <c r="I297" s="1" t="s">
        <v>394</v>
      </c>
    </row>
    <row r="298" spans="1:9" ht="25" customHeight="1">
      <c r="A298" s="1"/>
      <c r="B298" s="1" t="s">
        <v>103</v>
      </c>
      <c r="C298" s="1" t="s">
        <v>45</v>
      </c>
      <c r="D298" s="1" t="s">
        <v>249</v>
      </c>
      <c r="E298" s="1">
        <v>-2</v>
      </c>
      <c r="F298" s="1" t="s">
        <v>139</v>
      </c>
      <c r="G298" s="1" t="s">
        <v>295</v>
      </c>
      <c r="H298" s="1" t="s">
        <v>391</v>
      </c>
      <c r="I298" s="1" t="s">
        <v>394</v>
      </c>
    </row>
    <row r="299" spans="1:9" ht="25" customHeight="1">
      <c r="A299" s="1"/>
      <c r="B299" s="1" t="s">
        <v>103</v>
      </c>
      <c r="C299" s="1" t="s">
        <v>45</v>
      </c>
      <c r="D299" s="1" t="s">
        <v>79</v>
      </c>
      <c r="E299" s="1">
        <v>6</v>
      </c>
      <c r="F299" s="1" t="s">
        <v>139</v>
      </c>
      <c r="G299" s="1" t="s">
        <v>295</v>
      </c>
      <c r="H299" s="1" t="s">
        <v>391</v>
      </c>
      <c r="I299" s="1" t="s">
        <v>394</v>
      </c>
    </row>
    <row r="300" spans="1:9" ht="25" customHeight="1">
      <c r="A300" s="1"/>
      <c r="B300" s="1" t="s">
        <v>103</v>
      </c>
      <c r="C300" s="1" t="s">
        <v>45</v>
      </c>
      <c r="D300" s="1" t="s">
        <v>250</v>
      </c>
      <c r="E300" s="1">
        <v>2</v>
      </c>
      <c r="F300" s="1" t="s">
        <v>139</v>
      </c>
      <c r="G300" s="1" t="s">
        <v>295</v>
      </c>
      <c r="H300" s="1" t="s">
        <v>391</v>
      </c>
      <c r="I300" s="1" t="s">
        <v>394</v>
      </c>
    </row>
    <row r="301" spans="1:9" ht="25" customHeight="1">
      <c r="A301" s="1"/>
      <c r="B301" s="1" t="s">
        <v>103</v>
      </c>
      <c r="C301" s="1" t="s">
        <v>45</v>
      </c>
      <c r="D301" s="1" t="s">
        <v>251</v>
      </c>
      <c r="E301" s="1">
        <v>0</v>
      </c>
      <c r="F301" s="1" t="s">
        <v>139</v>
      </c>
      <c r="G301" s="1" t="s">
        <v>295</v>
      </c>
      <c r="H301" s="1" t="s">
        <v>391</v>
      </c>
      <c r="I301" s="1" t="s">
        <v>394</v>
      </c>
    </row>
    <row r="302" spans="1:9" ht="25" customHeight="1">
      <c r="A302" s="1"/>
      <c r="B302" s="1" t="s">
        <v>103</v>
      </c>
      <c r="C302" s="1" t="s">
        <v>45</v>
      </c>
      <c r="D302" s="1" t="s">
        <v>252</v>
      </c>
      <c r="E302" s="1">
        <v>3</v>
      </c>
      <c r="F302" s="1" t="s">
        <v>139</v>
      </c>
      <c r="G302" s="1" t="s">
        <v>295</v>
      </c>
      <c r="H302" s="1" t="s">
        <v>391</v>
      </c>
      <c r="I302" s="1" t="s">
        <v>394</v>
      </c>
    </row>
    <row r="303" spans="1:9" ht="25" customHeight="1">
      <c r="A303" s="1"/>
      <c r="B303" s="1" t="s">
        <v>103</v>
      </c>
      <c r="C303" s="1" t="s">
        <v>45</v>
      </c>
      <c r="D303" s="1" t="s">
        <v>75</v>
      </c>
      <c r="E303" s="1">
        <v>-3</v>
      </c>
      <c r="F303" s="1" t="s">
        <v>139</v>
      </c>
      <c r="G303" s="1" t="s">
        <v>295</v>
      </c>
      <c r="H303" s="1" t="s">
        <v>391</v>
      </c>
      <c r="I303" s="1" t="s">
        <v>394</v>
      </c>
    </row>
    <row r="304" spans="1:9" ht="25" customHeight="1">
      <c r="A304" s="1"/>
      <c r="B304" s="1" t="s">
        <v>103</v>
      </c>
      <c r="C304" s="1" t="s">
        <v>45</v>
      </c>
      <c r="D304" s="1" t="s">
        <v>81</v>
      </c>
      <c r="E304" s="1">
        <v>5</v>
      </c>
      <c r="F304" s="1" t="s">
        <v>139</v>
      </c>
      <c r="G304" s="1" t="s">
        <v>295</v>
      </c>
      <c r="H304" s="1" t="s">
        <v>391</v>
      </c>
      <c r="I304" s="1" t="s">
        <v>394</v>
      </c>
    </row>
    <row r="305" spans="1:9" ht="25" customHeight="1">
      <c r="A305" s="1"/>
      <c r="B305" s="1" t="s">
        <v>103</v>
      </c>
      <c r="C305" s="1" t="s">
        <v>50</v>
      </c>
      <c r="D305" s="1" t="s">
        <v>245</v>
      </c>
      <c r="E305" s="1">
        <v>-2</v>
      </c>
      <c r="F305" s="1" t="s">
        <v>139</v>
      </c>
      <c r="G305" s="1" t="s">
        <v>297</v>
      </c>
      <c r="H305" s="1" t="s">
        <v>391</v>
      </c>
      <c r="I305" s="1" t="s">
        <v>395</v>
      </c>
    </row>
    <row r="306" spans="1:9" ht="25" customHeight="1">
      <c r="A306" s="1"/>
      <c r="B306" s="1" t="s">
        <v>103</v>
      </c>
      <c r="C306" s="1" t="s">
        <v>50</v>
      </c>
      <c r="D306" s="1" t="s">
        <v>249</v>
      </c>
      <c r="E306" s="1">
        <v>-2</v>
      </c>
      <c r="F306" s="1" t="s">
        <v>139</v>
      </c>
      <c r="G306" s="1" t="s">
        <v>297</v>
      </c>
      <c r="H306" s="1" t="s">
        <v>391</v>
      </c>
      <c r="I306" s="1" t="s">
        <v>395</v>
      </c>
    </row>
    <row r="307" spans="1:9" ht="25" customHeight="1">
      <c r="A307" s="1"/>
      <c r="B307" s="1" t="s">
        <v>103</v>
      </c>
      <c r="C307" s="1" t="s">
        <v>50</v>
      </c>
      <c r="D307" s="1" t="s">
        <v>79</v>
      </c>
      <c r="E307" s="1">
        <v>6</v>
      </c>
      <c r="F307" s="1" t="s">
        <v>139</v>
      </c>
      <c r="G307" s="1" t="s">
        <v>297</v>
      </c>
      <c r="H307" s="1" t="s">
        <v>391</v>
      </c>
      <c r="I307" s="1" t="s">
        <v>395</v>
      </c>
    </row>
    <row r="308" spans="1:9" ht="25" customHeight="1">
      <c r="A308" s="1"/>
      <c r="B308" s="1" t="s">
        <v>103</v>
      </c>
      <c r="C308" s="1" t="s">
        <v>50</v>
      </c>
      <c r="D308" s="1" t="s">
        <v>250</v>
      </c>
      <c r="E308" s="1">
        <v>3</v>
      </c>
      <c r="F308" s="1" t="s">
        <v>139</v>
      </c>
      <c r="G308" s="1" t="s">
        <v>297</v>
      </c>
      <c r="H308" s="1" t="s">
        <v>391</v>
      </c>
      <c r="I308" s="1" t="s">
        <v>395</v>
      </c>
    </row>
    <row r="309" spans="1:9" ht="25" customHeight="1">
      <c r="A309" s="1"/>
      <c r="B309" s="1" t="s">
        <v>103</v>
      </c>
      <c r="C309" s="1" t="s">
        <v>50</v>
      </c>
      <c r="D309" s="1" t="s">
        <v>251</v>
      </c>
      <c r="E309" s="1">
        <v>0</v>
      </c>
      <c r="F309" s="1" t="s">
        <v>139</v>
      </c>
      <c r="G309" s="1" t="s">
        <v>297</v>
      </c>
      <c r="H309" s="1" t="s">
        <v>391</v>
      </c>
      <c r="I309" s="1" t="s">
        <v>395</v>
      </c>
    </row>
    <row r="310" spans="1:9" ht="25" customHeight="1">
      <c r="A310" s="1"/>
      <c r="B310" s="1" t="s">
        <v>103</v>
      </c>
      <c r="C310" s="1" t="s">
        <v>50</v>
      </c>
      <c r="D310" s="1" t="s">
        <v>252</v>
      </c>
      <c r="E310" s="1">
        <v>5</v>
      </c>
      <c r="F310" s="1" t="s">
        <v>139</v>
      </c>
      <c r="G310" s="1" t="s">
        <v>297</v>
      </c>
      <c r="H310" s="1" t="s">
        <v>391</v>
      </c>
      <c r="I310" s="1" t="s">
        <v>395</v>
      </c>
    </row>
    <row r="311" spans="1:9" ht="25" customHeight="1">
      <c r="A311" s="1"/>
      <c r="B311" s="1" t="s">
        <v>103</v>
      </c>
      <c r="C311" s="1" t="s">
        <v>50</v>
      </c>
      <c r="D311" s="1" t="s">
        <v>75</v>
      </c>
      <c r="E311" s="1">
        <v>-2</v>
      </c>
      <c r="F311" s="1" t="s">
        <v>139</v>
      </c>
      <c r="G311" s="1" t="s">
        <v>297</v>
      </c>
      <c r="H311" s="1" t="s">
        <v>391</v>
      </c>
      <c r="I311" s="1" t="s">
        <v>395</v>
      </c>
    </row>
    <row r="312" spans="1:9" ht="25" customHeight="1">
      <c r="A312" s="1"/>
      <c r="B312" s="1" t="s">
        <v>103</v>
      </c>
      <c r="C312" s="1" t="s">
        <v>50</v>
      </c>
      <c r="D312" s="1" t="s">
        <v>81</v>
      </c>
      <c r="E312" s="1">
        <v>8</v>
      </c>
      <c r="F312" s="1" t="s">
        <v>139</v>
      </c>
      <c r="G312" s="1" t="s">
        <v>297</v>
      </c>
      <c r="H312" s="1" t="s">
        <v>391</v>
      </c>
      <c r="I312" s="1" t="s">
        <v>395</v>
      </c>
    </row>
    <row r="313" spans="1:9" ht="25" customHeight="1">
      <c r="A313" s="1"/>
      <c r="B313" s="1" t="s">
        <v>103</v>
      </c>
      <c r="C313" s="1" t="s">
        <v>55</v>
      </c>
      <c r="D313" s="1" t="s">
        <v>245</v>
      </c>
      <c r="E313" s="1">
        <v>0</v>
      </c>
      <c r="F313" s="1" t="s">
        <v>139</v>
      </c>
      <c r="G313" s="1" t="s">
        <v>299</v>
      </c>
      <c r="H313" s="1" t="s">
        <v>391</v>
      </c>
      <c r="I313" s="1" t="s">
        <v>396</v>
      </c>
    </row>
    <row r="314" spans="1:9" ht="25" customHeight="1">
      <c r="A314" s="1"/>
      <c r="B314" s="1" t="s">
        <v>103</v>
      </c>
      <c r="C314" s="1" t="s">
        <v>55</v>
      </c>
      <c r="D314" s="1" t="s">
        <v>249</v>
      </c>
      <c r="E314" s="1">
        <v>-3</v>
      </c>
      <c r="F314" s="1" t="s">
        <v>139</v>
      </c>
      <c r="G314" s="1" t="s">
        <v>299</v>
      </c>
      <c r="H314" s="1" t="s">
        <v>391</v>
      </c>
      <c r="I314" s="1" t="s">
        <v>396</v>
      </c>
    </row>
    <row r="315" spans="1:9" ht="25" customHeight="1">
      <c r="A315" s="1"/>
      <c r="B315" s="1" t="s">
        <v>103</v>
      </c>
      <c r="C315" s="1" t="s">
        <v>55</v>
      </c>
      <c r="D315" s="1" t="s">
        <v>79</v>
      </c>
      <c r="E315" s="1">
        <v>8</v>
      </c>
      <c r="F315" s="1" t="s">
        <v>139</v>
      </c>
      <c r="G315" s="1" t="s">
        <v>299</v>
      </c>
      <c r="H315" s="1" t="s">
        <v>391</v>
      </c>
      <c r="I315" s="1" t="s">
        <v>396</v>
      </c>
    </row>
    <row r="316" spans="1:9" ht="25" customHeight="1">
      <c r="A316" s="1"/>
      <c r="B316" s="1" t="s">
        <v>103</v>
      </c>
      <c r="C316" s="1" t="s">
        <v>55</v>
      </c>
      <c r="D316" s="1" t="s">
        <v>250</v>
      </c>
      <c r="E316" s="1">
        <v>2</v>
      </c>
      <c r="F316" s="1" t="s">
        <v>139</v>
      </c>
      <c r="G316" s="1" t="s">
        <v>299</v>
      </c>
      <c r="H316" s="1" t="s">
        <v>391</v>
      </c>
      <c r="I316" s="1" t="s">
        <v>396</v>
      </c>
    </row>
    <row r="317" spans="1:9" ht="25" customHeight="1">
      <c r="A317" s="1"/>
      <c r="B317" s="1" t="s">
        <v>103</v>
      </c>
      <c r="C317" s="1" t="s">
        <v>55</v>
      </c>
      <c r="D317" s="1" t="s">
        <v>251</v>
      </c>
      <c r="E317" s="1">
        <v>0</v>
      </c>
      <c r="F317" s="1" t="s">
        <v>139</v>
      </c>
      <c r="G317" s="1" t="s">
        <v>299</v>
      </c>
      <c r="H317" s="1" t="s">
        <v>391</v>
      </c>
      <c r="I317" s="1" t="s">
        <v>396</v>
      </c>
    </row>
    <row r="318" spans="1:9" ht="25" customHeight="1">
      <c r="A318" s="1"/>
      <c r="B318" s="1" t="s">
        <v>103</v>
      </c>
      <c r="C318" s="1" t="s">
        <v>55</v>
      </c>
      <c r="D318" s="1" t="s">
        <v>252</v>
      </c>
      <c r="E318" s="1">
        <v>7</v>
      </c>
      <c r="F318" s="1" t="s">
        <v>139</v>
      </c>
      <c r="G318" s="1" t="s">
        <v>299</v>
      </c>
      <c r="H318" s="1" t="s">
        <v>391</v>
      </c>
      <c r="I318" s="1" t="s">
        <v>396</v>
      </c>
    </row>
    <row r="319" spans="1:9" ht="25" customHeight="1">
      <c r="A319" s="1"/>
      <c r="B319" s="1" t="s">
        <v>103</v>
      </c>
      <c r="C319" s="1" t="s">
        <v>55</v>
      </c>
      <c r="D319" s="1" t="s">
        <v>75</v>
      </c>
      <c r="E319" s="1">
        <v>0</v>
      </c>
      <c r="F319" s="1" t="s">
        <v>139</v>
      </c>
      <c r="G319" s="1" t="s">
        <v>299</v>
      </c>
      <c r="H319" s="1" t="s">
        <v>391</v>
      </c>
      <c r="I319" s="1" t="s">
        <v>396</v>
      </c>
    </row>
    <row r="320" spans="1:9" ht="25" customHeight="1">
      <c r="A320" s="1"/>
      <c r="B320" s="1" t="s">
        <v>103</v>
      </c>
      <c r="C320" s="1" t="s">
        <v>55</v>
      </c>
      <c r="D320" s="1" t="s">
        <v>81</v>
      </c>
      <c r="E320" s="1">
        <v>9</v>
      </c>
      <c r="F320" s="1" t="s">
        <v>139</v>
      </c>
      <c r="G320" s="1" t="s">
        <v>299</v>
      </c>
      <c r="H320" s="1" t="s">
        <v>391</v>
      </c>
      <c r="I320" s="1" t="s">
        <v>396</v>
      </c>
    </row>
    <row r="321" spans="1:9" ht="25" customHeight="1">
      <c r="A321" s="1"/>
      <c r="B321" s="1" t="s">
        <v>103</v>
      </c>
      <c r="C321" s="1" t="s">
        <v>134</v>
      </c>
      <c r="D321" s="1" t="s">
        <v>245</v>
      </c>
      <c r="E321" s="1">
        <v>-1</v>
      </c>
      <c r="F321" s="1" t="s">
        <v>139</v>
      </c>
      <c r="G321" s="1" t="s">
        <v>301</v>
      </c>
      <c r="H321" s="1" t="s">
        <v>391</v>
      </c>
      <c r="I321" s="1" t="s">
        <v>397</v>
      </c>
    </row>
    <row r="322" spans="1:9" ht="25" customHeight="1">
      <c r="A322" s="1"/>
      <c r="B322" s="1" t="s">
        <v>103</v>
      </c>
      <c r="C322" s="1" t="s">
        <v>134</v>
      </c>
      <c r="D322" s="1" t="s">
        <v>249</v>
      </c>
      <c r="E322" s="1">
        <v>-3</v>
      </c>
      <c r="F322" s="1" t="s">
        <v>139</v>
      </c>
      <c r="G322" s="1" t="s">
        <v>301</v>
      </c>
      <c r="H322" s="1" t="s">
        <v>391</v>
      </c>
      <c r="I322" s="1" t="s">
        <v>397</v>
      </c>
    </row>
    <row r="323" spans="1:9" ht="25" customHeight="1">
      <c r="A323" s="1"/>
      <c r="B323" s="1" t="s">
        <v>103</v>
      </c>
      <c r="C323" s="1" t="s">
        <v>134</v>
      </c>
      <c r="D323" s="1" t="s">
        <v>79</v>
      </c>
      <c r="E323" s="1">
        <v>7</v>
      </c>
      <c r="F323" s="1" t="s">
        <v>139</v>
      </c>
      <c r="G323" s="1" t="s">
        <v>301</v>
      </c>
      <c r="H323" s="1" t="s">
        <v>391</v>
      </c>
      <c r="I323" s="1" t="s">
        <v>397</v>
      </c>
    </row>
    <row r="324" spans="1:9" ht="25" customHeight="1">
      <c r="A324" s="1"/>
      <c r="B324" s="1" t="s">
        <v>103</v>
      </c>
      <c r="C324" s="1" t="s">
        <v>134</v>
      </c>
      <c r="D324" s="1" t="s">
        <v>250</v>
      </c>
      <c r="E324" s="1">
        <v>2</v>
      </c>
      <c r="F324" s="1" t="s">
        <v>139</v>
      </c>
      <c r="G324" s="1" t="s">
        <v>301</v>
      </c>
      <c r="H324" s="1" t="s">
        <v>391</v>
      </c>
      <c r="I324" s="1" t="s">
        <v>397</v>
      </c>
    </row>
    <row r="325" spans="1:9" ht="25" customHeight="1">
      <c r="A325" s="1"/>
      <c r="B325" s="1" t="s">
        <v>103</v>
      </c>
      <c r="C325" s="1" t="s">
        <v>134</v>
      </c>
      <c r="D325" s="1" t="s">
        <v>251</v>
      </c>
      <c r="E325" s="1">
        <v>0</v>
      </c>
      <c r="F325" s="1" t="s">
        <v>139</v>
      </c>
      <c r="G325" s="1" t="s">
        <v>301</v>
      </c>
      <c r="H325" s="1" t="s">
        <v>391</v>
      </c>
      <c r="I325" s="1" t="s">
        <v>397</v>
      </c>
    </row>
    <row r="326" spans="1:9" ht="25" customHeight="1">
      <c r="A326" s="1"/>
      <c r="B326" s="1" t="s">
        <v>103</v>
      </c>
      <c r="C326" s="1" t="s">
        <v>134</v>
      </c>
      <c r="D326" s="1" t="s">
        <v>252</v>
      </c>
      <c r="E326" s="1">
        <v>5</v>
      </c>
      <c r="F326" s="1" t="s">
        <v>139</v>
      </c>
      <c r="G326" s="1" t="s">
        <v>301</v>
      </c>
      <c r="H326" s="1" t="s">
        <v>391</v>
      </c>
      <c r="I326" s="1" t="s">
        <v>397</v>
      </c>
    </row>
    <row r="327" spans="1:9" ht="25" customHeight="1">
      <c r="A327" s="1"/>
      <c r="B327" s="1" t="s">
        <v>103</v>
      </c>
      <c r="C327" s="1" t="s">
        <v>134</v>
      </c>
      <c r="D327" s="1" t="s">
        <v>75</v>
      </c>
      <c r="E327" s="1">
        <v>-1</v>
      </c>
      <c r="F327" s="1" t="s">
        <v>139</v>
      </c>
      <c r="G327" s="1" t="s">
        <v>301</v>
      </c>
      <c r="H327" s="1" t="s">
        <v>391</v>
      </c>
      <c r="I327" s="1" t="s">
        <v>397</v>
      </c>
    </row>
    <row r="328" spans="1:9" ht="25" customHeight="1">
      <c r="A328" s="1"/>
      <c r="B328" s="1" t="s">
        <v>103</v>
      </c>
      <c r="C328" s="1" t="s">
        <v>134</v>
      </c>
      <c r="D328" s="1" t="s">
        <v>81</v>
      </c>
      <c r="E328" s="1">
        <v>8</v>
      </c>
      <c r="F328" s="1" t="s">
        <v>139</v>
      </c>
      <c r="G328" s="1" t="s">
        <v>301</v>
      </c>
      <c r="H328" s="1" t="s">
        <v>391</v>
      </c>
      <c r="I328" s="1" t="s">
        <v>397</v>
      </c>
    </row>
    <row r="329" spans="1:9" ht="25" customHeight="1">
      <c r="A329" s="1"/>
      <c r="B329" s="1" t="s">
        <v>103</v>
      </c>
      <c r="C329" s="1" t="s">
        <v>34</v>
      </c>
      <c r="D329" s="1" t="s">
        <v>263</v>
      </c>
      <c r="E329" s="1">
        <v>3746</v>
      </c>
      <c r="F329" s="1" t="s">
        <v>139</v>
      </c>
      <c r="G329" s="1" t="s">
        <v>303</v>
      </c>
      <c r="H329" s="1" t="s">
        <v>391</v>
      </c>
      <c r="I329" s="1" t="s">
        <v>398</v>
      </c>
    </row>
    <row r="330" spans="1:9" ht="25" customHeight="1">
      <c r="A330" s="1"/>
      <c r="B330" s="1" t="s">
        <v>103</v>
      </c>
      <c r="C330" s="1" t="s">
        <v>43</v>
      </c>
      <c r="D330" s="1" t="s">
        <v>263</v>
      </c>
      <c r="E330" s="1">
        <v>1656</v>
      </c>
      <c r="F330" s="1" t="s">
        <v>139</v>
      </c>
      <c r="G330" s="1" t="s">
        <v>305</v>
      </c>
      <c r="H330" s="1" t="s">
        <v>391</v>
      </c>
      <c r="I330" s="1" t="s">
        <v>399</v>
      </c>
    </row>
    <row r="331" spans="1:9" ht="25" customHeight="1">
      <c r="A331" s="1"/>
      <c r="B331" s="1" t="s">
        <v>103</v>
      </c>
      <c r="C331" s="1" t="s">
        <v>45</v>
      </c>
      <c r="D331" s="1" t="s">
        <v>263</v>
      </c>
      <c r="E331" s="1">
        <v>2590</v>
      </c>
      <c r="F331" s="1" t="s">
        <v>139</v>
      </c>
      <c r="G331" s="1" t="s">
        <v>307</v>
      </c>
      <c r="H331" s="1" t="s">
        <v>391</v>
      </c>
      <c r="I331" s="1" t="s">
        <v>400</v>
      </c>
    </row>
    <row r="332" spans="1:9" ht="25" customHeight="1">
      <c r="A332" s="1"/>
      <c r="B332" s="1" t="s">
        <v>103</v>
      </c>
      <c r="C332" s="1" t="s">
        <v>50</v>
      </c>
      <c r="D332" s="1" t="s">
        <v>263</v>
      </c>
      <c r="E332" s="1">
        <v>7241</v>
      </c>
      <c r="F332" s="1" t="s">
        <v>139</v>
      </c>
      <c r="G332" s="1" t="s">
        <v>309</v>
      </c>
      <c r="H332" s="1" t="s">
        <v>391</v>
      </c>
      <c r="I332" s="1" t="s">
        <v>401</v>
      </c>
    </row>
    <row r="333" spans="1:9" ht="25" customHeight="1">
      <c r="A333" s="1"/>
      <c r="B333" s="1" t="s">
        <v>103</v>
      </c>
      <c r="C333" s="1" t="s">
        <v>55</v>
      </c>
      <c r="D333" s="1" t="s">
        <v>263</v>
      </c>
      <c r="E333" s="1">
        <v>5156</v>
      </c>
      <c r="F333" s="1" t="s">
        <v>139</v>
      </c>
      <c r="G333" s="1" t="s">
        <v>311</v>
      </c>
      <c r="H333" s="1" t="s">
        <v>391</v>
      </c>
      <c r="I333" s="1" t="s">
        <v>402</v>
      </c>
    </row>
    <row r="334" spans="1:9" ht="25" customHeight="1">
      <c r="A334" s="1"/>
      <c r="B334" s="1" t="s">
        <v>103</v>
      </c>
      <c r="C334" s="1" t="s">
        <v>133</v>
      </c>
      <c r="D334" s="1" t="s">
        <v>263</v>
      </c>
      <c r="E334" s="1">
        <v>164</v>
      </c>
      <c r="F334" s="1" t="s">
        <v>139</v>
      </c>
      <c r="G334" s="1" t="s">
        <v>313</v>
      </c>
      <c r="H334" s="1" t="s">
        <v>391</v>
      </c>
      <c r="I334" s="1" t="s">
        <v>403</v>
      </c>
    </row>
    <row r="335" spans="1:9" ht="25" customHeight="1">
      <c r="A335" s="1"/>
      <c r="B335" s="1" t="s">
        <v>103</v>
      </c>
      <c r="C335" s="1" t="s">
        <v>134</v>
      </c>
      <c r="D335" s="1" t="s">
        <v>263</v>
      </c>
      <c r="E335" s="1">
        <v>20553</v>
      </c>
      <c r="F335" s="1" t="s">
        <v>139</v>
      </c>
      <c r="G335" s="1" t="s">
        <v>315</v>
      </c>
      <c r="H335" s="1" t="s">
        <v>391</v>
      </c>
      <c r="I335" s="1" t="s">
        <v>404</v>
      </c>
    </row>
    <row r="336" spans="1:9" ht="25" customHeight="1">
      <c r="A336" s="1"/>
      <c r="B336" s="1" t="s">
        <v>104</v>
      </c>
      <c r="C336" s="1" t="s">
        <v>34</v>
      </c>
      <c r="D336" s="1" t="s">
        <v>245</v>
      </c>
      <c r="E336" s="1">
        <v>0</v>
      </c>
      <c r="F336" s="1" t="s">
        <v>140</v>
      </c>
      <c r="G336" s="1" t="s">
        <v>330</v>
      </c>
      <c r="H336" s="1" t="s">
        <v>405</v>
      </c>
      <c r="I336" s="1" t="s">
        <v>406</v>
      </c>
    </row>
    <row r="337" spans="1:9" ht="25" customHeight="1">
      <c r="A337" s="1"/>
      <c r="B337" s="1" t="s">
        <v>104</v>
      </c>
      <c r="C337" s="1" t="s">
        <v>34</v>
      </c>
      <c r="D337" s="1" t="s">
        <v>75</v>
      </c>
      <c r="E337" s="1">
        <v>0</v>
      </c>
      <c r="F337" s="1" t="s">
        <v>140</v>
      </c>
      <c r="G337" s="1" t="s">
        <v>330</v>
      </c>
      <c r="H337" s="1" t="s">
        <v>405</v>
      </c>
      <c r="I337" s="1" t="s">
        <v>406</v>
      </c>
    </row>
    <row r="338" spans="1:9" ht="25" customHeight="1">
      <c r="A338" s="1"/>
      <c r="B338" s="1" t="s">
        <v>104</v>
      </c>
      <c r="C338" s="1" t="s">
        <v>34</v>
      </c>
      <c r="D338" s="1" t="s">
        <v>249</v>
      </c>
      <c r="E338" s="1">
        <v>-3</v>
      </c>
      <c r="F338" s="1" t="s">
        <v>140</v>
      </c>
      <c r="G338" s="1" t="s">
        <v>330</v>
      </c>
      <c r="H338" s="1" t="s">
        <v>405</v>
      </c>
      <c r="I338" s="1" t="s">
        <v>406</v>
      </c>
    </row>
    <row r="339" spans="1:9" ht="25" customHeight="1">
      <c r="A339" s="1"/>
      <c r="B339" s="1" t="s">
        <v>104</v>
      </c>
      <c r="C339" s="1" t="s">
        <v>34</v>
      </c>
      <c r="D339" s="1" t="s">
        <v>79</v>
      </c>
      <c r="E339" s="1">
        <v>7</v>
      </c>
      <c r="F339" s="1" t="s">
        <v>140</v>
      </c>
      <c r="G339" s="1" t="s">
        <v>330</v>
      </c>
      <c r="H339" s="1" t="s">
        <v>405</v>
      </c>
      <c r="I339" s="1" t="s">
        <v>406</v>
      </c>
    </row>
    <row r="340" spans="1:9" ht="25" customHeight="1">
      <c r="A340" s="1"/>
      <c r="B340" s="1" t="s">
        <v>104</v>
      </c>
      <c r="C340" s="1" t="s">
        <v>34</v>
      </c>
      <c r="D340" s="1" t="s">
        <v>250</v>
      </c>
      <c r="E340" s="1">
        <v>-2</v>
      </c>
      <c r="F340" s="1" t="s">
        <v>140</v>
      </c>
      <c r="G340" s="1" t="s">
        <v>330</v>
      </c>
      <c r="H340" s="1" t="s">
        <v>405</v>
      </c>
      <c r="I340" s="1" t="s">
        <v>406</v>
      </c>
    </row>
    <row r="341" spans="1:9" ht="25" customHeight="1">
      <c r="A341" s="1"/>
      <c r="B341" s="1" t="s">
        <v>104</v>
      </c>
      <c r="C341" s="1" t="s">
        <v>34</v>
      </c>
      <c r="D341" s="1" t="s">
        <v>251</v>
      </c>
      <c r="E341" s="1">
        <v>1</v>
      </c>
      <c r="F341" s="1" t="s">
        <v>140</v>
      </c>
      <c r="G341" s="1" t="s">
        <v>330</v>
      </c>
      <c r="H341" s="1" t="s">
        <v>405</v>
      </c>
      <c r="I341" s="1" t="s">
        <v>406</v>
      </c>
    </row>
    <row r="342" spans="1:9" ht="25" customHeight="1">
      <c r="A342" s="1"/>
      <c r="B342" s="1" t="s">
        <v>104</v>
      </c>
      <c r="C342" s="1" t="s">
        <v>34</v>
      </c>
      <c r="D342" s="1" t="s">
        <v>252</v>
      </c>
      <c r="E342" s="1">
        <v>3</v>
      </c>
      <c r="F342" s="1" t="s">
        <v>140</v>
      </c>
      <c r="G342" s="1" t="s">
        <v>330</v>
      </c>
      <c r="H342" s="1" t="s">
        <v>405</v>
      </c>
      <c r="I342" s="1" t="s">
        <v>406</v>
      </c>
    </row>
    <row r="343" spans="1:9" ht="25" customHeight="1">
      <c r="A343" s="1"/>
      <c r="B343" s="1" t="s">
        <v>104</v>
      </c>
      <c r="C343" s="1" t="s">
        <v>43</v>
      </c>
      <c r="D343" s="1" t="s">
        <v>245</v>
      </c>
      <c r="E343" s="1">
        <v>-2</v>
      </c>
      <c r="F343" s="1" t="s">
        <v>140</v>
      </c>
      <c r="G343" s="1" t="s">
        <v>332</v>
      </c>
      <c r="H343" s="1" t="s">
        <v>405</v>
      </c>
      <c r="I343" s="1" t="s">
        <v>407</v>
      </c>
    </row>
    <row r="344" spans="1:9" ht="25" customHeight="1">
      <c r="A344" s="1"/>
      <c r="B344" s="1" t="s">
        <v>104</v>
      </c>
      <c r="C344" s="1" t="s">
        <v>43</v>
      </c>
      <c r="D344" s="1" t="s">
        <v>75</v>
      </c>
      <c r="E344" s="1">
        <v>-2</v>
      </c>
      <c r="F344" s="1" t="s">
        <v>140</v>
      </c>
      <c r="G344" s="1" t="s">
        <v>332</v>
      </c>
      <c r="H344" s="1" t="s">
        <v>405</v>
      </c>
      <c r="I344" s="1" t="s">
        <v>407</v>
      </c>
    </row>
    <row r="345" spans="1:9" ht="25" customHeight="1">
      <c r="A345" s="1"/>
      <c r="B345" s="1" t="s">
        <v>104</v>
      </c>
      <c r="C345" s="1" t="s">
        <v>43</v>
      </c>
      <c r="D345" s="1" t="s">
        <v>249</v>
      </c>
      <c r="E345" s="1">
        <v>-3</v>
      </c>
      <c r="F345" s="1" t="s">
        <v>140</v>
      </c>
      <c r="G345" s="1" t="s">
        <v>332</v>
      </c>
      <c r="H345" s="1" t="s">
        <v>405</v>
      </c>
      <c r="I345" s="1" t="s">
        <v>407</v>
      </c>
    </row>
    <row r="346" spans="1:9" ht="25" customHeight="1">
      <c r="A346" s="1"/>
      <c r="B346" s="1" t="s">
        <v>104</v>
      </c>
      <c r="C346" s="1" t="s">
        <v>43</v>
      </c>
      <c r="D346" s="1" t="s">
        <v>79</v>
      </c>
      <c r="E346" s="1">
        <v>9</v>
      </c>
      <c r="F346" s="1" t="s">
        <v>140</v>
      </c>
      <c r="G346" s="1" t="s">
        <v>332</v>
      </c>
      <c r="H346" s="1" t="s">
        <v>405</v>
      </c>
      <c r="I346" s="1" t="s">
        <v>407</v>
      </c>
    </row>
    <row r="347" spans="1:9" ht="25" customHeight="1">
      <c r="A347" s="1"/>
      <c r="B347" s="1" t="s">
        <v>104</v>
      </c>
      <c r="C347" s="1" t="s">
        <v>43</v>
      </c>
      <c r="D347" s="1" t="s">
        <v>250</v>
      </c>
      <c r="E347" s="1">
        <v>1</v>
      </c>
      <c r="F347" s="1" t="s">
        <v>140</v>
      </c>
      <c r="G347" s="1" t="s">
        <v>332</v>
      </c>
      <c r="H347" s="1" t="s">
        <v>405</v>
      </c>
      <c r="I347" s="1" t="s">
        <v>407</v>
      </c>
    </row>
    <row r="348" spans="1:9" ht="25" customHeight="1">
      <c r="A348" s="1"/>
      <c r="B348" s="1" t="s">
        <v>104</v>
      </c>
      <c r="C348" s="1" t="s">
        <v>43</v>
      </c>
      <c r="D348" s="1" t="s">
        <v>251</v>
      </c>
      <c r="E348" s="1">
        <v>1</v>
      </c>
      <c r="F348" s="1" t="s">
        <v>140</v>
      </c>
      <c r="G348" s="1" t="s">
        <v>332</v>
      </c>
      <c r="H348" s="1" t="s">
        <v>405</v>
      </c>
      <c r="I348" s="1" t="s">
        <v>407</v>
      </c>
    </row>
    <row r="349" spans="1:9" ht="25" customHeight="1">
      <c r="A349" s="1"/>
      <c r="B349" s="1" t="s">
        <v>104</v>
      </c>
      <c r="C349" s="1" t="s">
        <v>43</v>
      </c>
      <c r="D349" s="1" t="s">
        <v>252</v>
      </c>
      <c r="E349" s="1">
        <v>6</v>
      </c>
      <c r="F349" s="1" t="s">
        <v>140</v>
      </c>
      <c r="G349" s="1" t="s">
        <v>332</v>
      </c>
      <c r="H349" s="1" t="s">
        <v>405</v>
      </c>
      <c r="I349" s="1" t="s">
        <v>407</v>
      </c>
    </row>
    <row r="350" spans="1:9" ht="25" customHeight="1">
      <c r="A350" s="1"/>
      <c r="B350" s="1" t="s">
        <v>104</v>
      </c>
      <c r="C350" s="1" t="s">
        <v>45</v>
      </c>
      <c r="D350" s="1" t="s">
        <v>245</v>
      </c>
      <c r="E350" s="1">
        <v>2</v>
      </c>
      <c r="F350" s="1" t="s">
        <v>140</v>
      </c>
      <c r="G350" s="1" t="s">
        <v>334</v>
      </c>
      <c r="H350" s="1" t="s">
        <v>405</v>
      </c>
      <c r="I350" s="1" t="s">
        <v>408</v>
      </c>
    </row>
    <row r="351" spans="1:9" ht="25" customHeight="1">
      <c r="A351" s="1"/>
      <c r="B351" s="1" t="s">
        <v>104</v>
      </c>
      <c r="C351" s="1" t="s">
        <v>45</v>
      </c>
      <c r="D351" s="1" t="s">
        <v>75</v>
      </c>
      <c r="E351" s="1">
        <v>2</v>
      </c>
      <c r="F351" s="1" t="s">
        <v>140</v>
      </c>
      <c r="G351" s="1" t="s">
        <v>334</v>
      </c>
      <c r="H351" s="1" t="s">
        <v>405</v>
      </c>
      <c r="I351" s="1" t="s">
        <v>408</v>
      </c>
    </row>
    <row r="352" spans="1:9" ht="25" customHeight="1">
      <c r="A352" s="1"/>
      <c r="B352" s="1" t="s">
        <v>104</v>
      </c>
      <c r="C352" s="1" t="s">
        <v>45</v>
      </c>
      <c r="D352" s="1" t="s">
        <v>249</v>
      </c>
      <c r="E352" s="1">
        <v>1</v>
      </c>
      <c r="F352" s="1" t="s">
        <v>140</v>
      </c>
      <c r="G352" s="1" t="s">
        <v>334</v>
      </c>
      <c r="H352" s="1" t="s">
        <v>405</v>
      </c>
      <c r="I352" s="1" t="s">
        <v>408</v>
      </c>
    </row>
    <row r="353" spans="1:9" ht="25" customHeight="1">
      <c r="A353" s="1"/>
      <c r="B353" s="1" t="s">
        <v>104</v>
      </c>
      <c r="C353" s="1" t="s">
        <v>45</v>
      </c>
      <c r="D353" s="1" t="s">
        <v>79</v>
      </c>
      <c r="E353" s="1">
        <v>6</v>
      </c>
      <c r="F353" s="1" t="s">
        <v>140</v>
      </c>
      <c r="G353" s="1" t="s">
        <v>334</v>
      </c>
      <c r="H353" s="1" t="s">
        <v>405</v>
      </c>
      <c r="I353" s="1" t="s">
        <v>408</v>
      </c>
    </row>
    <row r="354" spans="1:9" ht="25" customHeight="1">
      <c r="A354" s="1"/>
      <c r="B354" s="1" t="s">
        <v>104</v>
      </c>
      <c r="C354" s="1" t="s">
        <v>45</v>
      </c>
      <c r="D354" s="1" t="s">
        <v>250</v>
      </c>
      <c r="E354" s="1">
        <v>2</v>
      </c>
      <c r="F354" s="1" t="s">
        <v>140</v>
      </c>
      <c r="G354" s="1" t="s">
        <v>334</v>
      </c>
      <c r="H354" s="1" t="s">
        <v>405</v>
      </c>
      <c r="I354" s="1" t="s">
        <v>408</v>
      </c>
    </row>
    <row r="355" spans="1:9" ht="25" customHeight="1">
      <c r="A355" s="1"/>
      <c r="B355" s="1" t="s">
        <v>104</v>
      </c>
      <c r="C355" s="1" t="s">
        <v>45</v>
      </c>
      <c r="D355" s="1" t="s">
        <v>251</v>
      </c>
      <c r="E355" s="1">
        <v>0</v>
      </c>
      <c r="F355" s="1" t="s">
        <v>140</v>
      </c>
      <c r="G355" s="1" t="s">
        <v>334</v>
      </c>
      <c r="H355" s="1" t="s">
        <v>405</v>
      </c>
      <c r="I355" s="1" t="s">
        <v>408</v>
      </c>
    </row>
    <row r="356" spans="1:9" ht="25" customHeight="1">
      <c r="A356" s="1"/>
      <c r="B356" s="1" t="s">
        <v>104</v>
      </c>
      <c r="C356" s="1" t="s">
        <v>45</v>
      </c>
      <c r="D356" s="1" t="s">
        <v>252</v>
      </c>
      <c r="E356" s="1">
        <v>11</v>
      </c>
      <c r="F356" s="1" t="s">
        <v>140</v>
      </c>
      <c r="G356" s="1" t="s">
        <v>334</v>
      </c>
      <c r="H356" s="1" t="s">
        <v>405</v>
      </c>
      <c r="I356" s="1" t="s">
        <v>408</v>
      </c>
    </row>
    <row r="357" spans="1:9" ht="25" customHeight="1">
      <c r="A357" s="1"/>
      <c r="B357" s="1" t="s">
        <v>104</v>
      </c>
      <c r="C357" s="1" t="s">
        <v>50</v>
      </c>
      <c r="D357" s="1" t="s">
        <v>245</v>
      </c>
      <c r="E357" s="1">
        <v>-1</v>
      </c>
      <c r="F357" s="1" t="s">
        <v>140</v>
      </c>
      <c r="G357" s="1" t="s">
        <v>336</v>
      </c>
      <c r="H357" s="1" t="s">
        <v>405</v>
      </c>
      <c r="I357" s="1" t="s">
        <v>409</v>
      </c>
    </row>
    <row r="358" spans="1:9" ht="25" customHeight="1">
      <c r="A358" s="1"/>
      <c r="B358" s="1" t="s">
        <v>104</v>
      </c>
      <c r="C358" s="1" t="s">
        <v>50</v>
      </c>
      <c r="D358" s="1" t="s">
        <v>75</v>
      </c>
      <c r="E358" s="1">
        <v>0</v>
      </c>
      <c r="F358" s="1" t="s">
        <v>140</v>
      </c>
      <c r="G358" s="1" t="s">
        <v>336</v>
      </c>
      <c r="H358" s="1" t="s">
        <v>405</v>
      </c>
      <c r="I358" s="1" t="s">
        <v>409</v>
      </c>
    </row>
    <row r="359" spans="1:9" ht="25" customHeight="1">
      <c r="A359" s="1"/>
      <c r="B359" s="1" t="s">
        <v>104</v>
      </c>
      <c r="C359" s="1" t="s">
        <v>50</v>
      </c>
      <c r="D359" s="1" t="s">
        <v>249</v>
      </c>
      <c r="E359" s="1">
        <v>-1</v>
      </c>
      <c r="F359" s="1" t="s">
        <v>140</v>
      </c>
      <c r="G359" s="1" t="s">
        <v>336</v>
      </c>
      <c r="H359" s="1" t="s">
        <v>405</v>
      </c>
      <c r="I359" s="1" t="s">
        <v>409</v>
      </c>
    </row>
    <row r="360" spans="1:9" ht="25" customHeight="1">
      <c r="A360" s="1"/>
      <c r="B360" s="1" t="s">
        <v>104</v>
      </c>
      <c r="C360" s="1" t="s">
        <v>50</v>
      </c>
      <c r="D360" s="1" t="s">
        <v>79</v>
      </c>
      <c r="E360" s="1">
        <v>8</v>
      </c>
      <c r="F360" s="1" t="s">
        <v>140</v>
      </c>
      <c r="G360" s="1" t="s">
        <v>336</v>
      </c>
      <c r="H360" s="1" t="s">
        <v>405</v>
      </c>
      <c r="I360" s="1" t="s">
        <v>409</v>
      </c>
    </row>
    <row r="361" spans="1:9" ht="25" customHeight="1">
      <c r="A361" s="1"/>
      <c r="B361" s="1" t="s">
        <v>104</v>
      </c>
      <c r="C361" s="1" t="s">
        <v>50</v>
      </c>
      <c r="D361" s="1" t="s">
        <v>250</v>
      </c>
      <c r="E361" s="1">
        <v>1</v>
      </c>
      <c r="F361" s="1" t="s">
        <v>140</v>
      </c>
      <c r="G361" s="1" t="s">
        <v>336</v>
      </c>
      <c r="H361" s="1" t="s">
        <v>405</v>
      </c>
      <c r="I361" s="1" t="s">
        <v>409</v>
      </c>
    </row>
    <row r="362" spans="1:9" ht="25" customHeight="1">
      <c r="A362" s="1"/>
      <c r="B362" s="1" t="s">
        <v>104</v>
      </c>
      <c r="C362" s="1" t="s">
        <v>50</v>
      </c>
      <c r="D362" s="1" t="s">
        <v>251</v>
      </c>
      <c r="E362" s="1">
        <v>1</v>
      </c>
      <c r="F362" s="1" t="s">
        <v>140</v>
      </c>
      <c r="G362" s="1" t="s">
        <v>336</v>
      </c>
      <c r="H362" s="1" t="s">
        <v>405</v>
      </c>
      <c r="I362" s="1" t="s">
        <v>409</v>
      </c>
    </row>
    <row r="363" spans="1:9" ht="25" customHeight="1">
      <c r="A363" s="1"/>
      <c r="B363" s="1" t="s">
        <v>104</v>
      </c>
      <c r="C363" s="1" t="s">
        <v>50</v>
      </c>
      <c r="D363" s="1" t="s">
        <v>252</v>
      </c>
      <c r="E363" s="1">
        <v>8</v>
      </c>
      <c r="F363" s="1" t="s">
        <v>140</v>
      </c>
      <c r="G363" s="1" t="s">
        <v>336</v>
      </c>
      <c r="H363" s="1" t="s">
        <v>405</v>
      </c>
      <c r="I363" s="1" t="s">
        <v>409</v>
      </c>
    </row>
    <row r="364" spans="1:9" ht="25" customHeight="1">
      <c r="A364" s="1"/>
      <c r="B364" s="1" t="s">
        <v>104</v>
      </c>
      <c r="C364" s="1" t="s">
        <v>55</v>
      </c>
      <c r="D364" s="1" t="s">
        <v>245</v>
      </c>
      <c r="E364" s="1">
        <v>-3</v>
      </c>
      <c r="F364" s="1" t="s">
        <v>140</v>
      </c>
      <c r="G364" s="1" t="s">
        <v>338</v>
      </c>
      <c r="H364" s="1" t="s">
        <v>405</v>
      </c>
      <c r="I364" s="1" t="s">
        <v>410</v>
      </c>
    </row>
    <row r="365" spans="1:9" ht="25" customHeight="1">
      <c r="A365" s="1"/>
      <c r="B365" s="1" t="s">
        <v>104</v>
      </c>
      <c r="C365" s="1" t="s">
        <v>55</v>
      </c>
      <c r="D365" s="1" t="s">
        <v>75</v>
      </c>
      <c r="E365" s="1">
        <v>-3</v>
      </c>
      <c r="F365" s="1" t="s">
        <v>140</v>
      </c>
      <c r="G365" s="1" t="s">
        <v>338</v>
      </c>
      <c r="H365" s="1" t="s">
        <v>405</v>
      </c>
      <c r="I365" s="1" t="s">
        <v>410</v>
      </c>
    </row>
    <row r="366" spans="1:9" ht="25" customHeight="1">
      <c r="A366" s="1"/>
      <c r="B366" s="1" t="s">
        <v>104</v>
      </c>
      <c r="C366" s="1" t="s">
        <v>55</v>
      </c>
      <c r="D366" s="1" t="s">
        <v>249</v>
      </c>
      <c r="E366" s="1">
        <v>-2</v>
      </c>
      <c r="F366" s="1" t="s">
        <v>140</v>
      </c>
      <c r="G366" s="1" t="s">
        <v>338</v>
      </c>
      <c r="H366" s="1" t="s">
        <v>405</v>
      </c>
      <c r="I366" s="1" t="s">
        <v>410</v>
      </c>
    </row>
    <row r="367" spans="1:9" ht="25" customHeight="1">
      <c r="A367" s="1"/>
      <c r="B367" s="1" t="s">
        <v>104</v>
      </c>
      <c r="C367" s="1" t="s">
        <v>55</v>
      </c>
      <c r="D367" s="1" t="s">
        <v>79</v>
      </c>
      <c r="E367" s="1">
        <v>8</v>
      </c>
      <c r="F367" s="1" t="s">
        <v>140</v>
      </c>
      <c r="G367" s="1" t="s">
        <v>338</v>
      </c>
      <c r="H367" s="1" t="s">
        <v>405</v>
      </c>
      <c r="I367" s="1" t="s">
        <v>410</v>
      </c>
    </row>
    <row r="368" spans="1:9" ht="25" customHeight="1">
      <c r="A368" s="1"/>
      <c r="B368" s="1" t="s">
        <v>104</v>
      </c>
      <c r="C368" s="1" t="s">
        <v>55</v>
      </c>
      <c r="D368" s="1" t="s">
        <v>250</v>
      </c>
      <c r="E368" s="1">
        <v>2</v>
      </c>
      <c r="F368" s="1" t="s">
        <v>140</v>
      </c>
      <c r="G368" s="1" t="s">
        <v>338</v>
      </c>
      <c r="H368" s="1" t="s">
        <v>405</v>
      </c>
      <c r="I368" s="1" t="s">
        <v>410</v>
      </c>
    </row>
    <row r="369" spans="1:9" ht="25" customHeight="1">
      <c r="A369" s="1"/>
      <c r="B369" s="1" t="s">
        <v>104</v>
      </c>
      <c r="C369" s="1" t="s">
        <v>55</v>
      </c>
      <c r="D369" s="1" t="s">
        <v>251</v>
      </c>
      <c r="E369" s="1">
        <v>0</v>
      </c>
      <c r="F369" s="1" t="s">
        <v>140</v>
      </c>
      <c r="G369" s="1" t="s">
        <v>338</v>
      </c>
      <c r="H369" s="1" t="s">
        <v>405</v>
      </c>
      <c r="I369" s="1" t="s">
        <v>410</v>
      </c>
    </row>
    <row r="370" spans="1:9" ht="25" customHeight="1">
      <c r="A370" s="1"/>
      <c r="B370" s="1" t="s">
        <v>104</v>
      </c>
      <c r="C370" s="1" t="s">
        <v>55</v>
      </c>
      <c r="D370" s="1" t="s">
        <v>252</v>
      </c>
      <c r="E370" s="1">
        <v>5</v>
      </c>
      <c r="F370" s="1" t="s">
        <v>140</v>
      </c>
      <c r="G370" s="1" t="s">
        <v>338</v>
      </c>
      <c r="H370" s="1" t="s">
        <v>405</v>
      </c>
      <c r="I370" s="1" t="s">
        <v>410</v>
      </c>
    </row>
    <row r="371" spans="1:9" ht="25" customHeight="1">
      <c r="A371" s="1"/>
      <c r="B371" s="1" t="s">
        <v>104</v>
      </c>
      <c r="C371" s="1" t="s">
        <v>134</v>
      </c>
      <c r="D371" s="1" t="s">
        <v>245</v>
      </c>
      <c r="E371" s="1">
        <v>-1</v>
      </c>
      <c r="F371" s="1" t="s">
        <v>140</v>
      </c>
      <c r="G371" s="1" t="s">
        <v>340</v>
      </c>
      <c r="H371" s="1" t="s">
        <v>405</v>
      </c>
      <c r="I371" s="1" t="s">
        <v>411</v>
      </c>
    </row>
    <row r="372" spans="1:9" ht="25" customHeight="1">
      <c r="A372" s="1"/>
      <c r="B372" s="1" t="s">
        <v>104</v>
      </c>
      <c r="C372" s="1" t="s">
        <v>134</v>
      </c>
      <c r="D372" s="1" t="s">
        <v>75</v>
      </c>
      <c r="E372" s="1">
        <v>-1</v>
      </c>
      <c r="F372" s="1" t="s">
        <v>140</v>
      </c>
      <c r="G372" s="1" t="s">
        <v>340</v>
      </c>
      <c r="H372" s="1" t="s">
        <v>405</v>
      </c>
      <c r="I372" s="1" t="s">
        <v>411</v>
      </c>
    </row>
    <row r="373" spans="1:9" ht="25" customHeight="1">
      <c r="A373" s="1"/>
      <c r="B373" s="1" t="s">
        <v>104</v>
      </c>
      <c r="C373" s="1" t="s">
        <v>134</v>
      </c>
      <c r="D373" s="1" t="s">
        <v>249</v>
      </c>
      <c r="E373" s="1">
        <v>-1</v>
      </c>
      <c r="F373" s="1" t="s">
        <v>140</v>
      </c>
      <c r="G373" s="1" t="s">
        <v>340</v>
      </c>
      <c r="H373" s="1" t="s">
        <v>405</v>
      </c>
      <c r="I373" s="1" t="s">
        <v>411</v>
      </c>
    </row>
    <row r="374" spans="1:9" ht="25" customHeight="1">
      <c r="A374" s="1"/>
      <c r="B374" s="1" t="s">
        <v>104</v>
      </c>
      <c r="C374" s="1" t="s">
        <v>134</v>
      </c>
      <c r="D374" s="1" t="s">
        <v>79</v>
      </c>
      <c r="E374" s="1">
        <v>7</v>
      </c>
      <c r="F374" s="1" t="s">
        <v>140</v>
      </c>
      <c r="G374" s="1" t="s">
        <v>340</v>
      </c>
      <c r="H374" s="1" t="s">
        <v>405</v>
      </c>
      <c r="I374" s="1" t="s">
        <v>411</v>
      </c>
    </row>
    <row r="375" spans="1:9" ht="25" customHeight="1">
      <c r="A375" s="1"/>
      <c r="B375" s="1" t="s">
        <v>104</v>
      </c>
      <c r="C375" s="1" t="s">
        <v>134</v>
      </c>
      <c r="D375" s="1" t="s">
        <v>250</v>
      </c>
      <c r="E375" s="1">
        <v>1</v>
      </c>
      <c r="F375" s="1" t="s">
        <v>140</v>
      </c>
      <c r="G375" s="1" t="s">
        <v>340</v>
      </c>
      <c r="H375" s="1" t="s">
        <v>405</v>
      </c>
      <c r="I375" s="1" t="s">
        <v>411</v>
      </c>
    </row>
    <row r="376" spans="1:9" ht="25" customHeight="1">
      <c r="A376" s="1"/>
      <c r="B376" s="1" t="s">
        <v>104</v>
      </c>
      <c r="C376" s="1" t="s">
        <v>134</v>
      </c>
      <c r="D376" s="1" t="s">
        <v>251</v>
      </c>
      <c r="E376" s="1">
        <v>0</v>
      </c>
      <c r="F376" s="1" t="s">
        <v>140</v>
      </c>
      <c r="G376" s="1" t="s">
        <v>340</v>
      </c>
      <c r="H376" s="1" t="s">
        <v>405</v>
      </c>
      <c r="I376" s="1" t="s">
        <v>411</v>
      </c>
    </row>
    <row r="377" spans="1:9" ht="25" customHeight="1">
      <c r="A377" s="1"/>
      <c r="B377" s="1" t="s">
        <v>104</v>
      </c>
      <c r="C377" s="1" t="s">
        <v>134</v>
      </c>
      <c r="D377" s="1" t="s">
        <v>252</v>
      </c>
      <c r="E377" s="1">
        <v>6</v>
      </c>
      <c r="F377" s="1" t="s">
        <v>140</v>
      </c>
      <c r="G377" s="1" t="s">
        <v>340</v>
      </c>
      <c r="H377" s="1" t="s">
        <v>405</v>
      </c>
      <c r="I377" s="1" t="s">
        <v>411</v>
      </c>
    </row>
    <row r="378" spans="1:9" ht="25" customHeight="1">
      <c r="A378" s="1"/>
      <c r="B378" s="1" t="s">
        <v>104</v>
      </c>
      <c r="C378" s="1" t="s">
        <v>34</v>
      </c>
      <c r="D378" s="1" t="s">
        <v>263</v>
      </c>
      <c r="E378" s="1">
        <v>4097</v>
      </c>
      <c r="F378" s="1" t="s">
        <v>140</v>
      </c>
      <c r="G378" s="1" t="s">
        <v>246</v>
      </c>
      <c r="H378" s="1" t="s">
        <v>405</v>
      </c>
      <c r="I378" s="1" t="s">
        <v>412</v>
      </c>
    </row>
    <row r="379" spans="1:9" ht="25" customHeight="1">
      <c r="A379" s="1"/>
      <c r="B379" s="1" t="s">
        <v>104</v>
      </c>
      <c r="C379" s="1" t="s">
        <v>43</v>
      </c>
      <c r="D379" s="1" t="s">
        <v>263</v>
      </c>
      <c r="E379" s="1">
        <v>1724</v>
      </c>
      <c r="F379" s="1" t="s">
        <v>140</v>
      </c>
      <c r="G379" s="1" t="s">
        <v>253</v>
      </c>
      <c r="H379" s="1" t="s">
        <v>405</v>
      </c>
      <c r="I379" s="1" t="s">
        <v>413</v>
      </c>
    </row>
    <row r="380" spans="1:9" ht="25" customHeight="1">
      <c r="A380" s="1"/>
      <c r="B380" s="1" t="s">
        <v>104</v>
      </c>
      <c r="C380" s="1" t="s">
        <v>45</v>
      </c>
      <c r="D380" s="1" t="s">
        <v>263</v>
      </c>
      <c r="E380" s="1">
        <v>3074</v>
      </c>
      <c r="F380" s="1" t="s">
        <v>140</v>
      </c>
      <c r="G380" s="1" t="s">
        <v>255</v>
      </c>
      <c r="H380" s="1" t="s">
        <v>405</v>
      </c>
      <c r="I380" s="1" t="s">
        <v>414</v>
      </c>
    </row>
    <row r="381" spans="1:9" ht="25" customHeight="1">
      <c r="A381" s="1"/>
      <c r="B381" s="1" t="s">
        <v>104</v>
      </c>
      <c r="C381" s="1" t="s">
        <v>50</v>
      </c>
      <c r="D381" s="1" t="s">
        <v>263</v>
      </c>
      <c r="E381" s="1">
        <v>7646</v>
      </c>
      <c r="F381" s="1" t="s">
        <v>140</v>
      </c>
      <c r="G381" s="1" t="s">
        <v>257</v>
      </c>
      <c r="H381" s="1" t="s">
        <v>405</v>
      </c>
      <c r="I381" s="1" t="s">
        <v>415</v>
      </c>
    </row>
    <row r="382" spans="1:9" ht="25" customHeight="1">
      <c r="A382" s="1"/>
      <c r="B382" s="1" t="s">
        <v>104</v>
      </c>
      <c r="C382" s="1" t="s">
        <v>55</v>
      </c>
      <c r="D382" s="1" t="s">
        <v>263</v>
      </c>
      <c r="E382" s="1">
        <v>5186</v>
      </c>
      <c r="F382" s="1" t="s">
        <v>140</v>
      </c>
      <c r="G382" s="1" t="s">
        <v>259</v>
      </c>
      <c r="H382" s="1" t="s">
        <v>405</v>
      </c>
      <c r="I382" s="1" t="s">
        <v>416</v>
      </c>
    </row>
    <row r="383" spans="1:9" ht="25" customHeight="1">
      <c r="A383" s="1"/>
      <c r="B383" s="1" t="s">
        <v>104</v>
      </c>
      <c r="C383" s="1" t="s">
        <v>133</v>
      </c>
      <c r="D383" s="1" t="s">
        <v>263</v>
      </c>
      <c r="E383" s="1">
        <v>144</v>
      </c>
      <c r="F383" s="1" t="s">
        <v>140</v>
      </c>
      <c r="G383" s="1" t="s">
        <v>261</v>
      </c>
      <c r="H383" s="1" t="s">
        <v>405</v>
      </c>
      <c r="I383" s="1" t="s">
        <v>417</v>
      </c>
    </row>
    <row r="384" spans="1:9" ht="25" customHeight="1">
      <c r="A384" s="1"/>
      <c r="B384" s="1" t="s">
        <v>104</v>
      </c>
      <c r="C384" s="1" t="s">
        <v>134</v>
      </c>
      <c r="D384" s="1" t="s">
        <v>263</v>
      </c>
      <c r="E384" s="1">
        <v>21871</v>
      </c>
      <c r="F384" s="1" t="s">
        <v>140</v>
      </c>
      <c r="G384" s="1" t="s">
        <v>418</v>
      </c>
      <c r="H384" s="1" t="s">
        <v>405</v>
      </c>
      <c r="I384" s="1" t="s">
        <v>419</v>
      </c>
    </row>
    <row r="385" spans="1:9" ht="25" customHeight="1">
      <c r="A385" s="1"/>
      <c r="B385" s="1" t="s">
        <v>104</v>
      </c>
      <c r="C385" s="1" t="s">
        <v>34</v>
      </c>
      <c r="D385" s="1" t="s">
        <v>81</v>
      </c>
      <c r="E385" s="1">
        <v>5</v>
      </c>
      <c r="F385" s="1" t="s">
        <v>140</v>
      </c>
      <c r="G385" s="1" t="s">
        <v>420</v>
      </c>
      <c r="H385" s="1" t="s">
        <v>405</v>
      </c>
      <c r="I385" s="1" t="s">
        <v>421</v>
      </c>
    </row>
    <row r="386" spans="1:9" ht="25" customHeight="1">
      <c r="A386" s="1"/>
      <c r="B386" s="1" t="s">
        <v>104</v>
      </c>
      <c r="C386" s="1" t="s">
        <v>43</v>
      </c>
      <c r="D386" s="1" t="s">
        <v>81</v>
      </c>
      <c r="E386" s="1">
        <v>9</v>
      </c>
      <c r="F386" s="1" t="s">
        <v>140</v>
      </c>
      <c r="G386" s="1" t="s">
        <v>422</v>
      </c>
      <c r="H386" s="1" t="s">
        <v>405</v>
      </c>
      <c r="I386" s="1" t="s">
        <v>423</v>
      </c>
    </row>
    <row r="387" spans="1:9" ht="25" customHeight="1">
      <c r="A387" s="1"/>
      <c r="B387" s="1" t="s">
        <v>104</v>
      </c>
      <c r="C387" s="1" t="s">
        <v>45</v>
      </c>
      <c r="D387" s="1" t="s">
        <v>81</v>
      </c>
      <c r="E387" s="1">
        <v>10</v>
      </c>
      <c r="F387" s="1" t="s">
        <v>140</v>
      </c>
      <c r="G387" s="1" t="s">
        <v>424</v>
      </c>
      <c r="H387" s="1" t="s">
        <v>405</v>
      </c>
      <c r="I387" s="1" t="s">
        <v>425</v>
      </c>
    </row>
    <row r="388" spans="1:9" ht="25" customHeight="1">
      <c r="A388" s="1"/>
      <c r="B388" s="1" t="s">
        <v>104</v>
      </c>
      <c r="C388" s="1" t="s">
        <v>50</v>
      </c>
      <c r="D388" s="1" t="s">
        <v>81</v>
      </c>
      <c r="E388" s="1">
        <v>9</v>
      </c>
      <c r="F388" s="1" t="s">
        <v>140</v>
      </c>
      <c r="G388" s="1" t="s">
        <v>426</v>
      </c>
      <c r="H388" s="1" t="s">
        <v>405</v>
      </c>
      <c r="I388" s="1" t="s">
        <v>427</v>
      </c>
    </row>
    <row r="389" spans="1:9" ht="25" customHeight="1">
      <c r="A389" s="1"/>
      <c r="B389" s="1" t="s">
        <v>104</v>
      </c>
      <c r="C389" s="1" t="s">
        <v>55</v>
      </c>
      <c r="D389" s="1" t="s">
        <v>81</v>
      </c>
      <c r="E389" s="1">
        <v>7</v>
      </c>
      <c r="F389" s="1" t="s">
        <v>140</v>
      </c>
      <c r="G389" s="1" t="s">
        <v>428</v>
      </c>
      <c r="H389" s="1" t="s">
        <v>405</v>
      </c>
      <c r="I389" s="1" t="s">
        <v>429</v>
      </c>
    </row>
    <row r="390" spans="1:9" ht="25" customHeight="1">
      <c r="A390" s="1"/>
      <c r="B390" s="1" t="s">
        <v>104</v>
      </c>
      <c r="C390" s="1" t="s">
        <v>134</v>
      </c>
      <c r="D390" s="1" t="s">
        <v>81</v>
      </c>
      <c r="E390" s="1">
        <v>7</v>
      </c>
      <c r="F390" s="1" t="s">
        <v>140</v>
      </c>
      <c r="G390" s="1" t="s">
        <v>430</v>
      </c>
      <c r="H390" s="1" t="s">
        <v>405</v>
      </c>
      <c r="I390" s="1" t="s">
        <v>431</v>
      </c>
    </row>
    <row r="391" spans="1:9" ht="25" customHeight="1">
      <c r="A391" s="1"/>
      <c r="B391" s="1" t="s">
        <v>105</v>
      </c>
      <c r="C391" s="1" t="s">
        <v>34</v>
      </c>
      <c r="D391" s="1" t="s">
        <v>245</v>
      </c>
      <c r="E391" s="1">
        <v>0</v>
      </c>
      <c r="F391" s="1" t="s">
        <v>141</v>
      </c>
      <c r="G391" s="1" t="s">
        <v>432</v>
      </c>
      <c r="H391" s="1" t="s">
        <v>433</v>
      </c>
      <c r="I391" s="1" t="s">
        <v>434</v>
      </c>
    </row>
    <row r="392" spans="1:9" ht="25" customHeight="1">
      <c r="A392" s="1"/>
      <c r="B392" s="1" t="s">
        <v>105</v>
      </c>
      <c r="C392" s="1" t="s">
        <v>34</v>
      </c>
      <c r="D392" s="1" t="s">
        <v>75</v>
      </c>
      <c r="E392" s="1">
        <v>-1</v>
      </c>
      <c r="F392" s="1" t="s">
        <v>141</v>
      </c>
      <c r="G392" s="1" t="s">
        <v>432</v>
      </c>
      <c r="H392" s="1" t="s">
        <v>433</v>
      </c>
      <c r="I392" s="1" t="s">
        <v>434</v>
      </c>
    </row>
    <row r="393" spans="1:9" ht="25" customHeight="1">
      <c r="A393" s="1"/>
      <c r="B393" s="1" t="s">
        <v>105</v>
      </c>
      <c r="C393" s="1" t="s">
        <v>34</v>
      </c>
      <c r="D393" s="1" t="s">
        <v>249</v>
      </c>
      <c r="E393" s="1">
        <v>-1</v>
      </c>
      <c r="F393" s="1" t="s">
        <v>141</v>
      </c>
      <c r="G393" s="1" t="s">
        <v>432</v>
      </c>
      <c r="H393" s="1" t="s">
        <v>433</v>
      </c>
      <c r="I393" s="1" t="s">
        <v>434</v>
      </c>
    </row>
    <row r="394" spans="1:9" ht="25" customHeight="1">
      <c r="A394" s="1"/>
      <c r="B394" s="1" t="s">
        <v>105</v>
      </c>
      <c r="C394" s="1" t="s">
        <v>34</v>
      </c>
      <c r="D394" s="1" t="s">
        <v>79</v>
      </c>
      <c r="E394" s="1">
        <v>4</v>
      </c>
      <c r="F394" s="1" t="s">
        <v>141</v>
      </c>
      <c r="G394" s="1" t="s">
        <v>432</v>
      </c>
      <c r="H394" s="1" t="s">
        <v>433</v>
      </c>
      <c r="I394" s="1" t="s">
        <v>434</v>
      </c>
    </row>
    <row r="395" spans="1:9" ht="25" customHeight="1">
      <c r="A395" s="1"/>
      <c r="B395" s="1" t="s">
        <v>105</v>
      </c>
      <c r="C395" s="1" t="s">
        <v>34</v>
      </c>
      <c r="D395" s="1" t="s">
        <v>250</v>
      </c>
      <c r="E395" s="1">
        <v>-3</v>
      </c>
      <c r="F395" s="1" t="s">
        <v>141</v>
      </c>
      <c r="G395" s="1" t="s">
        <v>432</v>
      </c>
      <c r="H395" s="1" t="s">
        <v>433</v>
      </c>
      <c r="I395" s="1" t="s">
        <v>434</v>
      </c>
    </row>
    <row r="396" spans="1:9" ht="25" customHeight="1">
      <c r="A396" s="1"/>
      <c r="B396" s="1" t="s">
        <v>105</v>
      </c>
      <c r="C396" s="1" t="s">
        <v>34</v>
      </c>
      <c r="D396" s="1" t="s">
        <v>251</v>
      </c>
      <c r="E396" s="1">
        <v>1</v>
      </c>
      <c r="F396" s="1" t="s">
        <v>141</v>
      </c>
      <c r="G396" s="1" t="s">
        <v>432</v>
      </c>
      <c r="H396" s="1" t="s">
        <v>433</v>
      </c>
      <c r="I396" s="1" t="s">
        <v>434</v>
      </c>
    </row>
    <row r="397" spans="1:9" ht="25" customHeight="1">
      <c r="A397" s="1"/>
      <c r="B397" s="1" t="s">
        <v>105</v>
      </c>
      <c r="C397" s="1" t="s">
        <v>34</v>
      </c>
      <c r="D397" s="1" t="s">
        <v>252</v>
      </c>
      <c r="E397" s="1">
        <v>1</v>
      </c>
      <c r="F397" s="1" t="s">
        <v>141</v>
      </c>
      <c r="G397" s="1" t="s">
        <v>432</v>
      </c>
      <c r="H397" s="1" t="s">
        <v>433</v>
      </c>
      <c r="I397" s="1" t="s">
        <v>434</v>
      </c>
    </row>
    <row r="398" spans="1:9" ht="25" customHeight="1">
      <c r="A398" s="1"/>
      <c r="B398" s="1" t="s">
        <v>105</v>
      </c>
      <c r="C398" s="1" t="s">
        <v>43</v>
      </c>
      <c r="D398" s="1" t="s">
        <v>245</v>
      </c>
      <c r="E398" s="1">
        <v>1</v>
      </c>
      <c r="F398" s="1" t="s">
        <v>141</v>
      </c>
      <c r="G398" s="1" t="s">
        <v>435</v>
      </c>
      <c r="H398" s="1" t="s">
        <v>433</v>
      </c>
      <c r="I398" s="1" t="s">
        <v>436</v>
      </c>
    </row>
    <row r="399" spans="1:9" ht="25" customHeight="1">
      <c r="A399" s="1"/>
      <c r="B399" s="1" t="s">
        <v>105</v>
      </c>
      <c r="C399" s="1" t="s">
        <v>43</v>
      </c>
      <c r="D399" s="1" t="s">
        <v>75</v>
      </c>
      <c r="E399" s="1">
        <v>1</v>
      </c>
      <c r="F399" s="1" t="s">
        <v>141</v>
      </c>
      <c r="G399" s="1" t="s">
        <v>435</v>
      </c>
      <c r="H399" s="1" t="s">
        <v>433</v>
      </c>
      <c r="I399" s="1" t="s">
        <v>436</v>
      </c>
    </row>
    <row r="400" spans="1:9" ht="25" customHeight="1">
      <c r="A400" s="1"/>
      <c r="B400" s="1" t="s">
        <v>105</v>
      </c>
      <c r="C400" s="1" t="s">
        <v>43</v>
      </c>
      <c r="D400" s="1" t="s">
        <v>249</v>
      </c>
      <c r="E400" s="1">
        <v>-3</v>
      </c>
      <c r="F400" s="1" t="s">
        <v>141</v>
      </c>
      <c r="G400" s="1" t="s">
        <v>435</v>
      </c>
      <c r="H400" s="1" t="s">
        <v>433</v>
      </c>
      <c r="I400" s="1" t="s">
        <v>436</v>
      </c>
    </row>
    <row r="401" spans="1:9" ht="25" customHeight="1">
      <c r="A401" s="1"/>
      <c r="B401" s="1" t="s">
        <v>105</v>
      </c>
      <c r="C401" s="1" t="s">
        <v>43</v>
      </c>
      <c r="D401" s="1" t="s">
        <v>79</v>
      </c>
      <c r="E401" s="1">
        <v>7</v>
      </c>
      <c r="F401" s="1" t="s">
        <v>141</v>
      </c>
      <c r="G401" s="1" t="s">
        <v>435</v>
      </c>
      <c r="H401" s="1" t="s">
        <v>433</v>
      </c>
      <c r="I401" s="1" t="s">
        <v>436</v>
      </c>
    </row>
    <row r="402" spans="1:9" ht="25" customHeight="1">
      <c r="A402" s="1"/>
      <c r="B402" s="1" t="s">
        <v>105</v>
      </c>
      <c r="C402" s="1" t="s">
        <v>43</v>
      </c>
      <c r="D402" s="1" t="s">
        <v>250</v>
      </c>
      <c r="E402" s="1">
        <v>1</v>
      </c>
      <c r="F402" s="1" t="s">
        <v>141</v>
      </c>
      <c r="G402" s="1" t="s">
        <v>435</v>
      </c>
      <c r="H402" s="1" t="s">
        <v>433</v>
      </c>
      <c r="I402" s="1" t="s">
        <v>436</v>
      </c>
    </row>
    <row r="403" spans="1:9" ht="25" customHeight="1">
      <c r="A403" s="1"/>
      <c r="B403" s="1" t="s">
        <v>105</v>
      </c>
      <c r="C403" s="1" t="s">
        <v>43</v>
      </c>
      <c r="D403" s="1" t="s">
        <v>251</v>
      </c>
      <c r="E403" s="1">
        <v>0</v>
      </c>
      <c r="F403" s="1" t="s">
        <v>141</v>
      </c>
      <c r="G403" s="1" t="s">
        <v>435</v>
      </c>
      <c r="H403" s="1" t="s">
        <v>433</v>
      </c>
      <c r="I403" s="1" t="s">
        <v>436</v>
      </c>
    </row>
    <row r="404" spans="1:9" ht="25" customHeight="1">
      <c r="A404" s="1"/>
      <c r="B404" s="1" t="s">
        <v>105</v>
      </c>
      <c r="C404" s="1" t="s">
        <v>43</v>
      </c>
      <c r="D404" s="1" t="s">
        <v>252</v>
      </c>
      <c r="E404" s="1">
        <v>6</v>
      </c>
      <c r="F404" s="1" t="s">
        <v>141</v>
      </c>
      <c r="G404" s="1" t="s">
        <v>435</v>
      </c>
      <c r="H404" s="1" t="s">
        <v>433</v>
      </c>
      <c r="I404" s="1" t="s">
        <v>436</v>
      </c>
    </row>
    <row r="405" spans="1:9" ht="25" customHeight="1">
      <c r="A405" s="1"/>
      <c r="B405" s="1" t="s">
        <v>105</v>
      </c>
      <c r="C405" s="1" t="s">
        <v>45</v>
      </c>
      <c r="D405" s="1" t="s">
        <v>245</v>
      </c>
      <c r="E405" s="1">
        <v>-3</v>
      </c>
      <c r="F405" s="1" t="s">
        <v>141</v>
      </c>
      <c r="G405" s="1" t="s">
        <v>437</v>
      </c>
      <c r="H405" s="1" t="s">
        <v>433</v>
      </c>
      <c r="I405" s="1" t="s">
        <v>438</v>
      </c>
    </row>
    <row r="406" spans="1:9" ht="25" customHeight="1">
      <c r="A406" s="1"/>
      <c r="B406" s="1" t="s">
        <v>105</v>
      </c>
      <c r="C406" s="1" t="s">
        <v>45</v>
      </c>
      <c r="D406" s="1" t="s">
        <v>75</v>
      </c>
      <c r="E406" s="1">
        <v>-4</v>
      </c>
      <c r="F406" s="1" t="s">
        <v>141</v>
      </c>
      <c r="G406" s="1" t="s">
        <v>437</v>
      </c>
      <c r="H406" s="1" t="s">
        <v>433</v>
      </c>
      <c r="I406" s="1" t="s">
        <v>438</v>
      </c>
    </row>
    <row r="407" spans="1:9" ht="25" customHeight="1">
      <c r="A407" s="1"/>
      <c r="B407" s="1" t="s">
        <v>105</v>
      </c>
      <c r="C407" s="1" t="s">
        <v>45</v>
      </c>
      <c r="D407" s="1" t="s">
        <v>249</v>
      </c>
      <c r="E407" s="1">
        <v>2</v>
      </c>
      <c r="F407" s="1" t="s">
        <v>141</v>
      </c>
      <c r="G407" s="1" t="s">
        <v>437</v>
      </c>
      <c r="H407" s="1" t="s">
        <v>433</v>
      </c>
      <c r="I407" s="1" t="s">
        <v>438</v>
      </c>
    </row>
    <row r="408" spans="1:9" ht="25" customHeight="1">
      <c r="A408" s="1"/>
      <c r="B408" s="1" t="s">
        <v>105</v>
      </c>
      <c r="C408" s="1" t="s">
        <v>45</v>
      </c>
      <c r="D408" s="1" t="s">
        <v>79</v>
      </c>
      <c r="E408" s="1">
        <v>5</v>
      </c>
      <c r="F408" s="1" t="s">
        <v>141</v>
      </c>
      <c r="G408" s="1" t="s">
        <v>437</v>
      </c>
      <c r="H408" s="1" t="s">
        <v>433</v>
      </c>
      <c r="I408" s="1" t="s">
        <v>438</v>
      </c>
    </row>
    <row r="409" spans="1:9" ht="25" customHeight="1">
      <c r="A409" s="1"/>
      <c r="B409" s="1" t="s">
        <v>105</v>
      </c>
      <c r="C409" s="1" t="s">
        <v>45</v>
      </c>
      <c r="D409" s="1" t="s">
        <v>250</v>
      </c>
      <c r="E409" s="1">
        <v>1</v>
      </c>
      <c r="F409" s="1" t="s">
        <v>141</v>
      </c>
      <c r="G409" s="1" t="s">
        <v>437</v>
      </c>
      <c r="H409" s="1" t="s">
        <v>433</v>
      </c>
      <c r="I409" s="1" t="s">
        <v>438</v>
      </c>
    </row>
    <row r="410" spans="1:9" ht="25" customHeight="1">
      <c r="A410" s="1"/>
      <c r="B410" s="1" t="s">
        <v>105</v>
      </c>
      <c r="C410" s="1" t="s">
        <v>45</v>
      </c>
      <c r="D410" s="1" t="s">
        <v>251</v>
      </c>
      <c r="E410" s="1">
        <v>-1</v>
      </c>
      <c r="F410" s="1" t="s">
        <v>141</v>
      </c>
      <c r="G410" s="1" t="s">
        <v>437</v>
      </c>
      <c r="H410" s="1" t="s">
        <v>433</v>
      </c>
      <c r="I410" s="1" t="s">
        <v>438</v>
      </c>
    </row>
    <row r="411" spans="1:9" ht="25" customHeight="1">
      <c r="A411" s="1"/>
      <c r="B411" s="1" t="s">
        <v>105</v>
      </c>
      <c r="C411" s="1" t="s">
        <v>45</v>
      </c>
      <c r="D411" s="1" t="s">
        <v>252</v>
      </c>
      <c r="E411" s="1">
        <v>4</v>
      </c>
      <c r="F411" s="1" t="s">
        <v>141</v>
      </c>
      <c r="G411" s="1" t="s">
        <v>437</v>
      </c>
      <c r="H411" s="1" t="s">
        <v>433</v>
      </c>
      <c r="I411" s="1" t="s">
        <v>438</v>
      </c>
    </row>
    <row r="412" spans="1:9" ht="25" customHeight="1">
      <c r="A412" s="1"/>
      <c r="B412" s="1" t="s">
        <v>105</v>
      </c>
      <c r="C412" s="1" t="s">
        <v>50</v>
      </c>
      <c r="D412" s="1" t="s">
        <v>245</v>
      </c>
      <c r="E412" s="1">
        <v>0</v>
      </c>
      <c r="F412" s="1" t="s">
        <v>141</v>
      </c>
      <c r="G412" s="1" t="s">
        <v>439</v>
      </c>
      <c r="H412" s="1" t="s">
        <v>433</v>
      </c>
      <c r="I412" s="1" t="s">
        <v>440</v>
      </c>
    </row>
    <row r="413" spans="1:9" ht="25" customHeight="1">
      <c r="A413" s="1"/>
      <c r="B413" s="1" t="s">
        <v>105</v>
      </c>
      <c r="C413" s="1" t="s">
        <v>50</v>
      </c>
      <c r="D413" s="1" t="s">
        <v>75</v>
      </c>
      <c r="E413" s="1">
        <v>1</v>
      </c>
      <c r="F413" s="1" t="s">
        <v>141</v>
      </c>
      <c r="G413" s="1" t="s">
        <v>439</v>
      </c>
      <c r="H413" s="1" t="s">
        <v>433</v>
      </c>
      <c r="I413" s="1" t="s">
        <v>440</v>
      </c>
    </row>
    <row r="414" spans="1:9" ht="25" customHeight="1">
      <c r="A414" s="1"/>
      <c r="B414" s="1" t="s">
        <v>105</v>
      </c>
      <c r="C414" s="1" t="s">
        <v>50</v>
      </c>
      <c r="D414" s="1" t="s">
        <v>249</v>
      </c>
      <c r="E414" s="1">
        <v>0</v>
      </c>
      <c r="F414" s="1" t="s">
        <v>141</v>
      </c>
      <c r="G414" s="1" t="s">
        <v>439</v>
      </c>
      <c r="H414" s="1" t="s">
        <v>433</v>
      </c>
      <c r="I414" s="1" t="s">
        <v>440</v>
      </c>
    </row>
    <row r="415" spans="1:9" ht="25" customHeight="1">
      <c r="A415" s="1"/>
      <c r="B415" s="1" t="s">
        <v>105</v>
      </c>
      <c r="C415" s="1" t="s">
        <v>50</v>
      </c>
      <c r="D415" s="1" t="s">
        <v>79</v>
      </c>
      <c r="E415" s="1">
        <v>4</v>
      </c>
      <c r="F415" s="1" t="s">
        <v>141</v>
      </c>
      <c r="G415" s="1" t="s">
        <v>439</v>
      </c>
      <c r="H415" s="1" t="s">
        <v>433</v>
      </c>
      <c r="I415" s="1" t="s">
        <v>440</v>
      </c>
    </row>
    <row r="416" spans="1:9" ht="25" customHeight="1">
      <c r="A416" s="1"/>
      <c r="B416" s="1" t="s">
        <v>105</v>
      </c>
      <c r="C416" s="1" t="s">
        <v>50</v>
      </c>
      <c r="D416" s="1" t="s">
        <v>250</v>
      </c>
      <c r="E416" s="1">
        <v>1</v>
      </c>
      <c r="F416" s="1" t="s">
        <v>141</v>
      </c>
      <c r="G416" s="1" t="s">
        <v>439</v>
      </c>
      <c r="H416" s="1" t="s">
        <v>433</v>
      </c>
      <c r="I416" s="1" t="s">
        <v>440</v>
      </c>
    </row>
    <row r="417" spans="1:9" ht="25" customHeight="1">
      <c r="A417" s="1"/>
      <c r="B417" s="1" t="s">
        <v>105</v>
      </c>
      <c r="C417" s="1" t="s">
        <v>50</v>
      </c>
      <c r="D417" s="1" t="s">
        <v>251</v>
      </c>
      <c r="E417" s="1">
        <v>0</v>
      </c>
      <c r="F417" s="1" t="s">
        <v>141</v>
      </c>
      <c r="G417" s="1" t="s">
        <v>439</v>
      </c>
      <c r="H417" s="1" t="s">
        <v>433</v>
      </c>
      <c r="I417" s="1" t="s">
        <v>440</v>
      </c>
    </row>
    <row r="418" spans="1:9" ht="25" customHeight="1">
      <c r="A418" s="1"/>
      <c r="B418" s="1" t="s">
        <v>105</v>
      </c>
      <c r="C418" s="1" t="s">
        <v>50</v>
      </c>
      <c r="D418" s="1" t="s">
        <v>252</v>
      </c>
      <c r="E418" s="1">
        <v>5</v>
      </c>
      <c r="F418" s="1" t="s">
        <v>141</v>
      </c>
      <c r="G418" s="1" t="s">
        <v>439</v>
      </c>
      <c r="H418" s="1" t="s">
        <v>433</v>
      </c>
      <c r="I418" s="1" t="s">
        <v>440</v>
      </c>
    </row>
    <row r="419" spans="1:9" ht="25" customHeight="1">
      <c r="A419" s="1"/>
      <c r="B419" s="1" t="s">
        <v>105</v>
      </c>
      <c r="C419" s="1" t="s">
        <v>55</v>
      </c>
      <c r="D419" s="1" t="s">
        <v>245</v>
      </c>
      <c r="E419" s="1">
        <v>-2</v>
      </c>
      <c r="F419" s="1" t="s">
        <v>141</v>
      </c>
      <c r="G419" s="1" t="s">
        <v>441</v>
      </c>
      <c r="H419" s="1" t="s">
        <v>433</v>
      </c>
      <c r="I419" s="1" t="s">
        <v>442</v>
      </c>
    </row>
    <row r="420" spans="1:9" ht="25" customHeight="1">
      <c r="A420" s="1"/>
      <c r="B420" s="1" t="s">
        <v>105</v>
      </c>
      <c r="C420" s="1" t="s">
        <v>55</v>
      </c>
      <c r="D420" s="1" t="s">
        <v>75</v>
      </c>
      <c r="E420" s="1">
        <v>-2</v>
      </c>
      <c r="F420" s="1" t="s">
        <v>141</v>
      </c>
      <c r="G420" s="1" t="s">
        <v>441</v>
      </c>
      <c r="H420" s="1" t="s">
        <v>433</v>
      </c>
      <c r="I420" s="1" t="s">
        <v>442</v>
      </c>
    </row>
    <row r="421" spans="1:9" ht="25" customHeight="1">
      <c r="A421" s="1"/>
      <c r="B421" s="1" t="s">
        <v>105</v>
      </c>
      <c r="C421" s="1" t="s">
        <v>55</v>
      </c>
      <c r="D421" s="1" t="s">
        <v>249</v>
      </c>
      <c r="E421" s="1">
        <v>-1</v>
      </c>
      <c r="F421" s="1" t="s">
        <v>141</v>
      </c>
      <c r="G421" s="1" t="s">
        <v>441</v>
      </c>
      <c r="H421" s="1" t="s">
        <v>433</v>
      </c>
      <c r="I421" s="1" t="s">
        <v>442</v>
      </c>
    </row>
    <row r="422" spans="1:9" ht="25" customHeight="1">
      <c r="A422" s="1"/>
      <c r="B422" s="1" t="s">
        <v>105</v>
      </c>
      <c r="C422" s="1" t="s">
        <v>55</v>
      </c>
      <c r="D422" s="1" t="s">
        <v>79</v>
      </c>
      <c r="E422" s="1">
        <v>4</v>
      </c>
      <c r="F422" s="1" t="s">
        <v>141</v>
      </c>
      <c r="G422" s="1" t="s">
        <v>441</v>
      </c>
      <c r="H422" s="1" t="s">
        <v>433</v>
      </c>
      <c r="I422" s="1" t="s">
        <v>442</v>
      </c>
    </row>
    <row r="423" spans="1:9" ht="25" customHeight="1">
      <c r="A423" s="1"/>
      <c r="B423" s="1" t="s">
        <v>105</v>
      </c>
      <c r="C423" s="1" t="s">
        <v>55</v>
      </c>
      <c r="D423" s="1" t="s">
        <v>250</v>
      </c>
      <c r="E423" s="1">
        <v>1</v>
      </c>
      <c r="F423" s="1" t="s">
        <v>141</v>
      </c>
      <c r="G423" s="1" t="s">
        <v>441</v>
      </c>
      <c r="H423" s="1" t="s">
        <v>433</v>
      </c>
      <c r="I423" s="1" t="s">
        <v>442</v>
      </c>
    </row>
    <row r="424" spans="1:9" ht="25" customHeight="1">
      <c r="A424" s="1"/>
      <c r="B424" s="1" t="s">
        <v>105</v>
      </c>
      <c r="C424" s="1" t="s">
        <v>55</v>
      </c>
      <c r="D424" s="1" t="s">
        <v>251</v>
      </c>
      <c r="E424" s="1">
        <v>0</v>
      </c>
      <c r="F424" s="1" t="s">
        <v>141</v>
      </c>
      <c r="G424" s="1" t="s">
        <v>441</v>
      </c>
      <c r="H424" s="1" t="s">
        <v>433</v>
      </c>
      <c r="I424" s="1" t="s">
        <v>442</v>
      </c>
    </row>
    <row r="425" spans="1:9" ht="25" customHeight="1">
      <c r="A425" s="1"/>
      <c r="B425" s="1" t="s">
        <v>105</v>
      </c>
      <c r="C425" s="1" t="s">
        <v>55</v>
      </c>
      <c r="D425" s="1" t="s">
        <v>252</v>
      </c>
      <c r="E425" s="1">
        <v>2</v>
      </c>
      <c r="F425" s="1" t="s">
        <v>141</v>
      </c>
      <c r="G425" s="1" t="s">
        <v>441</v>
      </c>
      <c r="H425" s="1" t="s">
        <v>433</v>
      </c>
      <c r="I425" s="1" t="s">
        <v>442</v>
      </c>
    </row>
    <row r="426" spans="1:9" ht="25" customHeight="1">
      <c r="A426" s="1"/>
      <c r="B426" s="1" t="s">
        <v>105</v>
      </c>
      <c r="C426" s="1" t="s">
        <v>134</v>
      </c>
      <c r="D426" s="1" t="s">
        <v>245</v>
      </c>
      <c r="E426" s="1">
        <v>0</v>
      </c>
      <c r="F426" s="1" t="s">
        <v>141</v>
      </c>
      <c r="G426" s="1" t="s">
        <v>443</v>
      </c>
      <c r="H426" s="1" t="s">
        <v>433</v>
      </c>
      <c r="I426" s="1" t="s">
        <v>444</v>
      </c>
    </row>
    <row r="427" spans="1:9" ht="25" customHeight="1">
      <c r="A427" s="1"/>
      <c r="B427" s="1" t="s">
        <v>105</v>
      </c>
      <c r="C427" s="1" t="s">
        <v>134</v>
      </c>
      <c r="D427" s="1" t="s">
        <v>75</v>
      </c>
      <c r="E427" s="1">
        <v>-1</v>
      </c>
      <c r="F427" s="1" t="s">
        <v>141</v>
      </c>
      <c r="G427" s="1" t="s">
        <v>443</v>
      </c>
      <c r="H427" s="1" t="s">
        <v>433</v>
      </c>
      <c r="I427" s="1" t="s">
        <v>444</v>
      </c>
    </row>
    <row r="428" spans="1:9" ht="25" customHeight="1">
      <c r="A428" s="1"/>
      <c r="B428" s="1" t="s">
        <v>105</v>
      </c>
      <c r="C428" s="1" t="s">
        <v>134</v>
      </c>
      <c r="D428" s="1" t="s">
        <v>249</v>
      </c>
      <c r="E428" s="1">
        <v>-1</v>
      </c>
      <c r="F428" s="1" t="s">
        <v>141</v>
      </c>
      <c r="G428" s="1" t="s">
        <v>443</v>
      </c>
      <c r="H428" s="1" t="s">
        <v>433</v>
      </c>
      <c r="I428" s="1" t="s">
        <v>444</v>
      </c>
    </row>
    <row r="429" spans="1:9" ht="25" customHeight="1">
      <c r="A429" s="1"/>
      <c r="B429" s="1" t="s">
        <v>105</v>
      </c>
      <c r="C429" s="1" t="s">
        <v>134</v>
      </c>
      <c r="D429" s="1" t="s">
        <v>79</v>
      </c>
      <c r="E429" s="1">
        <v>4</v>
      </c>
      <c r="F429" s="1" t="s">
        <v>141</v>
      </c>
      <c r="G429" s="1" t="s">
        <v>443</v>
      </c>
      <c r="H429" s="1" t="s">
        <v>433</v>
      </c>
      <c r="I429" s="1" t="s">
        <v>444</v>
      </c>
    </row>
    <row r="430" spans="1:9" ht="25" customHeight="1">
      <c r="A430" s="1"/>
      <c r="B430" s="1" t="s">
        <v>105</v>
      </c>
      <c r="C430" s="1" t="s">
        <v>134</v>
      </c>
      <c r="D430" s="1" t="s">
        <v>250</v>
      </c>
      <c r="E430" s="1">
        <v>0</v>
      </c>
      <c r="F430" s="1" t="s">
        <v>141</v>
      </c>
      <c r="G430" s="1" t="s">
        <v>443</v>
      </c>
      <c r="H430" s="1" t="s">
        <v>433</v>
      </c>
      <c r="I430" s="1" t="s">
        <v>444</v>
      </c>
    </row>
    <row r="431" spans="1:9" ht="25" customHeight="1">
      <c r="A431" s="1"/>
      <c r="B431" s="1" t="s">
        <v>105</v>
      </c>
      <c r="C431" s="1" t="s">
        <v>134</v>
      </c>
      <c r="D431" s="1" t="s">
        <v>251</v>
      </c>
      <c r="E431" s="1">
        <v>0</v>
      </c>
      <c r="F431" s="1" t="s">
        <v>141</v>
      </c>
      <c r="G431" s="1" t="s">
        <v>443</v>
      </c>
      <c r="H431" s="1" t="s">
        <v>433</v>
      </c>
      <c r="I431" s="1" t="s">
        <v>444</v>
      </c>
    </row>
    <row r="432" spans="1:9" ht="25" customHeight="1">
      <c r="A432" s="1"/>
      <c r="B432" s="1" t="s">
        <v>105</v>
      </c>
      <c r="C432" s="1" t="s">
        <v>134</v>
      </c>
      <c r="D432" s="1" t="s">
        <v>252</v>
      </c>
      <c r="E432" s="1">
        <v>3</v>
      </c>
      <c r="F432" s="1" t="s">
        <v>141</v>
      </c>
      <c r="G432" s="1" t="s">
        <v>443</v>
      </c>
      <c r="H432" s="1" t="s">
        <v>433</v>
      </c>
      <c r="I432" s="1" t="s">
        <v>444</v>
      </c>
    </row>
    <row r="433" spans="1:9" ht="25" customHeight="1">
      <c r="A433" s="1"/>
      <c r="B433" s="1" t="s">
        <v>105</v>
      </c>
      <c r="C433" s="1" t="s">
        <v>34</v>
      </c>
      <c r="D433" s="1" t="s">
        <v>263</v>
      </c>
      <c r="E433" s="1">
        <v>3849</v>
      </c>
      <c r="F433" s="1" t="s">
        <v>141</v>
      </c>
      <c r="G433" s="1" t="s">
        <v>445</v>
      </c>
      <c r="H433" s="1" t="s">
        <v>433</v>
      </c>
      <c r="I433" s="1" t="s">
        <v>446</v>
      </c>
    </row>
    <row r="434" spans="1:9" ht="25" customHeight="1">
      <c r="A434" s="1"/>
      <c r="B434" s="1" t="s">
        <v>105</v>
      </c>
      <c r="C434" s="1" t="s">
        <v>43</v>
      </c>
      <c r="D434" s="1" t="s">
        <v>263</v>
      </c>
      <c r="E434" s="1">
        <v>1734</v>
      </c>
      <c r="F434" s="1" t="s">
        <v>141</v>
      </c>
      <c r="G434" s="1" t="s">
        <v>447</v>
      </c>
      <c r="H434" s="1" t="s">
        <v>433</v>
      </c>
      <c r="I434" s="1" t="s">
        <v>448</v>
      </c>
    </row>
    <row r="435" spans="1:9" ht="25" customHeight="1">
      <c r="A435" s="1"/>
      <c r="B435" s="1" t="s">
        <v>105</v>
      </c>
      <c r="C435" s="1" t="s">
        <v>45</v>
      </c>
      <c r="D435" s="1" t="s">
        <v>263</v>
      </c>
      <c r="E435" s="1">
        <v>3172</v>
      </c>
      <c r="F435" s="1" t="s">
        <v>141</v>
      </c>
      <c r="G435" s="1" t="s">
        <v>449</v>
      </c>
      <c r="H435" s="1" t="s">
        <v>433</v>
      </c>
      <c r="I435" s="1" t="s">
        <v>450</v>
      </c>
    </row>
    <row r="436" spans="1:9" ht="25" customHeight="1">
      <c r="A436" s="1"/>
      <c r="B436" s="1" t="s">
        <v>105</v>
      </c>
      <c r="C436" s="1" t="s">
        <v>50</v>
      </c>
      <c r="D436" s="1" t="s">
        <v>263</v>
      </c>
      <c r="E436" s="1">
        <v>7415</v>
      </c>
      <c r="F436" s="1" t="s">
        <v>141</v>
      </c>
      <c r="G436" s="1" t="s">
        <v>451</v>
      </c>
      <c r="H436" s="1" t="s">
        <v>433</v>
      </c>
      <c r="I436" s="1" t="s">
        <v>452</v>
      </c>
    </row>
    <row r="437" spans="1:9" ht="25" customHeight="1">
      <c r="A437" s="1"/>
      <c r="B437" s="1" t="s">
        <v>105</v>
      </c>
      <c r="C437" s="1" t="s">
        <v>55</v>
      </c>
      <c r="D437" s="1" t="s">
        <v>263</v>
      </c>
      <c r="E437" s="1">
        <v>5146</v>
      </c>
      <c r="F437" s="1" t="s">
        <v>141</v>
      </c>
      <c r="G437" s="1" t="s">
        <v>453</v>
      </c>
      <c r="H437" s="1" t="s">
        <v>433</v>
      </c>
      <c r="I437" s="1" t="s">
        <v>454</v>
      </c>
    </row>
    <row r="438" spans="1:9" ht="25" customHeight="1">
      <c r="A438" s="1"/>
      <c r="B438" s="1" t="s">
        <v>105</v>
      </c>
      <c r="C438" s="1" t="s">
        <v>133</v>
      </c>
      <c r="D438" s="1" t="s">
        <v>263</v>
      </c>
      <c r="E438" s="1">
        <v>126</v>
      </c>
      <c r="F438" s="1" t="s">
        <v>141</v>
      </c>
      <c r="G438" s="1" t="s">
        <v>455</v>
      </c>
      <c r="H438" s="1" t="s">
        <v>433</v>
      </c>
      <c r="I438" s="1" t="s">
        <v>456</v>
      </c>
    </row>
    <row r="439" spans="1:9" ht="25" customHeight="1">
      <c r="A439" s="1"/>
      <c r="B439" s="1" t="s">
        <v>105</v>
      </c>
      <c r="C439" s="1" t="s">
        <v>134</v>
      </c>
      <c r="D439" s="1" t="s">
        <v>263</v>
      </c>
      <c r="E439" s="1">
        <v>21441</v>
      </c>
      <c r="F439" s="1" t="s">
        <v>141</v>
      </c>
      <c r="G439" s="1" t="s">
        <v>457</v>
      </c>
      <c r="H439" s="1" t="s">
        <v>433</v>
      </c>
      <c r="I439" s="1" t="s">
        <v>458</v>
      </c>
    </row>
    <row r="440" spans="1:9" ht="25" customHeight="1">
      <c r="A440" s="1"/>
      <c r="B440" s="1" t="s">
        <v>105</v>
      </c>
      <c r="C440" s="1" t="s">
        <v>34</v>
      </c>
      <c r="D440" s="1" t="s">
        <v>81</v>
      </c>
      <c r="E440" s="1">
        <v>1</v>
      </c>
      <c r="F440" s="1" t="s">
        <v>141</v>
      </c>
      <c r="G440" s="1" t="s">
        <v>459</v>
      </c>
      <c r="H440" s="1" t="s">
        <v>433</v>
      </c>
      <c r="I440" s="1" t="s">
        <v>460</v>
      </c>
    </row>
    <row r="441" spans="1:9" ht="25" customHeight="1">
      <c r="A441" s="1"/>
      <c r="B441" s="1" t="s">
        <v>105</v>
      </c>
      <c r="C441" s="1" t="s">
        <v>43</v>
      </c>
      <c r="D441" s="1" t="s">
        <v>81</v>
      </c>
      <c r="E441" s="1">
        <v>9</v>
      </c>
      <c r="F441" s="1" t="s">
        <v>141</v>
      </c>
      <c r="G441" s="1" t="s">
        <v>461</v>
      </c>
      <c r="H441" s="1" t="s">
        <v>433</v>
      </c>
      <c r="I441" s="1" t="s">
        <v>423</v>
      </c>
    </row>
    <row r="442" spans="1:9" ht="25" customHeight="1">
      <c r="A442" s="1"/>
      <c r="B442" s="1" t="s">
        <v>105</v>
      </c>
      <c r="C442" s="1" t="s">
        <v>45</v>
      </c>
      <c r="D442" s="1" t="s">
        <v>81</v>
      </c>
      <c r="E442" s="1">
        <v>2</v>
      </c>
      <c r="F442" s="1" t="s">
        <v>141</v>
      </c>
      <c r="G442" s="1" t="s">
        <v>462</v>
      </c>
      <c r="H442" s="1" t="s">
        <v>433</v>
      </c>
      <c r="I442" s="1" t="s">
        <v>463</v>
      </c>
    </row>
    <row r="443" spans="1:9" ht="25" customHeight="1">
      <c r="A443" s="1"/>
      <c r="B443" s="1" t="s">
        <v>105</v>
      </c>
      <c r="C443" s="1" t="s">
        <v>50</v>
      </c>
      <c r="D443" s="1" t="s">
        <v>81</v>
      </c>
      <c r="E443" s="1">
        <v>6</v>
      </c>
      <c r="F443" s="1" t="s">
        <v>141</v>
      </c>
      <c r="G443" s="1" t="s">
        <v>464</v>
      </c>
      <c r="H443" s="1" t="s">
        <v>433</v>
      </c>
      <c r="I443" s="1" t="s">
        <v>465</v>
      </c>
    </row>
    <row r="444" spans="1:9" ht="25" customHeight="1">
      <c r="A444" s="1"/>
      <c r="B444" s="1" t="s">
        <v>105</v>
      </c>
      <c r="C444" s="1" t="s">
        <v>55</v>
      </c>
      <c r="D444" s="1" t="s">
        <v>81</v>
      </c>
      <c r="E444" s="1">
        <v>3</v>
      </c>
      <c r="F444" s="1" t="s">
        <v>141</v>
      </c>
      <c r="G444" s="1" t="s">
        <v>466</v>
      </c>
      <c r="H444" s="1" t="s">
        <v>433</v>
      </c>
      <c r="I444" s="1" t="s">
        <v>467</v>
      </c>
    </row>
    <row r="445" spans="1:9" ht="25" customHeight="1">
      <c r="A445" s="1"/>
      <c r="B445" s="1" t="s">
        <v>105</v>
      </c>
      <c r="C445" s="1" t="s">
        <v>134</v>
      </c>
      <c r="D445" s="1" t="s">
        <v>81</v>
      </c>
      <c r="E445" s="1">
        <v>4</v>
      </c>
      <c r="F445" s="1" t="s">
        <v>141</v>
      </c>
      <c r="G445" s="1" t="s">
        <v>468</v>
      </c>
      <c r="H445" s="1" t="s">
        <v>433</v>
      </c>
      <c r="I445" s="1" t="s">
        <v>469</v>
      </c>
    </row>
    <row r="446" spans="1:9" ht="25" customHeight="1">
      <c r="A446" s="1"/>
      <c r="B446" s="1" t="s">
        <v>106</v>
      </c>
      <c r="C446" s="1" t="s">
        <v>34</v>
      </c>
      <c r="D446" s="1" t="s">
        <v>245</v>
      </c>
      <c r="E446" s="1">
        <v>1</v>
      </c>
      <c r="F446" s="1" t="s">
        <v>142</v>
      </c>
      <c r="G446" s="1" t="s">
        <v>432</v>
      </c>
      <c r="H446" s="1" t="s">
        <v>470</v>
      </c>
      <c r="I446" s="1" t="s">
        <v>471</v>
      </c>
    </row>
    <row r="447" spans="1:9" ht="25" customHeight="1">
      <c r="A447" s="1"/>
      <c r="B447" s="1" t="s">
        <v>106</v>
      </c>
      <c r="C447" s="1" t="s">
        <v>34</v>
      </c>
      <c r="D447" s="1" t="s">
        <v>75</v>
      </c>
      <c r="E447" s="1">
        <v>1</v>
      </c>
      <c r="F447" s="1" t="s">
        <v>142</v>
      </c>
      <c r="G447" s="1" t="s">
        <v>432</v>
      </c>
      <c r="H447" s="1" t="s">
        <v>470</v>
      </c>
      <c r="I447" s="1" t="s">
        <v>471</v>
      </c>
    </row>
    <row r="448" spans="1:9" ht="25" customHeight="1">
      <c r="A448" s="1"/>
      <c r="B448" s="1" t="s">
        <v>106</v>
      </c>
      <c r="C448" s="1" t="s">
        <v>34</v>
      </c>
      <c r="D448" s="1" t="s">
        <v>249</v>
      </c>
      <c r="E448" s="1">
        <v>-3</v>
      </c>
      <c r="F448" s="1" t="s">
        <v>142</v>
      </c>
      <c r="G448" s="1" t="s">
        <v>432</v>
      </c>
      <c r="H448" s="1" t="s">
        <v>470</v>
      </c>
      <c r="I448" s="1" t="s">
        <v>471</v>
      </c>
    </row>
    <row r="449" spans="1:9" ht="25" customHeight="1">
      <c r="A449" s="1"/>
      <c r="B449" s="1" t="s">
        <v>106</v>
      </c>
      <c r="C449" s="1" t="s">
        <v>34</v>
      </c>
      <c r="D449" s="1" t="s">
        <v>79</v>
      </c>
      <c r="E449" s="1">
        <v>4</v>
      </c>
      <c r="F449" s="1" t="s">
        <v>142</v>
      </c>
      <c r="G449" s="1" t="s">
        <v>432</v>
      </c>
      <c r="H449" s="1" t="s">
        <v>470</v>
      </c>
      <c r="I449" s="1" t="s">
        <v>471</v>
      </c>
    </row>
    <row r="450" spans="1:9" ht="25" customHeight="1">
      <c r="A450" s="1"/>
      <c r="B450" s="1" t="s">
        <v>106</v>
      </c>
      <c r="C450" s="1" t="s">
        <v>34</v>
      </c>
      <c r="D450" s="1" t="s">
        <v>250</v>
      </c>
      <c r="E450" s="1">
        <v>-1</v>
      </c>
      <c r="F450" s="1" t="s">
        <v>142</v>
      </c>
      <c r="G450" s="1" t="s">
        <v>432</v>
      </c>
      <c r="H450" s="1" t="s">
        <v>470</v>
      </c>
      <c r="I450" s="1" t="s">
        <v>471</v>
      </c>
    </row>
    <row r="451" spans="1:9" ht="25" customHeight="1">
      <c r="A451" s="1"/>
      <c r="B451" s="1" t="s">
        <v>106</v>
      </c>
      <c r="C451" s="1" t="s">
        <v>34</v>
      </c>
      <c r="D451" s="1" t="s">
        <v>251</v>
      </c>
      <c r="E451" s="1">
        <v>1</v>
      </c>
      <c r="F451" s="1" t="s">
        <v>142</v>
      </c>
      <c r="G451" s="1" t="s">
        <v>432</v>
      </c>
      <c r="H451" s="1" t="s">
        <v>470</v>
      </c>
      <c r="I451" s="1" t="s">
        <v>471</v>
      </c>
    </row>
    <row r="452" spans="1:9" ht="25" customHeight="1">
      <c r="A452" s="1"/>
      <c r="B452" s="1" t="s">
        <v>106</v>
      </c>
      <c r="C452" s="1" t="s">
        <v>34</v>
      </c>
      <c r="D452" s="1" t="s">
        <v>252</v>
      </c>
      <c r="E452" s="1">
        <v>2</v>
      </c>
      <c r="F452" s="1" t="s">
        <v>142</v>
      </c>
      <c r="G452" s="1" t="s">
        <v>432</v>
      </c>
      <c r="H452" s="1" t="s">
        <v>470</v>
      </c>
      <c r="I452" s="1" t="s">
        <v>471</v>
      </c>
    </row>
    <row r="453" spans="1:9" ht="25" customHeight="1">
      <c r="A453" s="1"/>
      <c r="B453" s="1" t="s">
        <v>106</v>
      </c>
      <c r="C453" s="1" t="s">
        <v>43</v>
      </c>
      <c r="D453" s="1" t="s">
        <v>245</v>
      </c>
      <c r="E453" s="1">
        <v>2</v>
      </c>
      <c r="F453" s="1" t="s">
        <v>142</v>
      </c>
      <c r="G453" s="1" t="s">
        <v>435</v>
      </c>
      <c r="H453" s="1" t="s">
        <v>470</v>
      </c>
      <c r="I453" s="1" t="s">
        <v>472</v>
      </c>
    </row>
    <row r="454" spans="1:9" ht="25" customHeight="1">
      <c r="A454" s="1"/>
      <c r="B454" s="1" t="s">
        <v>106</v>
      </c>
      <c r="C454" s="1" t="s">
        <v>43</v>
      </c>
      <c r="D454" s="1" t="s">
        <v>75</v>
      </c>
      <c r="E454" s="1">
        <v>2</v>
      </c>
      <c r="F454" s="1" t="s">
        <v>142</v>
      </c>
      <c r="G454" s="1" t="s">
        <v>435</v>
      </c>
      <c r="H454" s="1" t="s">
        <v>470</v>
      </c>
      <c r="I454" s="1" t="s">
        <v>472</v>
      </c>
    </row>
    <row r="455" spans="1:9" ht="25" customHeight="1">
      <c r="A455" s="1"/>
      <c r="B455" s="1" t="s">
        <v>106</v>
      </c>
      <c r="C455" s="1" t="s">
        <v>43</v>
      </c>
      <c r="D455" s="1" t="s">
        <v>249</v>
      </c>
      <c r="E455" s="1">
        <v>-7</v>
      </c>
      <c r="F455" s="1" t="s">
        <v>142</v>
      </c>
      <c r="G455" s="1" t="s">
        <v>435</v>
      </c>
      <c r="H455" s="1" t="s">
        <v>470</v>
      </c>
      <c r="I455" s="1" t="s">
        <v>472</v>
      </c>
    </row>
    <row r="456" spans="1:9" ht="25" customHeight="1">
      <c r="A456" s="1"/>
      <c r="B456" s="1" t="s">
        <v>106</v>
      </c>
      <c r="C456" s="1" t="s">
        <v>43</v>
      </c>
      <c r="D456" s="1" t="s">
        <v>79</v>
      </c>
      <c r="E456" s="1">
        <v>10</v>
      </c>
      <c r="F456" s="1" t="s">
        <v>142</v>
      </c>
      <c r="G456" s="1" t="s">
        <v>435</v>
      </c>
      <c r="H456" s="1" t="s">
        <v>470</v>
      </c>
      <c r="I456" s="1" t="s">
        <v>472</v>
      </c>
    </row>
    <row r="457" spans="1:9" ht="25" customHeight="1">
      <c r="A457" s="1"/>
      <c r="B457" s="1" t="s">
        <v>106</v>
      </c>
      <c r="C457" s="1" t="s">
        <v>43</v>
      </c>
      <c r="D457" s="1" t="s">
        <v>250</v>
      </c>
      <c r="E457" s="1">
        <v>-1</v>
      </c>
      <c r="F457" s="1" t="s">
        <v>142</v>
      </c>
      <c r="G457" s="1" t="s">
        <v>435</v>
      </c>
      <c r="H457" s="1" t="s">
        <v>470</v>
      </c>
      <c r="I457" s="1" t="s">
        <v>472</v>
      </c>
    </row>
    <row r="458" spans="1:9" ht="25" customHeight="1">
      <c r="A458" s="1"/>
      <c r="B458" s="1" t="s">
        <v>106</v>
      </c>
      <c r="C458" s="1" t="s">
        <v>43</v>
      </c>
      <c r="D458" s="1" t="s">
        <v>251</v>
      </c>
      <c r="E458" s="1">
        <v>-1</v>
      </c>
      <c r="F458" s="1" t="s">
        <v>142</v>
      </c>
      <c r="G458" s="1" t="s">
        <v>435</v>
      </c>
      <c r="H458" s="1" t="s">
        <v>470</v>
      </c>
      <c r="I458" s="1" t="s">
        <v>472</v>
      </c>
    </row>
    <row r="459" spans="1:9" ht="25" customHeight="1">
      <c r="A459" s="1"/>
      <c r="B459" s="1" t="s">
        <v>106</v>
      </c>
      <c r="C459" s="1" t="s">
        <v>43</v>
      </c>
      <c r="D459" s="1" t="s">
        <v>252</v>
      </c>
      <c r="E459" s="1">
        <v>3</v>
      </c>
      <c r="F459" s="1" t="s">
        <v>142</v>
      </c>
      <c r="G459" s="1" t="s">
        <v>435</v>
      </c>
      <c r="H459" s="1" t="s">
        <v>470</v>
      </c>
      <c r="I459" s="1" t="s">
        <v>472</v>
      </c>
    </row>
    <row r="460" spans="1:9" ht="25" customHeight="1">
      <c r="A460" s="1"/>
      <c r="B460" s="1" t="s">
        <v>106</v>
      </c>
      <c r="C460" s="1" t="s">
        <v>45</v>
      </c>
      <c r="D460" s="1" t="s">
        <v>245</v>
      </c>
      <c r="E460" s="1">
        <v>-4</v>
      </c>
      <c r="F460" s="1" t="s">
        <v>142</v>
      </c>
      <c r="G460" s="1" t="s">
        <v>437</v>
      </c>
      <c r="H460" s="1" t="s">
        <v>470</v>
      </c>
      <c r="I460" s="1" t="s">
        <v>473</v>
      </c>
    </row>
    <row r="461" spans="1:9" ht="25" customHeight="1">
      <c r="A461" s="1"/>
      <c r="B461" s="1" t="s">
        <v>106</v>
      </c>
      <c r="C461" s="1" t="s">
        <v>45</v>
      </c>
      <c r="D461" s="1" t="s">
        <v>75</v>
      </c>
      <c r="E461" s="1">
        <v>-4</v>
      </c>
      <c r="F461" s="1" t="s">
        <v>142</v>
      </c>
      <c r="G461" s="1" t="s">
        <v>437</v>
      </c>
      <c r="H461" s="1" t="s">
        <v>470</v>
      </c>
      <c r="I461" s="1" t="s">
        <v>473</v>
      </c>
    </row>
    <row r="462" spans="1:9" ht="25" customHeight="1">
      <c r="A462" s="1"/>
      <c r="B462" s="1" t="s">
        <v>106</v>
      </c>
      <c r="C462" s="1" t="s">
        <v>45</v>
      </c>
      <c r="D462" s="1" t="s">
        <v>249</v>
      </c>
      <c r="E462" s="1">
        <v>-1</v>
      </c>
      <c r="F462" s="1" t="s">
        <v>142</v>
      </c>
      <c r="G462" s="1" t="s">
        <v>437</v>
      </c>
      <c r="H462" s="1" t="s">
        <v>470</v>
      </c>
      <c r="I462" s="1" t="s">
        <v>473</v>
      </c>
    </row>
    <row r="463" spans="1:9" ht="25" customHeight="1">
      <c r="A463" s="1"/>
      <c r="B463" s="1" t="s">
        <v>106</v>
      </c>
      <c r="C463" s="1" t="s">
        <v>45</v>
      </c>
      <c r="D463" s="1" t="s">
        <v>79</v>
      </c>
      <c r="E463" s="1">
        <v>4</v>
      </c>
      <c r="F463" s="1" t="s">
        <v>142</v>
      </c>
      <c r="G463" s="1" t="s">
        <v>437</v>
      </c>
      <c r="H463" s="1" t="s">
        <v>470</v>
      </c>
      <c r="I463" s="1" t="s">
        <v>473</v>
      </c>
    </row>
    <row r="464" spans="1:9" ht="25" customHeight="1">
      <c r="A464" s="1"/>
      <c r="B464" s="1" t="s">
        <v>106</v>
      </c>
      <c r="C464" s="1" t="s">
        <v>45</v>
      </c>
      <c r="D464" s="1" t="s">
        <v>250</v>
      </c>
      <c r="E464" s="1">
        <v>3</v>
      </c>
      <c r="F464" s="1" t="s">
        <v>142</v>
      </c>
      <c r="G464" s="1" t="s">
        <v>437</v>
      </c>
      <c r="H464" s="1" t="s">
        <v>470</v>
      </c>
      <c r="I464" s="1" t="s">
        <v>473</v>
      </c>
    </row>
    <row r="465" spans="1:9" ht="25" customHeight="1">
      <c r="A465" s="1"/>
      <c r="B465" s="1" t="s">
        <v>106</v>
      </c>
      <c r="C465" s="1" t="s">
        <v>45</v>
      </c>
      <c r="D465" s="1" t="s">
        <v>251</v>
      </c>
      <c r="E465" s="1">
        <v>0</v>
      </c>
      <c r="F465" s="1" t="s">
        <v>142</v>
      </c>
      <c r="G465" s="1" t="s">
        <v>437</v>
      </c>
      <c r="H465" s="1" t="s">
        <v>470</v>
      </c>
      <c r="I465" s="1" t="s">
        <v>473</v>
      </c>
    </row>
    <row r="466" spans="1:9" ht="25" customHeight="1">
      <c r="A466" s="1"/>
      <c r="B466" s="1" t="s">
        <v>106</v>
      </c>
      <c r="C466" s="1" t="s">
        <v>45</v>
      </c>
      <c r="D466" s="1" t="s">
        <v>252</v>
      </c>
      <c r="E466" s="1">
        <v>2</v>
      </c>
      <c r="F466" s="1" t="s">
        <v>142</v>
      </c>
      <c r="G466" s="1" t="s">
        <v>437</v>
      </c>
      <c r="H466" s="1" t="s">
        <v>470</v>
      </c>
      <c r="I466" s="1" t="s">
        <v>473</v>
      </c>
    </row>
    <row r="467" spans="1:9" ht="25" customHeight="1">
      <c r="A467" s="1"/>
      <c r="B467" s="1" t="s">
        <v>106</v>
      </c>
      <c r="C467" s="1" t="s">
        <v>50</v>
      </c>
      <c r="D467" s="1" t="s">
        <v>245</v>
      </c>
      <c r="E467" s="1">
        <v>1</v>
      </c>
      <c r="F467" s="1" t="s">
        <v>142</v>
      </c>
      <c r="G467" s="1" t="s">
        <v>439</v>
      </c>
      <c r="H467" s="1" t="s">
        <v>470</v>
      </c>
      <c r="I467" s="1" t="s">
        <v>474</v>
      </c>
    </row>
    <row r="468" spans="1:9" ht="25" customHeight="1">
      <c r="A468" s="1"/>
      <c r="B468" s="1" t="s">
        <v>106</v>
      </c>
      <c r="C468" s="1" t="s">
        <v>50</v>
      </c>
      <c r="D468" s="1" t="s">
        <v>75</v>
      </c>
      <c r="E468" s="1">
        <v>1</v>
      </c>
      <c r="F468" s="1" t="s">
        <v>142</v>
      </c>
      <c r="G468" s="1" t="s">
        <v>439</v>
      </c>
      <c r="H468" s="1" t="s">
        <v>470</v>
      </c>
      <c r="I468" s="1" t="s">
        <v>474</v>
      </c>
    </row>
    <row r="469" spans="1:9" ht="25" customHeight="1">
      <c r="A469" s="1"/>
      <c r="B469" s="1" t="s">
        <v>106</v>
      </c>
      <c r="C469" s="1" t="s">
        <v>50</v>
      </c>
      <c r="D469" s="1" t="s">
        <v>249</v>
      </c>
      <c r="E469" s="1">
        <v>-1</v>
      </c>
      <c r="F469" s="1" t="s">
        <v>142</v>
      </c>
      <c r="G469" s="1" t="s">
        <v>439</v>
      </c>
      <c r="H469" s="1" t="s">
        <v>470</v>
      </c>
      <c r="I469" s="1" t="s">
        <v>474</v>
      </c>
    </row>
    <row r="470" spans="1:9" ht="25" customHeight="1">
      <c r="A470" s="1"/>
      <c r="B470" s="1" t="s">
        <v>106</v>
      </c>
      <c r="C470" s="1" t="s">
        <v>50</v>
      </c>
      <c r="D470" s="1" t="s">
        <v>79</v>
      </c>
      <c r="E470" s="1">
        <v>2</v>
      </c>
      <c r="F470" s="1" t="s">
        <v>142</v>
      </c>
      <c r="G470" s="1" t="s">
        <v>439</v>
      </c>
      <c r="H470" s="1" t="s">
        <v>470</v>
      </c>
      <c r="I470" s="1" t="s">
        <v>474</v>
      </c>
    </row>
    <row r="471" spans="1:9" ht="25" customHeight="1">
      <c r="A471" s="1"/>
      <c r="B471" s="1" t="s">
        <v>106</v>
      </c>
      <c r="C471" s="1" t="s">
        <v>50</v>
      </c>
      <c r="D471" s="1" t="s">
        <v>250</v>
      </c>
      <c r="E471" s="1">
        <v>0</v>
      </c>
      <c r="F471" s="1" t="s">
        <v>142</v>
      </c>
      <c r="G471" s="1" t="s">
        <v>439</v>
      </c>
      <c r="H471" s="1" t="s">
        <v>470</v>
      </c>
      <c r="I471" s="1" t="s">
        <v>474</v>
      </c>
    </row>
    <row r="472" spans="1:9" ht="25" customHeight="1">
      <c r="A472" s="1"/>
      <c r="B472" s="1" t="s">
        <v>106</v>
      </c>
      <c r="C472" s="1" t="s">
        <v>50</v>
      </c>
      <c r="D472" s="1" t="s">
        <v>251</v>
      </c>
      <c r="E472" s="1">
        <v>0</v>
      </c>
      <c r="F472" s="1" t="s">
        <v>142</v>
      </c>
      <c r="G472" s="1" t="s">
        <v>439</v>
      </c>
      <c r="H472" s="1" t="s">
        <v>470</v>
      </c>
      <c r="I472" s="1" t="s">
        <v>474</v>
      </c>
    </row>
    <row r="473" spans="1:9" ht="25" customHeight="1">
      <c r="A473" s="1"/>
      <c r="B473" s="1" t="s">
        <v>106</v>
      </c>
      <c r="C473" s="1" t="s">
        <v>50</v>
      </c>
      <c r="D473" s="1" t="s">
        <v>252</v>
      </c>
      <c r="E473" s="1">
        <v>2</v>
      </c>
      <c r="F473" s="1" t="s">
        <v>142</v>
      </c>
      <c r="G473" s="1" t="s">
        <v>439</v>
      </c>
      <c r="H473" s="1" t="s">
        <v>470</v>
      </c>
      <c r="I473" s="1" t="s">
        <v>474</v>
      </c>
    </row>
    <row r="474" spans="1:9" ht="25" customHeight="1">
      <c r="A474" s="1"/>
      <c r="B474" s="1" t="s">
        <v>106</v>
      </c>
      <c r="C474" s="1" t="s">
        <v>55</v>
      </c>
      <c r="D474" s="1" t="s">
        <v>245</v>
      </c>
      <c r="E474" s="1">
        <v>-3</v>
      </c>
      <c r="F474" s="1" t="s">
        <v>142</v>
      </c>
      <c r="G474" s="1" t="s">
        <v>441</v>
      </c>
      <c r="H474" s="1" t="s">
        <v>470</v>
      </c>
      <c r="I474" s="1" t="s">
        <v>475</v>
      </c>
    </row>
    <row r="475" spans="1:9" ht="25" customHeight="1">
      <c r="A475" s="1"/>
      <c r="B475" s="1" t="s">
        <v>106</v>
      </c>
      <c r="C475" s="1" t="s">
        <v>55</v>
      </c>
      <c r="D475" s="1" t="s">
        <v>75</v>
      </c>
      <c r="E475" s="1">
        <v>-3</v>
      </c>
      <c r="F475" s="1" t="s">
        <v>142</v>
      </c>
      <c r="G475" s="1" t="s">
        <v>441</v>
      </c>
      <c r="H475" s="1" t="s">
        <v>470</v>
      </c>
      <c r="I475" s="1" t="s">
        <v>475</v>
      </c>
    </row>
    <row r="476" spans="1:9" ht="25" customHeight="1">
      <c r="A476" s="1"/>
      <c r="B476" s="1" t="s">
        <v>106</v>
      </c>
      <c r="C476" s="1" t="s">
        <v>55</v>
      </c>
      <c r="D476" s="1" t="s">
        <v>249</v>
      </c>
      <c r="E476" s="1">
        <v>-2</v>
      </c>
      <c r="F476" s="1" t="s">
        <v>142</v>
      </c>
      <c r="G476" s="1" t="s">
        <v>441</v>
      </c>
      <c r="H476" s="1" t="s">
        <v>470</v>
      </c>
      <c r="I476" s="1" t="s">
        <v>475</v>
      </c>
    </row>
    <row r="477" spans="1:9" ht="25" customHeight="1">
      <c r="A477" s="1"/>
      <c r="B477" s="1" t="s">
        <v>106</v>
      </c>
      <c r="C477" s="1" t="s">
        <v>55</v>
      </c>
      <c r="D477" s="1" t="s">
        <v>79</v>
      </c>
      <c r="E477" s="1">
        <v>2</v>
      </c>
      <c r="F477" s="1" t="s">
        <v>142</v>
      </c>
      <c r="G477" s="1" t="s">
        <v>441</v>
      </c>
      <c r="H477" s="1" t="s">
        <v>470</v>
      </c>
      <c r="I477" s="1" t="s">
        <v>475</v>
      </c>
    </row>
    <row r="478" spans="1:9" ht="25" customHeight="1">
      <c r="A478" s="1"/>
      <c r="B478" s="1" t="s">
        <v>106</v>
      </c>
      <c r="C478" s="1" t="s">
        <v>55</v>
      </c>
      <c r="D478" s="1" t="s">
        <v>250</v>
      </c>
      <c r="E478" s="1">
        <v>1</v>
      </c>
      <c r="F478" s="1" t="s">
        <v>142</v>
      </c>
      <c r="G478" s="1" t="s">
        <v>441</v>
      </c>
      <c r="H478" s="1" t="s">
        <v>470</v>
      </c>
      <c r="I478" s="1" t="s">
        <v>475</v>
      </c>
    </row>
    <row r="479" spans="1:9" ht="25" customHeight="1">
      <c r="A479" s="1"/>
      <c r="B479" s="1" t="s">
        <v>106</v>
      </c>
      <c r="C479" s="1" t="s">
        <v>55</v>
      </c>
      <c r="D479" s="1" t="s">
        <v>251</v>
      </c>
      <c r="E479" s="1">
        <v>0</v>
      </c>
      <c r="F479" s="1" t="s">
        <v>142</v>
      </c>
      <c r="G479" s="1" t="s">
        <v>441</v>
      </c>
      <c r="H479" s="1" t="s">
        <v>470</v>
      </c>
      <c r="I479" s="1" t="s">
        <v>475</v>
      </c>
    </row>
    <row r="480" spans="1:9" ht="25" customHeight="1">
      <c r="A480" s="1"/>
      <c r="B480" s="1" t="s">
        <v>106</v>
      </c>
      <c r="C480" s="1" t="s">
        <v>55</v>
      </c>
      <c r="D480" s="1" t="s">
        <v>252</v>
      </c>
      <c r="E480" s="1">
        <v>-2</v>
      </c>
      <c r="F480" s="1" t="s">
        <v>142</v>
      </c>
      <c r="G480" s="1" t="s">
        <v>441</v>
      </c>
      <c r="H480" s="1" t="s">
        <v>470</v>
      </c>
      <c r="I480" s="1" t="s">
        <v>475</v>
      </c>
    </row>
    <row r="481" spans="1:9" ht="25" customHeight="1">
      <c r="A481" s="1"/>
      <c r="B481" s="1" t="s">
        <v>106</v>
      </c>
      <c r="C481" s="1" t="s">
        <v>134</v>
      </c>
      <c r="D481" s="1" t="s">
        <v>245</v>
      </c>
      <c r="E481" s="1">
        <v>0</v>
      </c>
      <c r="F481" s="1" t="s">
        <v>142</v>
      </c>
      <c r="G481" s="1" t="s">
        <v>443</v>
      </c>
      <c r="H481" s="1" t="s">
        <v>470</v>
      </c>
      <c r="I481" s="1" t="s">
        <v>476</v>
      </c>
    </row>
    <row r="482" spans="1:9" ht="25" customHeight="1">
      <c r="A482" s="1"/>
      <c r="B482" s="1" t="s">
        <v>106</v>
      </c>
      <c r="C482" s="1" t="s">
        <v>134</v>
      </c>
      <c r="D482" s="1" t="s">
        <v>75</v>
      </c>
      <c r="E482" s="1">
        <v>0</v>
      </c>
      <c r="F482" s="1" t="s">
        <v>142</v>
      </c>
      <c r="G482" s="1" t="s">
        <v>443</v>
      </c>
      <c r="H482" s="1" t="s">
        <v>470</v>
      </c>
      <c r="I482" s="1" t="s">
        <v>476</v>
      </c>
    </row>
    <row r="483" spans="1:9" ht="25" customHeight="1">
      <c r="A483" s="1"/>
      <c r="B483" s="1" t="s">
        <v>106</v>
      </c>
      <c r="C483" s="1" t="s">
        <v>134</v>
      </c>
      <c r="D483" s="1" t="s">
        <v>249</v>
      </c>
      <c r="E483" s="1">
        <v>-2</v>
      </c>
      <c r="F483" s="1" t="s">
        <v>142</v>
      </c>
      <c r="G483" s="1" t="s">
        <v>443</v>
      </c>
      <c r="H483" s="1" t="s">
        <v>470</v>
      </c>
      <c r="I483" s="1" t="s">
        <v>476</v>
      </c>
    </row>
    <row r="484" spans="1:9" ht="25" customHeight="1">
      <c r="A484" s="1"/>
      <c r="B484" s="1" t="s">
        <v>106</v>
      </c>
      <c r="C484" s="1" t="s">
        <v>134</v>
      </c>
      <c r="D484" s="1" t="s">
        <v>79</v>
      </c>
      <c r="E484" s="1">
        <v>3</v>
      </c>
      <c r="F484" s="1" t="s">
        <v>142</v>
      </c>
      <c r="G484" s="1" t="s">
        <v>443</v>
      </c>
      <c r="H484" s="1" t="s">
        <v>470</v>
      </c>
      <c r="I484" s="1" t="s">
        <v>476</v>
      </c>
    </row>
    <row r="485" spans="1:9" ht="25" customHeight="1">
      <c r="A485" s="1"/>
      <c r="B485" s="1" t="s">
        <v>106</v>
      </c>
      <c r="C485" s="1" t="s">
        <v>134</v>
      </c>
      <c r="D485" s="1" t="s">
        <v>250</v>
      </c>
      <c r="E485" s="1">
        <v>0</v>
      </c>
      <c r="F485" s="1" t="s">
        <v>142</v>
      </c>
      <c r="G485" s="1" t="s">
        <v>443</v>
      </c>
      <c r="H485" s="1" t="s">
        <v>470</v>
      </c>
      <c r="I485" s="1" t="s">
        <v>476</v>
      </c>
    </row>
    <row r="486" spans="1:9" ht="25" customHeight="1">
      <c r="A486" s="1"/>
      <c r="B486" s="1" t="s">
        <v>106</v>
      </c>
      <c r="C486" s="1" t="s">
        <v>134</v>
      </c>
      <c r="D486" s="1" t="s">
        <v>251</v>
      </c>
      <c r="E486" s="1">
        <v>0</v>
      </c>
      <c r="F486" s="1" t="s">
        <v>142</v>
      </c>
      <c r="G486" s="1" t="s">
        <v>443</v>
      </c>
      <c r="H486" s="1" t="s">
        <v>470</v>
      </c>
      <c r="I486" s="1" t="s">
        <v>476</v>
      </c>
    </row>
    <row r="487" spans="1:9" ht="25" customHeight="1">
      <c r="A487" s="1"/>
      <c r="B487" s="1" t="s">
        <v>106</v>
      </c>
      <c r="C487" s="1" t="s">
        <v>134</v>
      </c>
      <c r="D487" s="1" t="s">
        <v>252</v>
      </c>
      <c r="E487" s="1">
        <v>1</v>
      </c>
      <c r="F487" s="1" t="s">
        <v>142</v>
      </c>
      <c r="G487" s="1" t="s">
        <v>443</v>
      </c>
      <c r="H487" s="1" t="s">
        <v>470</v>
      </c>
      <c r="I487" s="1" t="s">
        <v>476</v>
      </c>
    </row>
    <row r="488" spans="1:9" ht="25" customHeight="1">
      <c r="A488" s="1"/>
      <c r="B488" s="1" t="s">
        <v>106</v>
      </c>
      <c r="C488" s="1" t="s">
        <v>34</v>
      </c>
      <c r="D488" s="1" t="s">
        <v>263</v>
      </c>
      <c r="E488" s="1">
        <v>3550</v>
      </c>
      <c r="F488" s="1" t="s">
        <v>142</v>
      </c>
      <c r="G488" s="1" t="s">
        <v>280</v>
      </c>
      <c r="H488" s="1" t="s">
        <v>470</v>
      </c>
      <c r="I488" s="1" t="s">
        <v>477</v>
      </c>
    </row>
    <row r="489" spans="1:9" ht="25" customHeight="1">
      <c r="A489" s="1"/>
      <c r="B489" s="1" t="s">
        <v>106</v>
      </c>
      <c r="C489" s="1" t="s">
        <v>43</v>
      </c>
      <c r="D489" s="1" t="s">
        <v>263</v>
      </c>
      <c r="E489" s="1">
        <v>1539</v>
      </c>
      <c r="F489" s="1" t="s">
        <v>142</v>
      </c>
      <c r="G489" s="1" t="s">
        <v>282</v>
      </c>
      <c r="H489" s="1" t="s">
        <v>470</v>
      </c>
      <c r="I489" s="1" t="s">
        <v>478</v>
      </c>
    </row>
    <row r="490" spans="1:9" ht="25" customHeight="1">
      <c r="A490" s="1"/>
      <c r="B490" s="1" t="s">
        <v>106</v>
      </c>
      <c r="C490" s="1" t="s">
        <v>45</v>
      </c>
      <c r="D490" s="1" t="s">
        <v>263</v>
      </c>
      <c r="E490" s="1">
        <v>2873</v>
      </c>
      <c r="F490" s="1" t="s">
        <v>142</v>
      </c>
      <c r="G490" s="1" t="s">
        <v>284</v>
      </c>
      <c r="H490" s="1" t="s">
        <v>470</v>
      </c>
      <c r="I490" s="1" t="s">
        <v>479</v>
      </c>
    </row>
    <row r="491" spans="1:9" ht="25" customHeight="1">
      <c r="A491" s="1"/>
      <c r="B491" s="1" t="s">
        <v>106</v>
      </c>
      <c r="C491" s="1" t="s">
        <v>50</v>
      </c>
      <c r="D491" s="1" t="s">
        <v>263</v>
      </c>
      <c r="E491" s="1">
        <v>7169</v>
      </c>
      <c r="F491" s="1" t="s">
        <v>142</v>
      </c>
      <c r="G491" s="1" t="s">
        <v>286</v>
      </c>
      <c r="H491" s="1" t="s">
        <v>470</v>
      </c>
      <c r="I491" s="1" t="s">
        <v>480</v>
      </c>
    </row>
    <row r="492" spans="1:9" ht="25" customHeight="1">
      <c r="A492" s="1"/>
      <c r="B492" s="1" t="s">
        <v>106</v>
      </c>
      <c r="C492" s="1" t="s">
        <v>55</v>
      </c>
      <c r="D492" s="1" t="s">
        <v>263</v>
      </c>
      <c r="E492" s="1">
        <v>4936</v>
      </c>
      <c r="F492" s="1" t="s">
        <v>142</v>
      </c>
      <c r="G492" s="1" t="s">
        <v>288</v>
      </c>
      <c r="H492" s="1" t="s">
        <v>470</v>
      </c>
      <c r="I492" s="1" t="s">
        <v>481</v>
      </c>
    </row>
    <row r="493" spans="1:9" ht="25" customHeight="1">
      <c r="A493" s="1"/>
      <c r="B493" s="1" t="s">
        <v>106</v>
      </c>
      <c r="C493" s="1" t="s">
        <v>133</v>
      </c>
      <c r="D493" s="1" t="s">
        <v>263</v>
      </c>
      <c r="E493" s="1">
        <v>128</v>
      </c>
      <c r="F493" s="1" t="s">
        <v>142</v>
      </c>
      <c r="G493" s="1" t="s">
        <v>482</v>
      </c>
      <c r="H493" s="1" t="s">
        <v>470</v>
      </c>
      <c r="I493" s="1" t="s">
        <v>483</v>
      </c>
    </row>
    <row r="494" spans="1:9" ht="25" customHeight="1">
      <c r="A494" s="1"/>
      <c r="B494" s="1" t="s">
        <v>106</v>
      </c>
      <c r="C494" s="1" t="s">
        <v>134</v>
      </c>
      <c r="D494" s="1" t="s">
        <v>263</v>
      </c>
      <c r="E494" s="1">
        <v>20195</v>
      </c>
      <c r="F494" s="1" t="s">
        <v>142</v>
      </c>
      <c r="G494" s="1" t="s">
        <v>484</v>
      </c>
      <c r="H494" s="1" t="s">
        <v>470</v>
      </c>
      <c r="I494" s="1" t="s">
        <v>485</v>
      </c>
    </row>
    <row r="495" spans="1:9" ht="25" customHeight="1">
      <c r="A495" s="1"/>
      <c r="B495" s="1" t="s">
        <v>106</v>
      </c>
      <c r="C495" s="1" t="s">
        <v>34</v>
      </c>
      <c r="D495" s="1" t="s">
        <v>81</v>
      </c>
      <c r="E495" s="1">
        <v>3</v>
      </c>
      <c r="F495" s="1" t="s">
        <v>142</v>
      </c>
      <c r="G495" s="1" t="s">
        <v>486</v>
      </c>
      <c r="H495" s="1" t="s">
        <v>470</v>
      </c>
      <c r="I495" s="1" t="s">
        <v>487</v>
      </c>
    </row>
    <row r="496" spans="1:9" ht="25" customHeight="1">
      <c r="A496" s="1"/>
      <c r="B496" s="1" t="s">
        <v>106</v>
      </c>
      <c r="C496" s="1" t="s">
        <v>43</v>
      </c>
      <c r="D496" s="1" t="s">
        <v>81</v>
      </c>
      <c r="E496" s="1">
        <v>10</v>
      </c>
      <c r="F496" s="1" t="s">
        <v>142</v>
      </c>
      <c r="G496" s="1" t="s">
        <v>445</v>
      </c>
      <c r="H496" s="1" t="s">
        <v>470</v>
      </c>
      <c r="I496" s="1" t="s">
        <v>488</v>
      </c>
    </row>
    <row r="497" spans="1:9" ht="25" customHeight="1">
      <c r="A497" s="1"/>
      <c r="B497" s="1" t="s">
        <v>106</v>
      </c>
      <c r="C497" s="1" t="s">
        <v>45</v>
      </c>
      <c r="D497" s="1" t="s">
        <v>81</v>
      </c>
      <c r="E497" s="1">
        <v>2</v>
      </c>
      <c r="F497" s="1" t="s">
        <v>142</v>
      </c>
      <c r="G497" s="1" t="s">
        <v>447</v>
      </c>
      <c r="H497" s="1" t="s">
        <v>470</v>
      </c>
      <c r="I497" s="1" t="s">
        <v>489</v>
      </c>
    </row>
    <row r="498" spans="1:9" ht="25" customHeight="1">
      <c r="A498" s="1"/>
      <c r="B498" s="1" t="s">
        <v>106</v>
      </c>
      <c r="C498" s="1" t="s">
        <v>50</v>
      </c>
      <c r="D498" s="1" t="s">
        <v>81</v>
      </c>
      <c r="E498" s="1">
        <v>3</v>
      </c>
      <c r="F498" s="1" t="s">
        <v>142</v>
      </c>
      <c r="G498" s="1" t="s">
        <v>449</v>
      </c>
      <c r="H498" s="1" t="s">
        <v>470</v>
      </c>
      <c r="I498" s="1" t="s">
        <v>490</v>
      </c>
    </row>
    <row r="499" spans="1:9" ht="25" customHeight="1">
      <c r="A499" s="1"/>
      <c r="B499" s="1" t="s">
        <v>106</v>
      </c>
      <c r="C499" s="1" t="s">
        <v>55</v>
      </c>
      <c r="D499" s="1" t="s">
        <v>81</v>
      </c>
      <c r="E499" s="1">
        <v>0</v>
      </c>
      <c r="F499" s="1" t="s">
        <v>142</v>
      </c>
      <c r="G499" s="1" t="s">
        <v>451</v>
      </c>
      <c r="H499" s="1" t="s">
        <v>470</v>
      </c>
      <c r="I499" s="1" t="s">
        <v>491</v>
      </c>
    </row>
    <row r="500" spans="1:9" ht="25" customHeight="1">
      <c r="A500" s="1"/>
      <c r="B500" s="1" t="s">
        <v>106</v>
      </c>
      <c r="C500" s="1" t="s">
        <v>134</v>
      </c>
      <c r="D500" s="1" t="s">
        <v>81</v>
      </c>
      <c r="E500" s="1">
        <v>3</v>
      </c>
      <c r="F500" s="1" t="s">
        <v>142</v>
      </c>
      <c r="G500" s="1" t="s">
        <v>453</v>
      </c>
      <c r="H500" s="1" t="s">
        <v>470</v>
      </c>
      <c r="I500" s="1" t="s">
        <v>492</v>
      </c>
    </row>
    <row r="501" spans="1:9" ht="25" customHeight="1">
      <c r="A501" s="1"/>
      <c r="B501" s="1" t="s">
        <v>107</v>
      </c>
      <c r="C501" s="1" t="s">
        <v>34</v>
      </c>
      <c r="D501" s="1" t="s">
        <v>245</v>
      </c>
      <c r="E501" s="1">
        <v>-1</v>
      </c>
      <c r="F501" s="1" t="s">
        <v>143</v>
      </c>
      <c r="G501" s="1" t="s">
        <v>290</v>
      </c>
      <c r="H501" s="1" t="s">
        <v>493</v>
      </c>
      <c r="I501" s="1" t="s">
        <v>494</v>
      </c>
    </row>
    <row r="502" spans="1:9" ht="25" customHeight="1">
      <c r="A502" s="1"/>
      <c r="B502" s="1" t="s">
        <v>107</v>
      </c>
      <c r="C502" s="1" t="s">
        <v>34</v>
      </c>
      <c r="D502" s="1" t="s">
        <v>249</v>
      </c>
      <c r="E502" s="1">
        <v>-3</v>
      </c>
      <c r="F502" s="1" t="s">
        <v>143</v>
      </c>
      <c r="G502" s="1" t="s">
        <v>290</v>
      </c>
      <c r="H502" s="1" t="s">
        <v>493</v>
      </c>
      <c r="I502" s="1" t="s">
        <v>494</v>
      </c>
    </row>
    <row r="503" spans="1:9" ht="25" customHeight="1">
      <c r="A503" s="1"/>
      <c r="B503" s="1" t="s">
        <v>107</v>
      </c>
      <c r="C503" s="1" t="s">
        <v>34</v>
      </c>
      <c r="D503" s="1" t="s">
        <v>79</v>
      </c>
      <c r="E503" s="1">
        <v>3</v>
      </c>
      <c r="F503" s="1" t="s">
        <v>143</v>
      </c>
      <c r="G503" s="1" t="s">
        <v>290</v>
      </c>
      <c r="H503" s="1" t="s">
        <v>493</v>
      </c>
      <c r="I503" s="1" t="s">
        <v>494</v>
      </c>
    </row>
    <row r="504" spans="1:9" ht="25" customHeight="1">
      <c r="A504" s="1"/>
      <c r="B504" s="1" t="s">
        <v>107</v>
      </c>
      <c r="C504" s="1" t="s">
        <v>34</v>
      </c>
      <c r="D504" s="1" t="s">
        <v>250</v>
      </c>
      <c r="E504" s="1">
        <v>0</v>
      </c>
      <c r="F504" s="1" t="s">
        <v>143</v>
      </c>
      <c r="G504" s="1" t="s">
        <v>290</v>
      </c>
      <c r="H504" s="1" t="s">
        <v>493</v>
      </c>
      <c r="I504" s="1" t="s">
        <v>494</v>
      </c>
    </row>
    <row r="505" spans="1:9" ht="25" customHeight="1">
      <c r="A505" s="1"/>
      <c r="B505" s="1" t="s">
        <v>107</v>
      </c>
      <c r="C505" s="1" t="s">
        <v>34</v>
      </c>
      <c r="D505" s="1" t="s">
        <v>251</v>
      </c>
      <c r="E505" s="1">
        <v>0</v>
      </c>
      <c r="F505" s="1" t="s">
        <v>143</v>
      </c>
      <c r="G505" s="1" t="s">
        <v>290</v>
      </c>
      <c r="H505" s="1" t="s">
        <v>493</v>
      </c>
      <c r="I505" s="1" t="s">
        <v>494</v>
      </c>
    </row>
    <row r="506" spans="1:9" ht="25" customHeight="1">
      <c r="A506" s="1"/>
      <c r="B506" s="1" t="s">
        <v>107</v>
      </c>
      <c r="C506" s="1" t="s">
        <v>34</v>
      </c>
      <c r="D506" s="1" t="s">
        <v>252</v>
      </c>
      <c r="E506" s="1">
        <v>-1</v>
      </c>
      <c r="F506" s="1" t="s">
        <v>143</v>
      </c>
      <c r="G506" s="1" t="s">
        <v>290</v>
      </c>
      <c r="H506" s="1" t="s">
        <v>493</v>
      </c>
      <c r="I506" s="1" t="s">
        <v>494</v>
      </c>
    </row>
    <row r="507" spans="1:9" ht="25" customHeight="1">
      <c r="A507" s="1"/>
      <c r="B507" s="1" t="s">
        <v>107</v>
      </c>
      <c r="C507" s="1" t="s">
        <v>34</v>
      </c>
      <c r="D507" s="1" t="s">
        <v>75</v>
      </c>
      <c r="E507" s="1">
        <v>1</v>
      </c>
      <c r="F507" s="1" t="s">
        <v>143</v>
      </c>
      <c r="G507" s="1" t="s">
        <v>290</v>
      </c>
      <c r="H507" s="1" t="s">
        <v>493</v>
      </c>
      <c r="I507" s="1" t="s">
        <v>494</v>
      </c>
    </row>
    <row r="508" spans="1:9" ht="25" customHeight="1">
      <c r="A508" s="1"/>
      <c r="B508" s="1" t="s">
        <v>107</v>
      </c>
      <c r="C508" s="1" t="s">
        <v>34</v>
      </c>
      <c r="D508" s="1" t="s">
        <v>81</v>
      </c>
      <c r="E508" s="1">
        <v>3</v>
      </c>
      <c r="F508" s="1" t="s">
        <v>143</v>
      </c>
      <c r="G508" s="1" t="s">
        <v>290</v>
      </c>
      <c r="H508" s="1" t="s">
        <v>493</v>
      </c>
      <c r="I508" s="1" t="s">
        <v>494</v>
      </c>
    </row>
    <row r="509" spans="1:9" ht="25" customHeight="1">
      <c r="A509" s="1"/>
      <c r="B509" s="1" t="s">
        <v>107</v>
      </c>
      <c r="C509" s="1" t="s">
        <v>43</v>
      </c>
      <c r="D509" s="1" t="s">
        <v>245</v>
      </c>
      <c r="E509" s="1">
        <v>2</v>
      </c>
      <c r="F509" s="1" t="s">
        <v>143</v>
      </c>
      <c r="G509" s="1" t="s">
        <v>293</v>
      </c>
      <c r="H509" s="1" t="s">
        <v>493</v>
      </c>
      <c r="I509" s="1" t="s">
        <v>495</v>
      </c>
    </row>
    <row r="510" spans="1:9" ht="25" customHeight="1">
      <c r="A510" s="1"/>
      <c r="B510" s="1" t="s">
        <v>107</v>
      </c>
      <c r="C510" s="1" t="s">
        <v>43</v>
      </c>
      <c r="D510" s="1" t="s">
        <v>249</v>
      </c>
      <c r="E510" s="1">
        <v>-7</v>
      </c>
      <c r="F510" s="1" t="s">
        <v>143</v>
      </c>
      <c r="G510" s="1" t="s">
        <v>293</v>
      </c>
      <c r="H510" s="1" t="s">
        <v>493</v>
      </c>
      <c r="I510" s="1" t="s">
        <v>495</v>
      </c>
    </row>
    <row r="511" spans="1:9" ht="25" customHeight="1">
      <c r="A511" s="1"/>
      <c r="B511" s="1" t="s">
        <v>107</v>
      </c>
      <c r="C511" s="1" t="s">
        <v>43</v>
      </c>
      <c r="D511" s="1" t="s">
        <v>79</v>
      </c>
      <c r="E511" s="1">
        <v>5</v>
      </c>
      <c r="F511" s="1" t="s">
        <v>143</v>
      </c>
      <c r="G511" s="1" t="s">
        <v>293</v>
      </c>
      <c r="H511" s="1" t="s">
        <v>493</v>
      </c>
      <c r="I511" s="1" t="s">
        <v>495</v>
      </c>
    </row>
    <row r="512" spans="1:9" ht="25" customHeight="1">
      <c r="A512" s="1"/>
      <c r="B512" s="1" t="s">
        <v>107</v>
      </c>
      <c r="C512" s="1" t="s">
        <v>43</v>
      </c>
      <c r="D512" s="1" t="s">
        <v>250</v>
      </c>
      <c r="E512" s="1">
        <v>0</v>
      </c>
      <c r="F512" s="1" t="s">
        <v>143</v>
      </c>
      <c r="G512" s="1" t="s">
        <v>293</v>
      </c>
      <c r="H512" s="1" t="s">
        <v>493</v>
      </c>
      <c r="I512" s="1" t="s">
        <v>495</v>
      </c>
    </row>
    <row r="513" spans="1:9" ht="25" customHeight="1">
      <c r="A513" s="1"/>
      <c r="B513" s="1" t="s">
        <v>107</v>
      </c>
      <c r="C513" s="1" t="s">
        <v>43</v>
      </c>
      <c r="D513" s="1" t="s">
        <v>251</v>
      </c>
      <c r="E513" s="1">
        <v>0</v>
      </c>
      <c r="F513" s="1" t="s">
        <v>143</v>
      </c>
      <c r="G513" s="1" t="s">
        <v>293</v>
      </c>
      <c r="H513" s="1" t="s">
        <v>493</v>
      </c>
      <c r="I513" s="1" t="s">
        <v>495</v>
      </c>
    </row>
    <row r="514" spans="1:9" ht="25" customHeight="1">
      <c r="A514" s="1"/>
      <c r="B514" s="1" t="s">
        <v>107</v>
      </c>
      <c r="C514" s="1" t="s">
        <v>43</v>
      </c>
      <c r="D514" s="1" t="s">
        <v>252</v>
      </c>
      <c r="E514" s="1">
        <v>0</v>
      </c>
      <c r="F514" s="1" t="s">
        <v>143</v>
      </c>
      <c r="G514" s="1" t="s">
        <v>293</v>
      </c>
      <c r="H514" s="1" t="s">
        <v>493</v>
      </c>
      <c r="I514" s="1" t="s">
        <v>495</v>
      </c>
    </row>
    <row r="515" spans="1:9" ht="25" customHeight="1">
      <c r="A515" s="1"/>
      <c r="B515" s="1" t="s">
        <v>107</v>
      </c>
      <c r="C515" s="1" t="s">
        <v>43</v>
      </c>
      <c r="D515" s="1" t="s">
        <v>75</v>
      </c>
      <c r="E515" s="1">
        <v>2</v>
      </c>
      <c r="F515" s="1" t="s">
        <v>143</v>
      </c>
      <c r="G515" s="1" t="s">
        <v>293</v>
      </c>
      <c r="H515" s="1" t="s">
        <v>493</v>
      </c>
      <c r="I515" s="1" t="s">
        <v>495</v>
      </c>
    </row>
    <row r="516" spans="1:9" ht="25" customHeight="1">
      <c r="A516" s="1"/>
      <c r="B516" s="1" t="s">
        <v>107</v>
      </c>
      <c r="C516" s="1" t="s">
        <v>43</v>
      </c>
      <c r="D516" s="1" t="s">
        <v>81</v>
      </c>
      <c r="E516" s="1">
        <v>7</v>
      </c>
      <c r="F516" s="1" t="s">
        <v>143</v>
      </c>
      <c r="G516" s="1" t="s">
        <v>293</v>
      </c>
      <c r="H516" s="1" t="s">
        <v>493</v>
      </c>
      <c r="I516" s="1" t="s">
        <v>495</v>
      </c>
    </row>
    <row r="517" spans="1:9" ht="25" customHeight="1">
      <c r="A517" s="1"/>
      <c r="B517" s="1" t="s">
        <v>107</v>
      </c>
      <c r="C517" s="1" t="s">
        <v>45</v>
      </c>
      <c r="D517" s="1" t="s">
        <v>245</v>
      </c>
      <c r="E517" s="1">
        <v>2</v>
      </c>
      <c r="F517" s="1" t="s">
        <v>143</v>
      </c>
      <c r="G517" s="1" t="s">
        <v>295</v>
      </c>
      <c r="H517" s="1" t="s">
        <v>493</v>
      </c>
      <c r="I517" s="1" t="s">
        <v>496</v>
      </c>
    </row>
    <row r="518" spans="1:9" ht="25" customHeight="1">
      <c r="A518" s="1"/>
      <c r="B518" s="1" t="s">
        <v>107</v>
      </c>
      <c r="C518" s="1" t="s">
        <v>45</v>
      </c>
      <c r="D518" s="1" t="s">
        <v>249</v>
      </c>
      <c r="E518" s="1">
        <v>-1</v>
      </c>
      <c r="F518" s="1" t="s">
        <v>143</v>
      </c>
      <c r="G518" s="1" t="s">
        <v>295</v>
      </c>
      <c r="H518" s="1" t="s">
        <v>493</v>
      </c>
      <c r="I518" s="1" t="s">
        <v>496</v>
      </c>
    </row>
    <row r="519" spans="1:9" ht="25" customHeight="1">
      <c r="A519" s="1"/>
      <c r="B519" s="1" t="s">
        <v>107</v>
      </c>
      <c r="C519" s="1" t="s">
        <v>45</v>
      </c>
      <c r="D519" s="1" t="s">
        <v>79</v>
      </c>
      <c r="E519" s="1">
        <v>2</v>
      </c>
      <c r="F519" s="1" t="s">
        <v>143</v>
      </c>
      <c r="G519" s="1" t="s">
        <v>295</v>
      </c>
      <c r="H519" s="1" t="s">
        <v>493</v>
      </c>
      <c r="I519" s="1" t="s">
        <v>496</v>
      </c>
    </row>
    <row r="520" spans="1:9" ht="25" customHeight="1">
      <c r="A520" s="1"/>
      <c r="B520" s="1" t="s">
        <v>107</v>
      </c>
      <c r="C520" s="1" t="s">
        <v>45</v>
      </c>
      <c r="D520" s="1" t="s">
        <v>250</v>
      </c>
      <c r="E520" s="1">
        <v>1</v>
      </c>
      <c r="F520" s="1" t="s">
        <v>143</v>
      </c>
      <c r="G520" s="1" t="s">
        <v>295</v>
      </c>
      <c r="H520" s="1" t="s">
        <v>493</v>
      </c>
      <c r="I520" s="1" t="s">
        <v>496</v>
      </c>
    </row>
    <row r="521" spans="1:9" ht="25" customHeight="1">
      <c r="A521" s="1"/>
      <c r="B521" s="1" t="s">
        <v>107</v>
      </c>
      <c r="C521" s="1" t="s">
        <v>45</v>
      </c>
      <c r="D521" s="1" t="s">
        <v>251</v>
      </c>
      <c r="E521" s="1">
        <v>-1</v>
      </c>
      <c r="F521" s="1" t="s">
        <v>143</v>
      </c>
      <c r="G521" s="1" t="s">
        <v>295</v>
      </c>
      <c r="H521" s="1" t="s">
        <v>493</v>
      </c>
      <c r="I521" s="1" t="s">
        <v>496</v>
      </c>
    </row>
    <row r="522" spans="1:9" ht="25" customHeight="1">
      <c r="A522" s="1"/>
      <c r="B522" s="1" t="s">
        <v>107</v>
      </c>
      <c r="C522" s="1" t="s">
        <v>45</v>
      </c>
      <c r="D522" s="1" t="s">
        <v>252</v>
      </c>
      <c r="E522" s="1">
        <v>3</v>
      </c>
      <c r="F522" s="1" t="s">
        <v>143</v>
      </c>
      <c r="G522" s="1" t="s">
        <v>295</v>
      </c>
      <c r="H522" s="1" t="s">
        <v>493</v>
      </c>
      <c r="I522" s="1" t="s">
        <v>496</v>
      </c>
    </row>
    <row r="523" spans="1:9" ht="25" customHeight="1">
      <c r="A523" s="1"/>
      <c r="B523" s="1" t="s">
        <v>107</v>
      </c>
      <c r="C523" s="1" t="s">
        <v>45</v>
      </c>
      <c r="D523" s="1" t="s">
        <v>75</v>
      </c>
      <c r="E523" s="1">
        <v>1</v>
      </c>
      <c r="F523" s="1" t="s">
        <v>143</v>
      </c>
      <c r="G523" s="1" t="s">
        <v>295</v>
      </c>
      <c r="H523" s="1" t="s">
        <v>493</v>
      </c>
      <c r="I523" s="1" t="s">
        <v>496</v>
      </c>
    </row>
    <row r="524" spans="1:9" ht="25" customHeight="1">
      <c r="A524" s="1"/>
      <c r="B524" s="1" t="s">
        <v>107</v>
      </c>
      <c r="C524" s="1" t="s">
        <v>45</v>
      </c>
      <c r="D524" s="1" t="s">
        <v>81</v>
      </c>
      <c r="E524" s="1">
        <v>4</v>
      </c>
      <c r="F524" s="1" t="s">
        <v>143</v>
      </c>
      <c r="G524" s="1" t="s">
        <v>295</v>
      </c>
      <c r="H524" s="1" t="s">
        <v>493</v>
      </c>
      <c r="I524" s="1" t="s">
        <v>496</v>
      </c>
    </row>
    <row r="525" spans="1:9" ht="25" customHeight="1">
      <c r="A525" s="1"/>
      <c r="B525" s="1" t="s">
        <v>107</v>
      </c>
      <c r="C525" s="1" t="s">
        <v>50</v>
      </c>
      <c r="D525" s="1" t="s">
        <v>245</v>
      </c>
      <c r="E525" s="1">
        <v>2</v>
      </c>
      <c r="F525" s="1" t="s">
        <v>143</v>
      </c>
      <c r="G525" s="1" t="s">
        <v>297</v>
      </c>
      <c r="H525" s="1" t="s">
        <v>493</v>
      </c>
      <c r="I525" s="1" t="s">
        <v>497</v>
      </c>
    </row>
    <row r="526" spans="1:9" ht="25" customHeight="1">
      <c r="A526" s="1"/>
      <c r="B526" s="1" t="s">
        <v>107</v>
      </c>
      <c r="C526" s="1" t="s">
        <v>50</v>
      </c>
      <c r="D526" s="1" t="s">
        <v>249</v>
      </c>
      <c r="E526" s="1">
        <v>-1</v>
      </c>
      <c r="F526" s="1" t="s">
        <v>143</v>
      </c>
      <c r="G526" s="1" t="s">
        <v>297</v>
      </c>
      <c r="H526" s="1" t="s">
        <v>493</v>
      </c>
      <c r="I526" s="1" t="s">
        <v>497</v>
      </c>
    </row>
    <row r="527" spans="1:9" ht="25" customHeight="1">
      <c r="A527" s="1"/>
      <c r="B527" s="1" t="s">
        <v>107</v>
      </c>
      <c r="C527" s="1" t="s">
        <v>50</v>
      </c>
      <c r="D527" s="1" t="s">
        <v>79</v>
      </c>
      <c r="E527" s="1">
        <v>-1</v>
      </c>
      <c r="F527" s="1" t="s">
        <v>143</v>
      </c>
      <c r="G527" s="1" t="s">
        <v>297</v>
      </c>
      <c r="H527" s="1" t="s">
        <v>493</v>
      </c>
      <c r="I527" s="1" t="s">
        <v>497</v>
      </c>
    </row>
    <row r="528" spans="1:9" ht="25" customHeight="1">
      <c r="A528" s="1"/>
      <c r="B528" s="1" t="s">
        <v>107</v>
      </c>
      <c r="C528" s="1" t="s">
        <v>50</v>
      </c>
      <c r="D528" s="1" t="s">
        <v>250</v>
      </c>
      <c r="E528" s="1">
        <v>1</v>
      </c>
      <c r="F528" s="1" t="s">
        <v>143</v>
      </c>
      <c r="G528" s="1" t="s">
        <v>297</v>
      </c>
      <c r="H528" s="1" t="s">
        <v>493</v>
      </c>
      <c r="I528" s="1" t="s">
        <v>497</v>
      </c>
    </row>
    <row r="529" spans="1:9" ht="25" customHeight="1">
      <c r="A529" s="1"/>
      <c r="B529" s="1" t="s">
        <v>107</v>
      </c>
      <c r="C529" s="1" t="s">
        <v>50</v>
      </c>
      <c r="D529" s="1" t="s">
        <v>251</v>
      </c>
      <c r="E529" s="1">
        <v>-1</v>
      </c>
      <c r="F529" s="1" t="s">
        <v>143</v>
      </c>
      <c r="G529" s="1" t="s">
        <v>297</v>
      </c>
      <c r="H529" s="1" t="s">
        <v>493</v>
      </c>
      <c r="I529" s="1" t="s">
        <v>497</v>
      </c>
    </row>
    <row r="530" spans="1:9" ht="25" customHeight="1">
      <c r="A530" s="1"/>
      <c r="B530" s="1" t="s">
        <v>107</v>
      </c>
      <c r="C530" s="1" t="s">
        <v>50</v>
      </c>
      <c r="D530" s="1" t="s">
        <v>252</v>
      </c>
      <c r="E530" s="1">
        <v>0</v>
      </c>
      <c r="F530" s="1" t="s">
        <v>143</v>
      </c>
      <c r="G530" s="1" t="s">
        <v>297</v>
      </c>
      <c r="H530" s="1" t="s">
        <v>493</v>
      </c>
      <c r="I530" s="1" t="s">
        <v>497</v>
      </c>
    </row>
    <row r="531" spans="1:9" ht="25" customHeight="1">
      <c r="A531" s="1"/>
      <c r="B531" s="1" t="s">
        <v>107</v>
      </c>
      <c r="C531" s="1" t="s">
        <v>50</v>
      </c>
      <c r="D531" s="1" t="s">
        <v>75</v>
      </c>
      <c r="E531" s="1">
        <v>3</v>
      </c>
      <c r="F531" s="1" t="s">
        <v>143</v>
      </c>
      <c r="G531" s="1" t="s">
        <v>297</v>
      </c>
      <c r="H531" s="1" t="s">
        <v>493</v>
      </c>
      <c r="I531" s="1" t="s">
        <v>497</v>
      </c>
    </row>
    <row r="532" spans="1:9" ht="25" customHeight="1">
      <c r="A532" s="1"/>
      <c r="B532" s="1" t="s">
        <v>107</v>
      </c>
      <c r="C532" s="1" t="s">
        <v>50</v>
      </c>
      <c r="D532" s="1" t="s">
        <v>81</v>
      </c>
      <c r="E532" s="1">
        <v>2</v>
      </c>
      <c r="F532" s="1" t="s">
        <v>143</v>
      </c>
      <c r="G532" s="1" t="s">
        <v>297</v>
      </c>
      <c r="H532" s="1" t="s">
        <v>493</v>
      </c>
      <c r="I532" s="1" t="s">
        <v>497</v>
      </c>
    </row>
    <row r="533" spans="1:9" ht="25" customHeight="1">
      <c r="A533" s="1"/>
      <c r="B533" s="1" t="s">
        <v>107</v>
      </c>
      <c r="C533" s="1" t="s">
        <v>55</v>
      </c>
      <c r="D533" s="1" t="s">
        <v>245</v>
      </c>
      <c r="E533" s="1">
        <v>-1</v>
      </c>
      <c r="F533" s="1" t="s">
        <v>143</v>
      </c>
      <c r="G533" s="1" t="s">
        <v>299</v>
      </c>
      <c r="H533" s="1" t="s">
        <v>493</v>
      </c>
      <c r="I533" s="1" t="s">
        <v>498</v>
      </c>
    </row>
    <row r="534" spans="1:9" ht="25" customHeight="1">
      <c r="A534" s="1"/>
      <c r="B534" s="1" t="s">
        <v>107</v>
      </c>
      <c r="C534" s="1" t="s">
        <v>55</v>
      </c>
      <c r="D534" s="1" t="s">
        <v>249</v>
      </c>
      <c r="E534" s="1">
        <v>-2</v>
      </c>
      <c r="F534" s="1" t="s">
        <v>143</v>
      </c>
      <c r="G534" s="1" t="s">
        <v>299</v>
      </c>
      <c r="H534" s="1" t="s">
        <v>493</v>
      </c>
      <c r="I534" s="1" t="s">
        <v>498</v>
      </c>
    </row>
    <row r="535" spans="1:9" ht="25" customHeight="1">
      <c r="A535" s="1"/>
      <c r="B535" s="1" t="s">
        <v>107</v>
      </c>
      <c r="C535" s="1" t="s">
        <v>55</v>
      </c>
      <c r="D535" s="1" t="s">
        <v>79</v>
      </c>
      <c r="E535" s="1">
        <v>0</v>
      </c>
      <c r="F535" s="1" t="s">
        <v>143</v>
      </c>
      <c r="G535" s="1" t="s">
        <v>299</v>
      </c>
      <c r="H535" s="1" t="s">
        <v>493</v>
      </c>
      <c r="I535" s="1" t="s">
        <v>498</v>
      </c>
    </row>
    <row r="536" spans="1:9" ht="25" customHeight="1">
      <c r="A536" s="1"/>
      <c r="B536" s="1" t="s">
        <v>107</v>
      </c>
      <c r="C536" s="1" t="s">
        <v>55</v>
      </c>
      <c r="D536" s="1" t="s">
        <v>250</v>
      </c>
      <c r="E536" s="1">
        <v>0</v>
      </c>
      <c r="F536" s="1" t="s">
        <v>143</v>
      </c>
      <c r="G536" s="1" t="s">
        <v>299</v>
      </c>
      <c r="H536" s="1" t="s">
        <v>493</v>
      </c>
      <c r="I536" s="1" t="s">
        <v>498</v>
      </c>
    </row>
    <row r="537" spans="1:9" ht="25" customHeight="1">
      <c r="A537" s="1"/>
      <c r="B537" s="1" t="s">
        <v>107</v>
      </c>
      <c r="C537" s="1" t="s">
        <v>55</v>
      </c>
      <c r="D537" s="1" t="s">
        <v>251</v>
      </c>
      <c r="E537" s="1">
        <v>0</v>
      </c>
      <c r="F537" s="1" t="s">
        <v>143</v>
      </c>
      <c r="G537" s="1" t="s">
        <v>299</v>
      </c>
      <c r="H537" s="1" t="s">
        <v>493</v>
      </c>
      <c r="I537" s="1" t="s">
        <v>498</v>
      </c>
    </row>
    <row r="538" spans="1:9" ht="25" customHeight="1">
      <c r="A538" s="1"/>
      <c r="B538" s="1" t="s">
        <v>107</v>
      </c>
      <c r="C538" s="1" t="s">
        <v>55</v>
      </c>
      <c r="D538" s="1" t="s">
        <v>252</v>
      </c>
      <c r="E538" s="1">
        <v>-3</v>
      </c>
      <c r="F538" s="1" t="s">
        <v>143</v>
      </c>
      <c r="G538" s="1" t="s">
        <v>299</v>
      </c>
      <c r="H538" s="1" t="s">
        <v>493</v>
      </c>
      <c r="I538" s="1" t="s">
        <v>498</v>
      </c>
    </row>
    <row r="539" spans="1:9" ht="25" customHeight="1">
      <c r="A539" s="1"/>
      <c r="B539" s="1" t="s">
        <v>107</v>
      </c>
      <c r="C539" s="1" t="s">
        <v>55</v>
      </c>
      <c r="D539" s="1" t="s">
        <v>75</v>
      </c>
      <c r="E539" s="1">
        <v>-1</v>
      </c>
      <c r="F539" s="1" t="s">
        <v>143</v>
      </c>
      <c r="G539" s="1" t="s">
        <v>299</v>
      </c>
      <c r="H539" s="1" t="s">
        <v>493</v>
      </c>
      <c r="I539" s="1" t="s">
        <v>498</v>
      </c>
    </row>
    <row r="540" spans="1:9" ht="25" customHeight="1">
      <c r="A540" s="1"/>
      <c r="B540" s="1" t="s">
        <v>107</v>
      </c>
      <c r="C540" s="1" t="s">
        <v>55</v>
      </c>
      <c r="D540" s="1" t="s">
        <v>81</v>
      </c>
      <c r="E540" s="1">
        <v>-1</v>
      </c>
      <c r="F540" s="1" t="s">
        <v>143</v>
      </c>
      <c r="G540" s="1" t="s">
        <v>299</v>
      </c>
      <c r="H540" s="1" t="s">
        <v>493</v>
      </c>
      <c r="I540" s="1" t="s">
        <v>498</v>
      </c>
    </row>
    <row r="541" spans="1:9" ht="25" customHeight="1">
      <c r="A541" s="1"/>
      <c r="B541" s="1" t="s">
        <v>107</v>
      </c>
      <c r="C541" s="1" t="s">
        <v>134</v>
      </c>
      <c r="D541" s="1" t="s">
        <v>245</v>
      </c>
      <c r="E541" s="1">
        <v>1</v>
      </c>
      <c r="F541" s="1" t="s">
        <v>143</v>
      </c>
      <c r="G541" s="1" t="s">
        <v>301</v>
      </c>
      <c r="H541" s="1" t="s">
        <v>493</v>
      </c>
      <c r="I541" s="1" t="s">
        <v>499</v>
      </c>
    </row>
    <row r="542" spans="1:9" ht="25" customHeight="1">
      <c r="A542" s="1"/>
      <c r="B542" s="1" t="s">
        <v>107</v>
      </c>
      <c r="C542" s="1" t="s">
        <v>134</v>
      </c>
      <c r="D542" s="1" t="s">
        <v>249</v>
      </c>
      <c r="E542" s="1">
        <v>-2</v>
      </c>
      <c r="F542" s="1" t="s">
        <v>143</v>
      </c>
      <c r="G542" s="1" t="s">
        <v>301</v>
      </c>
      <c r="H542" s="1" t="s">
        <v>493</v>
      </c>
      <c r="I542" s="1" t="s">
        <v>499</v>
      </c>
    </row>
    <row r="543" spans="1:9" ht="25" customHeight="1">
      <c r="A543" s="1"/>
      <c r="B543" s="1" t="s">
        <v>107</v>
      </c>
      <c r="C543" s="1" t="s">
        <v>134</v>
      </c>
      <c r="D543" s="1" t="s">
        <v>79</v>
      </c>
      <c r="E543" s="1">
        <v>1</v>
      </c>
      <c r="F543" s="1" t="s">
        <v>143</v>
      </c>
      <c r="G543" s="1" t="s">
        <v>301</v>
      </c>
      <c r="H543" s="1" t="s">
        <v>493</v>
      </c>
      <c r="I543" s="1" t="s">
        <v>499</v>
      </c>
    </row>
    <row r="544" spans="1:9" ht="25" customHeight="1">
      <c r="A544" s="1"/>
      <c r="B544" s="1" t="s">
        <v>107</v>
      </c>
      <c r="C544" s="1" t="s">
        <v>134</v>
      </c>
      <c r="D544" s="1" t="s">
        <v>250</v>
      </c>
      <c r="E544" s="1">
        <v>0</v>
      </c>
      <c r="F544" s="1" t="s">
        <v>143</v>
      </c>
      <c r="G544" s="1" t="s">
        <v>301</v>
      </c>
      <c r="H544" s="1" t="s">
        <v>493</v>
      </c>
      <c r="I544" s="1" t="s">
        <v>499</v>
      </c>
    </row>
    <row r="545" spans="1:9" ht="25" customHeight="1">
      <c r="A545" s="1"/>
      <c r="B545" s="1" t="s">
        <v>107</v>
      </c>
      <c r="C545" s="1" t="s">
        <v>134</v>
      </c>
      <c r="D545" s="1" t="s">
        <v>251</v>
      </c>
      <c r="E545" s="1">
        <v>0</v>
      </c>
      <c r="F545" s="1" t="s">
        <v>143</v>
      </c>
      <c r="G545" s="1" t="s">
        <v>301</v>
      </c>
      <c r="H545" s="1" t="s">
        <v>493</v>
      </c>
      <c r="I545" s="1" t="s">
        <v>499</v>
      </c>
    </row>
    <row r="546" spans="1:9" ht="25" customHeight="1">
      <c r="A546" s="1"/>
      <c r="B546" s="1" t="s">
        <v>107</v>
      </c>
      <c r="C546" s="1" t="s">
        <v>134</v>
      </c>
      <c r="D546" s="1" t="s">
        <v>252</v>
      </c>
      <c r="E546" s="1">
        <v>0</v>
      </c>
      <c r="F546" s="1" t="s">
        <v>143</v>
      </c>
      <c r="G546" s="1" t="s">
        <v>301</v>
      </c>
      <c r="H546" s="1" t="s">
        <v>493</v>
      </c>
      <c r="I546" s="1" t="s">
        <v>499</v>
      </c>
    </row>
    <row r="547" spans="1:9" ht="25" customHeight="1">
      <c r="A547" s="1"/>
      <c r="B547" s="1" t="s">
        <v>107</v>
      </c>
      <c r="C547" s="1" t="s">
        <v>134</v>
      </c>
      <c r="D547" s="1" t="s">
        <v>75</v>
      </c>
      <c r="E547" s="1">
        <v>2</v>
      </c>
      <c r="F547" s="1" t="s">
        <v>143</v>
      </c>
      <c r="G547" s="1" t="s">
        <v>301</v>
      </c>
      <c r="H547" s="1" t="s">
        <v>493</v>
      </c>
      <c r="I547" s="1" t="s">
        <v>499</v>
      </c>
    </row>
    <row r="548" spans="1:9" ht="25" customHeight="1">
      <c r="A548" s="1"/>
      <c r="B548" s="1" t="s">
        <v>107</v>
      </c>
      <c r="C548" s="1" t="s">
        <v>134</v>
      </c>
      <c r="D548" s="1" t="s">
        <v>81</v>
      </c>
      <c r="E548" s="1">
        <v>2</v>
      </c>
      <c r="F548" s="1" t="s">
        <v>143</v>
      </c>
      <c r="G548" s="1" t="s">
        <v>301</v>
      </c>
      <c r="H548" s="1" t="s">
        <v>493</v>
      </c>
      <c r="I548" s="1" t="s">
        <v>499</v>
      </c>
    </row>
    <row r="549" spans="1:9" ht="25" customHeight="1">
      <c r="A549" s="1"/>
      <c r="B549" s="1" t="s">
        <v>107</v>
      </c>
      <c r="C549" s="1" t="s">
        <v>34</v>
      </c>
      <c r="D549" s="1" t="s">
        <v>263</v>
      </c>
      <c r="E549" s="1">
        <v>3724</v>
      </c>
      <c r="F549" s="1" t="s">
        <v>143</v>
      </c>
      <c r="G549" s="1" t="s">
        <v>303</v>
      </c>
      <c r="H549" s="1" t="s">
        <v>493</v>
      </c>
      <c r="I549" s="1" t="s">
        <v>500</v>
      </c>
    </row>
    <row r="550" spans="1:9" ht="25" customHeight="1">
      <c r="A550" s="1"/>
      <c r="B550" s="1" t="s">
        <v>107</v>
      </c>
      <c r="C550" s="1" t="s">
        <v>43</v>
      </c>
      <c r="D550" s="1" t="s">
        <v>263</v>
      </c>
      <c r="E550" s="1">
        <v>1657</v>
      </c>
      <c r="F550" s="1" t="s">
        <v>143</v>
      </c>
      <c r="G550" s="1" t="s">
        <v>305</v>
      </c>
      <c r="H550" s="1" t="s">
        <v>493</v>
      </c>
      <c r="I550" s="1" t="s">
        <v>501</v>
      </c>
    </row>
    <row r="551" spans="1:9" ht="25" customHeight="1">
      <c r="A551" s="1"/>
      <c r="B551" s="1" t="s">
        <v>107</v>
      </c>
      <c r="C551" s="1" t="s">
        <v>45</v>
      </c>
      <c r="D551" s="1" t="s">
        <v>263</v>
      </c>
      <c r="E551" s="1">
        <v>2674</v>
      </c>
      <c r="F551" s="1" t="s">
        <v>143</v>
      </c>
      <c r="G551" s="1" t="s">
        <v>307</v>
      </c>
      <c r="H551" s="1" t="s">
        <v>493</v>
      </c>
      <c r="I551" s="1" t="s">
        <v>502</v>
      </c>
    </row>
    <row r="552" spans="1:9" ht="25" customHeight="1">
      <c r="A552" s="1"/>
      <c r="B552" s="1" t="s">
        <v>107</v>
      </c>
      <c r="C552" s="1" t="s">
        <v>50</v>
      </c>
      <c r="D552" s="1" t="s">
        <v>263</v>
      </c>
      <c r="E552" s="1">
        <v>7265</v>
      </c>
      <c r="F552" s="1" t="s">
        <v>143</v>
      </c>
      <c r="G552" s="1" t="s">
        <v>309</v>
      </c>
      <c r="H552" s="1" t="s">
        <v>493</v>
      </c>
      <c r="I552" s="1" t="s">
        <v>503</v>
      </c>
    </row>
    <row r="553" spans="1:9" ht="25" customHeight="1">
      <c r="A553" s="1"/>
      <c r="B553" s="1" t="s">
        <v>107</v>
      </c>
      <c r="C553" s="1" t="s">
        <v>55</v>
      </c>
      <c r="D553" s="1" t="s">
        <v>263</v>
      </c>
      <c r="E553" s="1">
        <v>5009</v>
      </c>
      <c r="F553" s="1" t="s">
        <v>143</v>
      </c>
      <c r="G553" s="1" t="s">
        <v>311</v>
      </c>
      <c r="H553" s="1" t="s">
        <v>493</v>
      </c>
      <c r="I553" s="1" t="s">
        <v>504</v>
      </c>
    </row>
    <row r="554" spans="1:9" ht="25" customHeight="1">
      <c r="A554" s="1"/>
      <c r="B554" s="1" t="s">
        <v>107</v>
      </c>
      <c r="C554" s="1" t="s">
        <v>133</v>
      </c>
      <c r="D554" s="1" t="s">
        <v>263</v>
      </c>
      <c r="E554" s="1">
        <v>202</v>
      </c>
      <c r="F554" s="1" t="s">
        <v>143</v>
      </c>
      <c r="G554" s="1" t="s">
        <v>313</v>
      </c>
      <c r="H554" s="1" t="s">
        <v>493</v>
      </c>
      <c r="I554" s="1" t="s">
        <v>505</v>
      </c>
    </row>
    <row r="555" spans="1:9" ht="25" customHeight="1">
      <c r="A555" s="1"/>
      <c r="B555" s="1" t="s">
        <v>107</v>
      </c>
      <c r="C555" s="1" t="s">
        <v>134</v>
      </c>
      <c r="D555" s="1" t="s">
        <v>263</v>
      </c>
      <c r="E555" s="1">
        <v>20532</v>
      </c>
      <c r="F555" s="1" t="s">
        <v>143</v>
      </c>
      <c r="G555" s="1" t="s">
        <v>315</v>
      </c>
      <c r="H555" s="1" t="s">
        <v>493</v>
      </c>
      <c r="I555" s="1" t="s">
        <v>506</v>
      </c>
    </row>
    <row r="556" spans="1:9" ht="25" customHeight="1">
      <c r="A556" s="1"/>
      <c r="B556" s="1" t="s">
        <v>108</v>
      </c>
      <c r="C556" s="1" t="s">
        <v>34</v>
      </c>
      <c r="D556" s="1" t="s">
        <v>245</v>
      </c>
      <c r="E556" s="1">
        <v>-2</v>
      </c>
      <c r="F556" s="1" t="s">
        <v>144</v>
      </c>
      <c r="G556" s="1" t="s">
        <v>246</v>
      </c>
      <c r="H556" s="1" t="s">
        <v>507</v>
      </c>
      <c r="I556" s="1" t="s">
        <v>508</v>
      </c>
    </row>
    <row r="557" spans="1:9" ht="25" customHeight="1">
      <c r="A557" s="1"/>
      <c r="B557" s="1" t="s">
        <v>108</v>
      </c>
      <c r="C557" s="1" t="s">
        <v>34</v>
      </c>
      <c r="D557" s="1" t="s">
        <v>75</v>
      </c>
      <c r="E557" s="1">
        <v>0</v>
      </c>
      <c r="F557" s="1" t="s">
        <v>144</v>
      </c>
      <c r="G557" s="1" t="s">
        <v>246</v>
      </c>
      <c r="H557" s="1" t="s">
        <v>507</v>
      </c>
      <c r="I557" s="1" t="s">
        <v>508</v>
      </c>
    </row>
    <row r="558" spans="1:9" ht="25" customHeight="1">
      <c r="A558" s="1"/>
      <c r="B558" s="1" t="s">
        <v>108</v>
      </c>
      <c r="C558" s="1" t="s">
        <v>34</v>
      </c>
      <c r="D558" s="1" t="s">
        <v>249</v>
      </c>
      <c r="E558" s="1">
        <v>-1</v>
      </c>
      <c r="F558" s="1" t="s">
        <v>144</v>
      </c>
      <c r="G558" s="1" t="s">
        <v>246</v>
      </c>
      <c r="H558" s="1" t="s">
        <v>507</v>
      </c>
      <c r="I558" s="1" t="s">
        <v>508</v>
      </c>
    </row>
    <row r="559" spans="1:9" ht="25" customHeight="1">
      <c r="A559" s="1"/>
      <c r="B559" s="1" t="s">
        <v>108</v>
      </c>
      <c r="C559" s="1" t="s">
        <v>34</v>
      </c>
      <c r="D559" s="1" t="s">
        <v>79</v>
      </c>
      <c r="E559" s="1">
        <v>1</v>
      </c>
      <c r="F559" s="1" t="s">
        <v>144</v>
      </c>
      <c r="G559" s="1" t="s">
        <v>246</v>
      </c>
      <c r="H559" s="1" t="s">
        <v>507</v>
      </c>
      <c r="I559" s="1" t="s">
        <v>508</v>
      </c>
    </row>
    <row r="560" spans="1:9" ht="25" customHeight="1">
      <c r="A560" s="1"/>
      <c r="B560" s="1" t="s">
        <v>108</v>
      </c>
      <c r="C560" s="1" t="s">
        <v>34</v>
      </c>
      <c r="D560" s="1" t="s">
        <v>250</v>
      </c>
      <c r="E560" s="1">
        <v>-3</v>
      </c>
      <c r="F560" s="1" t="s">
        <v>144</v>
      </c>
      <c r="G560" s="1" t="s">
        <v>246</v>
      </c>
      <c r="H560" s="1" t="s">
        <v>507</v>
      </c>
      <c r="I560" s="1" t="s">
        <v>508</v>
      </c>
    </row>
    <row r="561" spans="1:9" ht="25" customHeight="1">
      <c r="A561" s="1"/>
      <c r="B561" s="1" t="s">
        <v>108</v>
      </c>
      <c r="C561" s="1" t="s">
        <v>34</v>
      </c>
      <c r="D561" s="1" t="s">
        <v>251</v>
      </c>
      <c r="E561" s="1">
        <v>0</v>
      </c>
      <c r="F561" s="1" t="s">
        <v>144</v>
      </c>
      <c r="G561" s="1" t="s">
        <v>246</v>
      </c>
      <c r="H561" s="1" t="s">
        <v>507</v>
      </c>
      <c r="I561" s="1" t="s">
        <v>508</v>
      </c>
    </row>
    <row r="562" spans="1:9" ht="25" customHeight="1">
      <c r="A562" s="1"/>
      <c r="B562" s="1" t="s">
        <v>108</v>
      </c>
      <c r="C562" s="1" t="s">
        <v>34</v>
      </c>
      <c r="D562" s="1" t="s">
        <v>252</v>
      </c>
      <c r="E562" s="1">
        <v>-5</v>
      </c>
      <c r="F562" s="1" t="s">
        <v>144</v>
      </c>
      <c r="G562" s="1" t="s">
        <v>246</v>
      </c>
      <c r="H562" s="1" t="s">
        <v>507</v>
      </c>
      <c r="I562" s="1" t="s">
        <v>508</v>
      </c>
    </row>
    <row r="563" spans="1:9" ht="25" customHeight="1">
      <c r="A563" s="1"/>
      <c r="B563" s="1" t="s">
        <v>108</v>
      </c>
      <c r="C563" s="1" t="s">
        <v>43</v>
      </c>
      <c r="D563" s="1" t="s">
        <v>245</v>
      </c>
      <c r="E563" s="1">
        <v>4</v>
      </c>
      <c r="F563" s="1" t="s">
        <v>144</v>
      </c>
      <c r="G563" s="1" t="s">
        <v>253</v>
      </c>
      <c r="H563" s="1" t="s">
        <v>507</v>
      </c>
      <c r="I563" s="1" t="s">
        <v>509</v>
      </c>
    </row>
    <row r="564" spans="1:9" ht="25" customHeight="1">
      <c r="A564" s="1"/>
      <c r="B564" s="1" t="s">
        <v>108</v>
      </c>
      <c r="C564" s="1" t="s">
        <v>43</v>
      </c>
      <c r="D564" s="1" t="s">
        <v>75</v>
      </c>
      <c r="E564" s="1">
        <v>5</v>
      </c>
      <c r="F564" s="1" t="s">
        <v>144</v>
      </c>
      <c r="G564" s="1" t="s">
        <v>253</v>
      </c>
      <c r="H564" s="1" t="s">
        <v>507</v>
      </c>
      <c r="I564" s="1" t="s">
        <v>509</v>
      </c>
    </row>
    <row r="565" spans="1:9" ht="25" customHeight="1">
      <c r="A565" s="1"/>
      <c r="B565" s="1" t="s">
        <v>108</v>
      </c>
      <c r="C565" s="1" t="s">
        <v>43</v>
      </c>
      <c r="D565" s="1" t="s">
        <v>249</v>
      </c>
      <c r="E565" s="1">
        <v>-2</v>
      </c>
      <c r="F565" s="1" t="s">
        <v>144</v>
      </c>
      <c r="G565" s="1" t="s">
        <v>253</v>
      </c>
      <c r="H565" s="1" t="s">
        <v>507</v>
      </c>
      <c r="I565" s="1" t="s">
        <v>509</v>
      </c>
    </row>
    <row r="566" spans="1:9" ht="25" customHeight="1">
      <c r="A566" s="1"/>
      <c r="B566" s="1" t="s">
        <v>108</v>
      </c>
      <c r="C566" s="1" t="s">
        <v>43</v>
      </c>
      <c r="D566" s="1" t="s">
        <v>79</v>
      </c>
      <c r="E566" s="1">
        <v>1</v>
      </c>
      <c r="F566" s="1" t="s">
        <v>144</v>
      </c>
      <c r="G566" s="1" t="s">
        <v>253</v>
      </c>
      <c r="H566" s="1" t="s">
        <v>507</v>
      </c>
      <c r="I566" s="1" t="s">
        <v>509</v>
      </c>
    </row>
    <row r="567" spans="1:9" ht="25" customHeight="1">
      <c r="A567" s="1"/>
      <c r="B567" s="1" t="s">
        <v>108</v>
      </c>
      <c r="C567" s="1" t="s">
        <v>43</v>
      </c>
      <c r="D567" s="1" t="s">
        <v>250</v>
      </c>
      <c r="E567" s="1">
        <v>-3</v>
      </c>
      <c r="F567" s="1" t="s">
        <v>144</v>
      </c>
      <c r="G567" s="1" t="s">
        <v>253</v>
      </c>
      <c r="H567" s="1" t="s">
        <v>507</v>
      </c>
      <c r="I567" s="1" t="s">
        <v>509</v>
      </c>
    </row>
    <row r="568" spans="1:9" ht="25" customHeight="1">
      <c r="A568" s="1"/>
      <c r="B568" s="1" t="s">
        <v>108</v>
      </c>
      <c r="C568" s="1" t="s">
        <v>43</v>
      </c>
      <c r="D568" s="1" t="s">
        <v>251</v>
      </c>
      <c r="E568" s="1">
        <v>0</v>
      </c>
      <c r="F568" s="1" t="s">
        <v>144</v>
      </c>
      <c r="G568" s="1" t="s">
        <v>253</v>
      </c>
      <c r="H568" s="1" t="s">
        <v>507</v>
      </c>
      <c r="I568" s="1" t="s">
        <v>509</v>
      </c>
    </row>
    <row r="569" spans="1:9" ht="25" customHeight="1">
      <c r="A569" s="1"/>
      <c r="B569" s="1" t="s">
        <v>108</v>
      </c>
      <c r="C569" s="1" t="s">
        <v>43</v>
      </c>
      <c r="D569" s="1" t="s">
        <v>252</v>
      </c>
      <c r="E569" s="1">
        <v>0</v>
      </c>
      <c r="F569" s="1" t="s">
        <v>144</v>
      </c>
      <c r="G569" s="1" t="s">
        <v>253</v>
      </c>
      <c r="H569" s="1" t="s">
        <v>507</v>
      </c>
      <c r="I569" s="1" t="s">
        <v>509</v>
      </c>
    </row>
    <row r="570" spans="1:9" ht="25" customHeight="1">
      <c r="A570" s="1"/>
      <c r="B570" s="1" t="s">
        <v>108</v>
      </c>
      <c r="C570" s="1" t="s">
        <v>45</v>
      </c>
      <c r="D570" s="1" t="s">
        <v>245</v>
      </c>
      <c r="E570" s="1">
        <v>-1</v>
      </c>
      <c r="F570" s="1" t="s">
        <v>144</v>
      </c>
      <c r="G570" s="1" t="s">
        <v>255</v>
      </c>
      <c r="H570" s="1" t="s">
        <v>507</v>
      </c>
      <c r="I570" s="1" t="s">
        <v>510</v>
      </c>
    </row>
    <row r="571" spans="1:9" ht="25" customHeight="1">
      <c r="A571" s="1"/>
      <c r="B571" s="1" t="s">
        <v>108</v>
      </c>
      <c r="C571" s="1" t="s">
        <v>45</v>
      </c>
      <c r="D571" s="1" t="s">
        <v>75</v>
      </c>
      <c r="E571" s="1">
        <v>-1</v>
      </c>
      <c r="F571" s="1" t="s">
        <v>144</v>
      </c>
      <c r="G571" s="1" t="s">
        <v>255</v>
      </c>
      <c r="H571" s="1" t="s">
        <v>507</v>
      </c>
      <c r="I571" s="1" t="s">
        <v>510</v>
      </c>
    </row>
    <row r="572" spans="1:9" ht="25" customHeight="1">
      <c r="A572" s="1"/>
      <c r="B572" s="1" t="s">
        <v>108</v>
      </c>
      <c r="C572" s="1" t="s">
        <v>45</v>
      </c>
      <c r="D572" s="1" t="s">
        <v>249</v>
      </c>
      <c r="E572" s="1">
        <v>-1</v>
      </c>
      <c r="F572" s="1" t="s">
        <v>144</v>
      </c>
      <c r="G572" s="1" t="s">
        <v>255</v>
      </c>
      <c r="H572" s="1" t="s">
        <v>507</v>
      </c>
      <c r="I572" s="1" t="s">
        <v>510</v>
      </c>
    </row>
    <row r="573" spans="1:9" ht="25" customHeight="1">
      <c r="A573" s="1"/>
      <c r="B573" s="1" t="s">
        <v>108</v>
      </c>
      <c r="C573" s="1" t="s">
        <v>45</v>
      </c>
      <c r="D573" s="1" t="s">
        <v>79</v>
      </c>
      <c r="E573" s="1">
        <v>1</v>
      </c>
      <c r="F573" s="1" t="s">
        <v>144</v>
      </c>
      <c r="G573" s="1" t="s">
        <v>255</v>
      </c>
      <c r="H573" s="1" t="s">
        <v>507</v>
      </c>
      <c r="I573" s="1" t="s">
        <v>510</v>
      </c>
    </row>
    <row r="574" spans="1:9" ht="25" customHeight="1">
      <c r="A574" s="1"/>
      <c r="B574" s="1" t="s">
        <v>108</v>
      </c>
      <c r="C574" s="1" t="s">
        <v>45</v>
      </c>
      <c r="D574" s="1" t="s">
        <v>250</v>
      </c>
      <c r="E574" s="1">
        <v>4</v>
      </c>
      <c r="F574" s="1" t="s">
        <v>144</v>
      </c>
      <c r="G574" s="1" t="s">
        <v>255</v>
      </c>
      <c r="H574" s="1" t="s">
        <v>507</v>
      </c>
      <c r="I574" s="1" t="s">
        <v>510</v>
      </c>
    </row>
    <row r="575" spans="1:9" ht="25" customHeight="1">
      <c r="A575" s="1"/>
      <c r="B575" s="1" t="s">
        <v>108</v>
      </c>
      <c r="C575" s="1" t="s">
        <v>45</v>
      </c>
      <c r="D575" s="1" t="s">
        <v>251</v>
      </c>
      <c r="E575" s="1">
        <v>-1</v>
      </c>
      <c r="F575" s="1" t="s">
        <v>144</v>
      </c>
      <c r="G575" s="1" t="s">
        <v>255</v>
      </c>
      <c r="H575" s="1" t="s">
        <v>507</v>
      </c>
      <c r="I575" s="1" t="s">
        <v>510</v>
      </c>
    </row>
    <row r="576" spans="1:9" ht="25" customHeight="1">
      <c r="A576" s="1"/>
      <c r="B576" s="1" t="s">
        <v>108</v>
      </c>
      <c r="C576" s="1" t="s">
        <v>45</v>
      </c>
      <c r="D576" s="1" t="s">
        <v>252</v>
      </c>
      <c r="E576" s="1">
        <v>2</v>
      </c>
      <c r="F576" s="1" t="s">
        <v>144</v>
      </c>
      <c r="G576" s="1" t="s">
        <v>255</v>
      </c>
      <c r="H576" s="1" t="s">
        <v>507</v>
      </c>
      <c r="I576" s="1" t="s">
        <v>510</v>
      </c>
    </row>
    <row r="577" spans="1:9" ht="25" customHeight="1">
      <c r="A577" s="1"/>
      <c r="B577" s="1" t="s">
        <v>108</v>
      </c>
      <c r="C577" s="1" t="s">
        <v>50</v>
      </c>
      <c r="D577" s="1" t="s">
        <v>245</v>
      </c>
      <c r="E577" s="1">
        <v>1</v>
      </c>
      <c r="F577" s="1" t="s">
        <v>144</v>
      </c>
      <c r="G577" s="1" t="s">
        <v>257</v>
      </c>
      <c r="H577" s="1" t="s">
        <v>507</v>
      </c>
      <c r="I577" s="1" t="s">
        <v>511</v>
      </c>
    </row>
    <row r="578" spans="1:9" ht="25" customHeight="1">
      <c r="A578" s="1"/>
      <c r="B578" s="1" t="s">
        <v>108</v>
      </c>
      <c r="C578" s="1" t="s">
        <v>50</v>
      </c>
      <c r="D578" s="1" t="s">
        <v>75</v>
      </c>
      <c r="E578" s="1">
        <v>1</v>
      </c>
      <c r="F578" s="1" t="s">
        <v>144</v>
      </c>
      <c r="G578" s="1" t="s">
        <v>257</v>
      </c>
      <c r="H578" s="1" t="s">
        <v>507</v>
      </c>
      <c r="I578" s="1" t="s">
        <v>511</v>
      </c>
    </row>
    <row r="579" spans="1:9" ht="25" customHeight="1">
      <c r="A579" s="1"/>
      <c r="B579" s="1" t="s">
        <v>108</v>
      </c>
      <c r="C579" s="1" t="s">
        <v>50</v>
      </c>
      <c r="D579" s="1" t="s">
        <v>249</v>
      </c>
      <c r="E579" s="1">
        <v>-1</v>
      </c>
      <c r="F579" s="1" t="s">
        <v>144</v>
      </c>
      <c r="G579" s="1" t="s">
        <v>257</v>
      </c>
      <c r="H579" s="1" t="s">
        <v>507</v>
      </c>
      <c r="I579" s="1" t="s">
        <v>511</v>
      </c>
    </row>
    <row r="580" spans="1:9" ht="25" customHeight="1">
      <c r="A580" s="1"/>
      <c r="B580" s="1" t="s">
        <v>108</v>
      </c>
      <c r="C580" s="1" t="s">
        <v>50</v>
      </c>
      <c r="D580" s="1" t="s">
        <v>79</v>
      </c>
      <c r="E580" s="1">
        <v>0</v>
      </c>
      <c r="F580" s="1" t="s">
        <v>144</v>
      </c>
      <c r="G580" s="1" t="s">
        <v>257</v>
      </c>
      <c r="H580" s="1" t="s">
        <v>507</v>
      </c>
      <c r="I580" s="1" t="s">
        <v>511</v>
      </c>
    </row>
    <row r="581" spans="1:9" ht="25" customHeight="1">
      <c r="A581" s="1"/>
      <c r="B581" s="1" t="s">
        <v>108</v>
      </c>
      <c r="C581" s="1" t="s">
        <v>50</v>
      </c>
      <c r="D581" s="1" t="s">
        <v>250</v>
      </c>
      <c r="E581" s="1">
        <v>1</v>
      </c>
      <c r="F581" s="1" t="s">
        <v>144</v>
      </c>
      <c r="G581" s="1" t="s">
        <v>257</v>
      </c>
      <c r="H581" s="1" t="s">
        <v>507</v>
      </c>
      <c r="I581" s="1" t="s">
        <v>511</v>
      </c>
    </row>
    <row r="582" spans="1:9" ht="25" customHeight="1">
      <c r="A582" s="1"/>
      <c r="B582" s="1" t="s">
        <v>108</v>
      </c>
      <c r="C582" s="1" t="s">
        <v>50</v>
      </c>
      <c r="D582" s="1" t="s">
        <v>251</v>
      </c>
      <c r="E582" s="1">
        <v>0</v>
      </c>
      <c r="F582" s="1" t="s">
        <v>144</v>
      </c>
      <c r="G582" s="1" t="s">
        <v>257</v>
      </c>
      <c r="H582" s="1" t="s">
        <v>507</v>
      </c>
      <c r="I582" s="1" t="s">
        <v>511</v>
      </c>
    </row>
    <row r="583" spans="1:9" ht="25" customHeight="1">
      <c r="A583" s="1"/>
      <c r="B583" s="1" t="s">
        <v>108</v>
      </c>
      <c r="C583" s="1" t="s">
        <v>50</v>
      </c>
      <c r="D583" s="1" t="s">
        <v>252</v>
      </c>
      <c r="E583" s="1">
        <v>1</v>
      </c>
      <c r="F583" s="1" t="s">
        <v>144</v>
      </c>
      <c r="G583" s="1" t="s">
        <v>257</v>
      </c>
      <c r="H583" s="1" t="s">
        <v>507</v>
      </c>
      <c r="I583" s="1" t="s">
        <v>511</v>
      </c>
    </row>
    <row r="584" spans="1:9" ht="25" customHeight="1">
      <c r="A584" s="1"/>
      <c r="B584" s="1" t="s">
        <v>108</v>
      </c>
      <c r="C584" s="1" t="s">
        <v>55</v>
      </c>
      <c r="D584" s="1" t="s">
        <v>245</v>
      </c>
      <c r="E584" s="1">
        <v>-1</v>
      </c>
      <c r="F584" s="1" t="s">
        <v>144</v>
      </c>
      <c r="G584" s="1" t="s">
        <v>259</v>
      </c>
      <c r="H584" s="1" t="s">
        <v>507</v>
      </c>
      <c r="I584" s="1" t="s">
        <v>512</v>
      </c>
    </row>
    <row r="585" spans="1:9" ht="25" customHeight="1">
      <c r="A585" s="1"/>
      <c r="B585" s="1" t="s">
        <v>108</v>
      </c>
      <c r="C585" s="1" t="s">
        <v>55</v>
      </c>
      <c r="D585" s="1" t="s">
        <v>75</v>
      </c>
      <c r="E585" s="1">
        <v>-1</v>
      </c>
      <c r="F585" s="1" t="s">
        <v>144</v>
      </c>
      <c r="G585" s="1" t="s">
        <v>259</v>
      </c>
      <c r="H585" s="1" t="s">
        <v>507</v>
      </c>
      <c r="I585" s="1" t="s">
        <v>512</v>
      </c>
    </row>
    <row r="586" spans="1:9" ht="25" customHeight="1">
      <c r="A586" s="1"/>
      <c r="B586" s="1" t="s">
        <v>108</v>
      </c>
      <c r="C586" s="1" t="s">
        <v>55</v>
      </c>
      <c r="D586" s="1" t="s">
        <v>249</v>
      </c>
      <c r="E586" s="1">
        <v>-1</v>
      </c>
      <c r="F586" s="1" t="s">
        <v>144</v>
      </c>
      <c r="G586" s="1" t="s">
        <v>259</v>
      </c>
      <c r="H586" s="1" t="s">
        <v>507</v>
      </c>
      <c r="I586" s="1" t="s">
        <v>512</v>
      </c>
    </row>
    <row r="587" spans="1:9" ht="25" customHeight="1">
      <c r="A587" s="1"/>
      <c r="B587" s="1" t="s">
        <v>108</v>
      </c>
      <c r="C587" s="1" t="s">
        <v>55</v>
      </c>
      <c r="D587" s="1" t="s">
        <v>79</v>
      </c>
      <c r="E587" s="1">
        <v>0</v>
      </c>
      <c r="F587" s="1" t="s">
        <v>144</v>
      </c>
      <c r="G587" s="1" t="s">
        <v>259</v>
      </c>
      <c r="H587" s="1" t="s">
        <v>507</v>
      </c>
      <c r="I587" s="1" t="s">
        <v>512</v>
      </c>
    </row>
    <row r="588" spans="1:9" ht="25" customHeight="1">
      <c r="A588" s="1"/>
      <c r="B588" s="1" t="s">
        <v>108</v>
      </c>
      <c r="C588" s="1" t="s">
        <v>55</v>
      </c>
      <c r="D588" s="1" t="s">
        <v>250</v>
      </c>
      <c r="E588" s="1">
        <v>0</v>
      </c>
      <c r="F588" s="1" t="s">
        <v>144</v>
      </c>
      <c r="G588" s="1" t="s">
        <v>259</v>
      </c>
      <c r="H588" s="1" t="s">
        <v>507</v>
      </c>
      <c r="I588" s="1" t="s">
        <v>512</v>
      </c>
    </row>
    <row r="589" spans="1:9" ht="25" customHeight="1">
      <c r="A589" s="1"/>
      <c r="B589" s="1" t="s">
        <v>108</v>
      </c>
      <c r="C589" s="1" t="s">
        <v>55</v>
      </c>
      <c r="D589" s="1" t="s">
        <v>251</v>
      </c>
      <c r="E589" s="1">
        <v>0</v>
      </c>
      <c r="F589" s="1" t="s">
        <v>144</v>
      </c>
      <c r="G589" s="1" t="s">
        <v>259</v>
      </c>
      <c r="H589" s="1" t="s">
        <v>507</v>
      </c>
      <c r="I589" s="1" t="s">
        <v>512</v>
      </c>
    </row>
    <row r="590" spans="1:9" ht="25" customHeight="1">
      <c r="A590" s="1"/>
      <c r="B590" s="1" t="s">
        <v>108</v>
      </c>
      <c r="C590" s="1" t="s">
        <v>55</v>
      </c>
      <c r="D590" s="1" t="s">
        <v>252</v>
      </c>
      <c r="E590" s="1">
        <v>-2</v>
      </c>
      <c r="F590" s="1" t="s">
        <v>144</v>
      </c>
      <c r="G590" s="1" t="s">
        <v>259</v>
      </c>
      <c r="H590" s="1" t="s">
        <v>507</v>
      </c>
      <c r="I590" s="1" t="s">
        <v>512</v>
      </c>
    </row>
    <row r="591" spans="1:9" ht="25" customHeight="1">
      <c r="A591" s="1"/>
      <c r="B591" s="1" t="s">
        <v>108</v>
      </c>
      <c r="C591" s="1" t="s">
        <v>134</v>
      </c>
      <c r="D591" s="1" t="s">
        <v>245</v>
      </c>
      <c r="E591" s="1">
        <v>0</v>
      </c>
      <c r="F591" s="1" t="s">
        <v>144</v>
      </c>
      <c r="G591" s="1" t="s">
        <v>261</v>
      </c>
      <c r="H591" s="1" t="s">
        <v>507</v>
      </c>
      <c r="I591" s="1" t="s">
        <v>513</v>
      </c>
    </row>
    <row r="592" spans="1:9" ht="25" customHeight="1">
      <c r="A592" s="1"/>
      <c r="B592" s="1" t="s">
        <v>108</v>
      </c>
      <c r="C592" s="1" t="s">
        <v>134</v>
      </c>
      <c r="D592" s="1" t="s">
        <v>75</v>
      </c>
      <c r="E592" s="1">
        <v>1</v>
      </c>
      <c r="F592" s="1" t="s">
        <v>144</v>
      </c>
      <c r="G592" s="1" t="s">
        <v>261</v>
      </c>
      <c r="H592" s="1" t="s">
        <v>507</v>
      </c>
      <c r="I592" s="1" t="s">
        <v>513</v>
      </c>
    </row>
    <row r="593" spans="1:9" ht="25" customHeight="1">
      <c r="A593" s="1"/>
      <c r="B593" s="1" t="s">
        <v>108</v>
      </c>
      <c r="C593" s="1" t="s">
        <v>134</v>
      </c>
      <c r="D593" s="1" t="s">
        <v>249</v>
      </c>
      <c r="E593" s="1">
        <v>-1</v>
      </c>
      <c r="F593" s="1" t="s">
        <v>144</v>
      </c>
      <c r="G593" s="1" t="s">
        <v>261</v>
      </c>
      <c r="H593" s="1" t="s">
        <v>507</v>
      </c>
      <c r="I593" s="1" t="s">
        <v>513</v>
      </c>
    </row>
    <row r="594" spans="1:9" ht="25" customHeight="1">
      <c r="A594" s="1"/>
      <c r="B594" s="1" t="s">
        <v>108</v>
      </c>
      <c r="C594" s="1" t="s">
        <v>134</v>
      </c>
      <c r="D594" s="1" t="s">
        <v>79</v>
      </c>
      <c r="E594" s="1">
        <v>1</v>
      </c>
      <c r="F594" s="1" t="s">
        <v>144</v>
      </c>
      <c r="G594" s="1" t="s">
        <v>261</v>
      </c>
      <c r="H594" s="1" t="s">
        <v>507</v>
      </c>
      <c r="I594" s="1" t="s">
        <v>513</v>
      </c>
    </row>
    <row r="595" spans="1:9" ht="25" customHeight="1">
      <c r="A595" s="1"/>
      <c r="B595" s="1" t="s">
        <v>108</v>
      </c>
      <c r="C595" s="1" t="s">
        <v>134</v>
      </c>
      <c r="D595" s="1" t="s">
        <v>250</v>
      </c>
      <c r="E595" s="1">
        <v>0</v>
      </c>
      <c r="F595" s="1" t="s">
        <v>144</v>
      </c>
      <c r="G595" s="1" t="s">
        <v>261</v>
      </c>
      <c r="H595" s="1" t="s">
        <v>507</v>
      </c>
      <c r="I595" s="1" t="s">
        <v>513</v>
      </c>
    </row>
    <row r="596" spans="1:9" ht="25" customHeight="1">
      <c r="A596" s="1"/>
      <c r="B596" s="1" t="s">
        <v>108</v>
      </c>
      <c r="C596" s="1" t="s">
        <v>134</v>
      </c>
      <c r="D596" s="1" t="s">
        <v>251</v>
      </c>
      <c r="E596" s="1">
        <v>-1</v>
      </c>
      <c r="F596" s="1" t="s">
        <v>144</v>
      </c>
      <c r="G596" s="1" t="s">
        <v>261</v>
      </c>
      <c r="H596" s="1" t="s">
        <v>507</v>
      </c>
      <c r="I596" s="1" t="s">
        <v>513</v>
      </c>
    </row>
    <row r="597" spans="1:9" ht="25" customHeight="1">
      <c r="A597" s="1"/>
      <c r="B597" s="1" t="s">
        <v>108</v>
      </c>
      <c r="C597" s="1" t="s">
        <v>134</v>
      </c>
      <c r="D597" s="1" t="s">
        <v>252</v>
      </c>
      <c r="E597" s="1">
        <v>-1</v>
      </c>
      <c r="F597" s="1" t="s">
        <v>144</v>
      </c>
      <c r="G597" s="1" t="s">
        <v>261</v>
      </c>
      <c r="H597" s="1" t="s">
        <v>507</v>
      </c>
      <c r="I597" s="1" t="s">
        <v>513</v>
      </c>
    </row>
    <row r="598" spans="1:9" ht="25" customHeight="1">
      <c r="A598" s="1"/>
      <c r="B598" s="1" t="s">
        <v>108</v>
      </c>
      <c r="C598" s="1" t="s">
        <v>34</v>
      </c>
      <c r="D598" s="1" t="s">
        <v>263</v>
      </c>
      <c r="E598" s="1">
        <v>3892</v>
      </c>
      <c r="F598" s="1" t="s">
        <v>144</v>
      </c>
      <c r="G598" s="1" t="s">
        <v>422</v>
      </c>
      <c r="H598" s="1" t="s">
        <v>507</v>
      </c>
      <c r="I598" s="1" t="s">
        <v>514</v>
      </c>
    </row>
    <row r="599" spans="1:9" ht="25" customHeight="1">
      <c r="A599" s="1"/>
      <c r="B599" s="1" t="s">
        <v>108</v>
      </c>
      <c r="C599" s="1" t="s">
        <v>43</v>
      </c>
      <c r="D599" s="1" t="s">
        <v>263</v>
      </c>
      <c r="E599" s="1">
        <v>1723</v>
      </c>
      <c r="F599" s="1" t="s">
        <v>144</v>
      </c>
      <c r="G599" s="1" t="s">
        <v>424</v>
      </c>
      <c r="H599" s="1" t="s">
        <v>507</v>
      </c>
      <c r="I599" s="1" t="s">
        <v>515</v>
      </c>
    </row>
    <row r="600" spans="1:9" ht="25" customHeight="1">
      <c r="A600" s="1"/>
      <c r="B600" s="1" t="s">
        <v>108</v>
      </c>
      <c r="C600" s="1" t="s">
        <v>45</v>
      </c>
      <c r="D600" s="1" t="s">
        <v>263</v>
      </c>
      <c r="E600" s="1">
        <v>3147</v>
      </c>
      <c r="F600" s="1" t="s">
        <v>144</v>
      </c>
      <c r="G600" s="1" t="s">
        <v>426</v>
      </c>
      <c r="H600" s="1" t="s">
        <v>507</v>
      </c>
      <c r="I600" s="1" t="s">
        <v>516</v>
      </c>
    </row>
    <row r="601" spans="1:9" ht="25" customHeight="1">
      <c r="A601" s="1"/>
      <c r="B601" s="1" t="s">
        <v>108</v>
      </c>
      <c r="C601" s="1" t="s">
        <v>50</v>
      </c>
      <c r="D601" s="1" t="s">
        <v>263</v>
      </c>
      <c r="E601" s="1">
        <v>7710</v>
      </c>
      <c r="F601" s="1" t="s">
        <v>144</v>
      </c>
      <c r="G601" s="1" t="s">
        <v>428</v>
      </c>
      <c r="H601" s="1" t="s">
        <v>507</v>
      </c>
      <c r="I601" s="1" t="s">
        <v>517</v>
      </c>
    </row>
    <row r="602" spans="1:9" ht="25" customHeight="1">
      <c r="A602" s="1"/>
      <c r="B602" s="1" t="s">
        <v>108</v>
      </c>
      <c r="C602" s="1" t="s">
        <v>55</v>
      </c>
      <c r="D602" s="1" t="s">
        <v>263</v>
      </c>
      <c r="E602" s="1">
        <v>5102</v>
      </c>
      <c r="F602" s="1" t="s">
        <v>144</v>
      </c>
      <c r="G602" s="1" t="s">
        <v>430</v>
      </c>
      <c r="H602" s="1" t="s">
        <v>507</v>
      </c>
      <c r="I602" s="1" t="s">
        <v>518</v>
      </c>
    </row>
    <row r="603" spans="1:9" ht="25" customHeight="1">
      <c r="A603" s="1"/>
      <c r="B603" s="1" t="s">
        <v>108</v>
      </c>
      <c r="C603" s="1" t="s">
        <v>133</v>
      </c>
      <c r="D603" s="1" t="s">
        <v>263</v>
      </c>
      <c r="E603" s="1">
        <v>163</v>
      </c>
      <c r="F603" s="1" t="s">
        <v>144</v>
      </c>
      <c r="G603" s="1" t="s">
        <v>519</v>
      </c>
      <c r="H603" s="1" t="s">
        <v>507</v>
      </c>
      <c r="I603" s="1" t="s">
        <v>520</v>
      </c>
    </row>
    <row r="604" spans="1:9" ht="25" customHeight="1">
      <c r="A604" s="1"/>
      <c r="B604" s="1" t="s">
        <v>108</v>
      </c>
      <c r="C604" s="1" t="s">
        <v>134</v>
      </c>
      <c r="D604" s="1" t="s">
        <v>263</v>
      </c>
      <c r="E604" s="1">
        <v>21737</v>
      </c>
      <c r="F604" s="1" t="s">
        <v>144</v>
      </c>
      <c r="G604" s="1" t="s">
        <v>521</v>
      </c>
      <c r="H604" s="1" t="s">
        <v>507</v>
      </c>
      <c r="I604" s="1" t="s">
        <v>522</v>
      </c>
    </row>
    <row r="605" spans="1:9" ht="25" customHeight="1">
      <c r="A605" s="1"/>
      <c r="B605" s="1" t="s">
        <v>108</v>
      </c>
      <c r="C605" s="1" t="s">
        <v>34</v>
      </c>
      <c r="D605" s="1" t="s">
        <v>81</v>
      </c>
      <c r="E605" s="1">
        <v>-2</v>
      </c>
      <c r="F605" s="1" t="s">
        <v>144</v>
      </c>
      <c r="G605" s="1" t="s">
        <v>523</v>
      </c>
      <c r="H605" s="1" t="s">
        <v>507</v>
      </c>
      <c r="I605" s="1" t="s">
        <v>524</v>
      </c>
    </row>
    <row r="606" spans="1:9" ht="25" customHeight="1">
      <c r="A606" s="1"/>
      <c r="B606" s="1" t="s">
        <v>108</v>
      </c>
      <c r="C606" s="1" t="s">
        <v>43</v>
      </c>
      <c r="D606" s="1" t="s">
        <v>81</v>
      </c>
      <c r="E606" s="1">
        <v>3</v>
      </c>
      <c r="F606" s="1" t="s">
        <v>144</v>
      </c>
      <c r="G606" s="1" t="s">
        <v>432</v>
      </c>
      <c r="H606" s="1" t="s">
        <v>507</v>
      </c>
      <c r="I606" s="1" t="s">
        <v>525</v>
      </c>
    </row>
    <row r="607" spans="1:9" ht="25" customHeight="1">
      <c r="A607" s="1"/>
      <c r="B607" s="1" t="s">
        <v>108</v>
      </c>
      <c r="C607" s="1" t="s">
        <v>45</v>
      </c>
      <c r="D607" s="1" t="s">
        <v>81</v>
      </c>
      <c r="E607" s="1">
        <v>4</v>
      </c>
      <c r="F607" s="1" t="s">
        <v>144</v>
      </c>
      <c r="G607" s="1" t="s">
        <v>435</v>
      </c>
      <c r="H607" s="1" t="s">
        <v>507</v>
      </c>
      <c r="I607" s="1" t="s">
        <v>526</v>
      </c>
    </row>
    <row r="608" spans="1:9" ht="25" customHeight="1">
      <c r="A608" s="1"/>
      <c r="B608" s="1" t="s">
        <v>108</v>
      </c>
      <c r="C608" s="1" t="s">
        <v>50</v>
      </c>
      <c r="D608" s="1" t="s">
        <v>81</v>
      </c>
      <c r="E608" s="1">
        <v>3</v>
      </c>
      <c r="F608" s="1" t="s">
        <v>144</v>
      </c>
      <c r="G608" s="1" t="s">
        <v>437</v>
      </c>
      <c r="H608" s="1" t="s">
        <v>507</v>
      </c>
      <c r="I608" s="1" t="s">
        <v>527</v>
      </c>
    </row>
    <row r="609" spans="1:9" ht="25" customHeight="1">
      <c r="A609" s="1"/>
      <c r="B609" s="1" t="s">
        <v>108</v>
      </c>
      <c r="C609" s="1" t="s">
        <v>55</v>
      </c>
      <c r="D609" s="1" t="s">
        <v>81</v>
      </c>
      <c r="E609" s="1">
        <v>0</v>
      </c>
      <c r="F609" s="1" t="s">
        <v>144</v>
      </c>
      <c r="G609" s="1" t="s">
        <v>439</v>
      </c>
      <c r="H609" s="1" t="s">
        <v>507</v>
      </c>
      <c r="I609" s="1" t="s">
        <v>528</v>
      </c>
    </row>
    <row r="610" spans="1:9" ht="25" customHeight="1">
      <c r="A610" s="1"/>
      <c r="B610" s="1" t="s">
        <v>108</v>
      </c>
      <c r="C610" s="1" t="s">
        <v>134</v>
      </c>
      <c r="D610" s="1" t="s">
        <v>81</v>
      </c>
      <c r="E610" s="1">
        <v>2</v>
      </c>
      <c r="F610" s="1" t="s">
        <v>144</v>
      </c>
      <c r="G610" s="1" t="s">
        <v>441</v>
      </c>
      <c r="H610" s="1" t="s">
        <v>507</v>
      </c>
      <c r="I610" s="1" t="s">
        <v>529</v>
      </c>
    </row>
    <row r="611" spans="1:9" ht="25" customHeight="1">
      <c r="A611" s="1"/>
      <c r="B611" s="1" t="s">
        <v>109</v>
      </c>
      <c r="C611" s="1" t="s">
        <v>34</v>
      </c>
      <c r="D611" s="1" t="s">
        <v>245</v>
      </c>
      <c r="E611" s="1">
        <v>-1</v>
      </c>
      <c r="F611" s="1" t="s">
        <v>145</v>
      </c>
      <c r="G611" s="1" t="s">
        <v>432</v>
      </c>
      <c r="H611" s="1" t="s">
        <v>530</v>
      </c>
      <c r="I611" s="1" t="s">
        <v>531</v>
      </c>
    </row>
    <row r="612" spans="1:9" ht="25" customHeight="1">
      <c r="A612" s="1"/>
      <c r="B612" s="1" t="s">
        <v>109</v>
      </c>
      <c r="C612" s="1" t="s">
        <v>34</v>
      </c>
      <c r="D612" s="1" t="s">
        <v>75</v>
      </c>
      <c r="E612" s="1">
        <v>0</v>
      </c>
      <c r="F612" s="1" t="s">
        <v>145</v>
      </c>
      <c r="G612" s="1" t="s">
        <v>432</v>
      </c>
      <c r="H612" s="1" t="s">
        <v>530</v>
      </c>
      <c r="I612" s="1" t="s">
        <v>531</v>
      </c>
    </row>
    <row r="613" spans="1:9" ht="25" customHeight="1">
      <c r="A613" s="1"/>
      <c r="B613" s="1" t="s">
        <v>109</v>
      </c>
      <c r="C613" s="1" t="s">
        <v>34</v>
      </c>
      <c r="D613" s="1" t="s">
        <v>249</v>
      </c>
      <c r="E613" s="1">
        <v>-1</v>
      </c>
      <c r="F613" s="1" t="s">
        <v>145</v>
      </c>
      <c r="G613" s="1" t="s">
        <v>432</v>
      </c>
      <c r="H613" s="1" t="s">
        <v>530</v>
      </c>
      <c r="I613" s="1" t="s">
        <v>531</v>
      </c>
    </row>
    <row r="614" spans="1:9" ht="25" customHeight="1">
      <c r="A614" s="1"/>
      <c r="B614" s="1" t="s">
        <v>109</v>
      </c>
      <c r="C614" s="1" t="s">
        <v>34</v>
      </c>
      <c r="D614" s="1" t="s">
        <v>79</v>
      </c>
      <c r="E614" s="1">
        <v>2</v>
      </c>
      <c r="F614" s="1" t="s">
        <v>145</v>
      </c>
      <c r="G614" s="1" t="s">
        <v>432</v>
      </c>
      <c r="H614" s="1" t="s">
        <v>530</v>
      </c>
      <c r="I614" s="1" t="s">
        <v>531</v>
      </c>
    </row>
    <row r="615" spans="1:9" ht="25" customHeight="1">
      <c r="A615" s="1"/>
      <c r="B615" s="1" t="s">
        <v>109</v>
      </c>
      <c r="C615" s="1" t="s">
        <v>34</v>
      </c>
      <c r="D615" s="1" t="s">
        <v>250</v>
      </c>
      <c r="E615" s="1">
        <v>0</v>
      </c>
      <c r="F615" s="1" t="s">
        <v>145</v>
      </c>
      <c r="G615" s="1" t="s">
        <v>432</v>
      </c>
      <c r="H615" s="1" t="s">
        <v>530</v>
      </c>
      <c r="I615" s="1" t="s">
        <v>531</v>
      </c>
    </row>
    <row r="616" spans="1:9" ht="25" customHeight="1">
      <c r="A616" s="1"/>
      <c r="B616" s="1" t="s">
        <v>109</v>
      </c>
      <c r="C616" s="1" t="s">
        <v>34</v>
      </c>
      <c r="D616" s="1" t="s">
        <v>251</v>
      </c>
      <c r="E616" s="1">
        <v>0</v>
      </c>
      <c r="F616" s="1" t="s">
        <v>145</v>
      </c>
      <c r="G616" s="1" t="s">
        <v>432</v>
      </c>
      <c r="H616" s="1" t="s">
        <v>530</v>
      </c>
      <c r="I616" s="1" t="s">
        <v>531</v>
      </c>
    </row>
    <row r="617" spans="1:9" ht="25" customHeight="1">
      <c r="A617" s="1"/>
      <c r="B617" s="1" t="s">
        <v>109</v>
      </c>
      <c r="C617" s="1" t="s">
        <v>34</v>
      </c>
      <c r="D617" s="1" t="s">
        <v>252</v>
      </c>
      <c r="E617" s="1">
        <v>0</v>
      </c>
      <c r="F617" s="1" t="s">
        <v>145</v>
      </c>
      <c r="G617" s="1" t="s">
        <v>432</v>
      </c>
      <c r="H617" s="1" t="s">
        <v>530</v>
      </c>
      <c r="I617" s="1" t="s">
        <v>531</v>
      </c>
    </row>
    <row r="618" spans="1:9" ht="25" customHeight="1">
      <c r="A618" s="1"/>
      <c r="B618" s="1" t="s">
        <v>109</v>
      </c>
      <c r="C618" s="1" t="s">
        <v>43</v>
      </c>
      <c r="D618" s="1" t="s">
        <v>245</v>
      </c>
      <c r="E618" s="1">
        <v>2</v>
      </c>
      <c r="F618" s="1" t="s">
        <v>145</v>
      </c>
      <c r="G618" s="1" t="s">
        <v>435</v>
      </c>
      <c r="H618" s="1" t="s">
        <v>530</v>
      </c>
      <c r="I618" s="1" t="s">
        <v>532</v>
      </c>
    </row>
    <row r="619" spans="1:9" ht="25" customHeight="1">
      <c r="A619" s="1"/>
      <c r="B619" s="1" t="s">
        <v>109</v>
      </c>
      <c r="C619" s="1" t="s">
        <v>43</v>
      </c>
      <c r="D619" s="1" t="s">
        <v>75</v>
      </c>
      <c r="E619" s="1">
        <v>2</v>
      </c>
      <c r="F619" s="1" t="s">
        <v>145</v>
      </c>
      <c r="G619" s="1" t="s">
        <v>435</v>
      </c>
      <c r="H619" s="1" t="s">
        <v>530</v>
      </c>
      <c r="I619" s="1" t="s">
        <v>532</v>
      </c>
    </row>
    <row r="620" spans="1:9" ht="25" customHeight="1">
      <c r="A620" s="1"/>
      <c r="B620" s="1" t="s">
        <v>109</v>
      </c>
      <c r="C620" s="1" t="s">
        <v>43</v>
      </c>
      <c r="D620" s="1" t="s">
        <v>249</v>
      </c>
      <c r="E620" s="1">
        <v>-1</v>
      </c>
      <c r="F620" s="1" t="s">
        <v>145</v>
      </c>
      <c r="G620" s="1" t="s">
        <v>435</v>
      </c>
      <c r="H620" s="1" t="s">
        <v>530</v>
      </c>
      <c r="I620" s="1" t="s">
        <v>532</v>
      </c>
    </row>
    <row r="621" spans="1:9" ht="25" customHeight="1">
      <c r="A621" s="1"/>
      <c r="B621" s="1" t="s">
        <v>109</v>
      </c>
      <c r="C621" s="1" t="s">
        <v>43</v>
      </c>
      <c r="D621" s="1" t="s">
        <v>79</v>
      </c>
      <c r="E621" s="1">
        <v>1</v>
      </c>
      <c r="F621" s="1" t="s">
        <v>145</v>
      </c>
      <c r="G621" s="1" t="s">
        <v>435</v>
      </c>
      <c r="H621" s="1" t="s">
        <v>530</v>
      </c>
      <c r="I621" s="1" t="s">
        <v>532</v>
      </c>
    </row>
    <row r="622" spans="1:9" ht="25" customHeight="1">
      <c r="A622" s="1"/>
      <c r="B622" s="1" t="s">
        <v>109</v>
      </c>
      <c r="C622" s="1" t="s">
        <v>43</v>
      </c>
      <c r="D622" s="1" t="s">
        <v>250</v>
      </c>
      <c r="E622" s="1">
        <v>-1</v>
      </c>
      <c r="F622" s="1" t="s">
        <v>145</v>
      </c>
      <c r="G622" s="1" t="s">
        <v>435</v>
      </c>
      <c r="H622" s="1" t="s">
        <v>530</v>
      </c>
      <c r="I622" s="1" t="s">
        <v>532</v>
      </c>
    </row>
    <row r="623" spans="1:9" ht="25" customHeight="1">
      <c r="A623" s="1"/>
      <c r="B623" s="1" t="s">
        <v>109</v>
      </c>
      <c r="C623" s="1" t="s">
        <v>43</v>
      </c>
      <c r="D623" s="1" t="s">
        <v>251</v>
      </c>
      <c r="E623" s="1">
        <v>0</v>
      </c>
      <c r="F623" s="1" t="s">
        <v>145</v>
      </c>
      <c r="G623" s="1" t="s">
        <v>435</v>
      </c>
      <c r="H623" s="1" t="s">
        <v>530</v>
      </c>
      <c r="I623" s="1" t="s">
        <v>532</v>
      </c>
    </row>
    <row r="624" spans="1:9" ht="25" customHeight="1">
      <c r="A624" s="1"/>
      <c r="B624" s="1" t="s">
        <v>109</v>
      </c>
      <c r="C624" s="1" t="s">
        <v>43</v>
      </c>
      <c r="D624" s="1" t="s">
        <v>252</v>
      </c>
      <c r="E624" s="1">
        <v>1</v>
      </c>
      <c r="F624" s="1" t="s">
        <v>145</v>
      </c>
      <c r="G624" s="1" t="s">
        <v>435</v>
      </c>
      <c r="H624" s="1" t="s">
        <v>530</v>
      </c>
      <c r="I624" s="1" t="s">
        <v>532</v>
      </c>
    </row>
    <row r="625" spans="1:9" ht="25" customHeight="1">
      <c r="A625" s="1"/>
      <c r="B625" s="1" t="s">
        <v>109</v>
      </c>
      <c r="C625" s="1" t="s">
        <v>45</v>
      </c>
      <c r="D625" s="1" t="s">
        <v>245</v>
      </c>
      <c r="E625" s="1">
        <v>0</v>
      </c>
      <c r="F625" s="1" t="s">
        <v>145</v>
      </c>
      <c r="G625" s="1" t="s">
        <v>437</v>
      </c>
      <c r="H625" s="1" t="s">
        <v>530</v>
      </c>
      <c r="I625" s="1" t="s">
        <v>533</v>
      </c>
    </row>
    <row r="626" spans="1:9" ht="25" customHeight="1">
      <c r="A626" s="1"/>
      <c r="B626" s="1" t="s">
        <v>109</v>
      </c>
      <c r="C626" s="1" t="s">
        <v>45</v>
      </c>
      <c r="D626" s="1" t="s">
        <v>75</v>
      </c>
      <c r="E626" s="1">
        <v>0</v>
      </c>
      <c r="F626" s="1" t="s">
        <v>145</v>
      </c>
      <c r="G626" s="1" t="s">
        <v>437</v>
      </c>
      <c r="H626" s="1" t="s">
        <v>530</v>
      </c>
      <c r="I626" s="1" t="s">
        <v>533</v>
      </c>
    </row>
    <row r="627" spans="1:9" ht="25" customHeight="1">
      <c r="A627" s="1"/>
      <c r="B627" s="1" t="s">
        <v>109</v>
      </c>
      <c r="C627" s="1" t="s">
        <v>45</v>
      </c>
      <c r="D627" s="1" t="s">
        <v>249</v>
      </c>
      <c r="E627" s="1">
        <v>0</v>
      </c>
      <c r="F627" s="1" t="s">
        <v>145</v>
      </c>
      <c r="G627" s="1" t="s">
        <v>437</v>
      </c>
      <c r="H627" s="1" t="s">
        <v>530</v>
      </c>
      <c r="I627" s="1" t="s">
        <v>533</v>
      </c>
    </row>
    <row r="628" spans="1:9" ht="25" customHeight="1">
      <c r="A628" s="1"/>
      <c r="B628" s="1" t="s">
        <v>109</v>
      </c>
      <c r="C628" s="1" t="s">
        <v>45</v>
      </c>
      <c r="D628" s="1" t="s">
        <v>79</v>
      </c>
      <c r="E628" s="1">
        <v>1</v>
      </c>
      <c r="F628" s="1" t="s">
        <v>145</v>
      </c>
      <c r="G628" s="1" t="s">
        <v>437</v>
      </c>
      <c r="H628" s="1" t="s">
        <v>530</v>
      </c>
      <c r="I628" s="1" t="s">
        <v>533</v>
      </c>
    </row>
    <row r="629" spans="1:9" ht="25" customHeight="1">
      <c r="A629" s="1"/>
      <c r="B629" s="1" t="s">
        <v>109</v>
      </c>
      <c r="C629" s="1" t="s">
        <v>45</v>
      </c>
      <c r="D629" s="1" t="s">
        <v>250</v>
      </c>
      <c r="E629" s="1">
        <v>2</v>
      </c>
      <c r="F629" s="1" t="s">
        <v>145</v>
      </c>
      <c r="G629" s="1" t="s">
        <v>437</v>
      </c>
      <c r="H629" s="1" t="s">
        <v>530</v>
      </c>
      <c r="I629" s="1" t="s">
        <v>533</v>
      </c>
    </row>
    <row r="630" spans="1:9" ht="25" customHeight="1">
      <c r="A630" s="1"/>
      <c r="B630" s="1" t="s">
        <v>109</v>
      </c>
      <c r="C630" s="1" t="s">
        <v>45</v>
      </c>
      <c r="D630" s="1" t="s">
        <v>251</v>
      </c>
      <c r="E630" s="1">
        <v>-1</v>
      </c>
      <c r="F630" s="1" t="s">
        <v>145</v>
      </c>
      <c r="G630" s="1" t="s">
        <v>437</v>
      </c>
      <c r="H630" s="1" t="s">
        <v>530</v>
      </c>
      <c r="I630" s="1" t="s">
        <v>533</v>
      </c>
    </row>
    <row r="631" spans="1:9" ht="25" customHeight="1">
      <c r="A631" s="1"/>
      <c r="B631" s="1" t="s">
        <v>109</v>
      </c>
      <c r="C631" s="1" t="s">
        <v>45</v>
      </c>
      <c r="D631" s="1" t="s">
        <v>252</v>
      </c>
      <c r="E631" s="1">
        <v>2</v>
      </c>
      <c r="F631" s="1" t="s">
        <v>145</v>
      </c>
      <c r="G631" s="1" t="s">
        <v>437</v>
      </c>
      <c r="H631" s="1" t="s">
        <v>530</v>
      </c>
      <c r="I631" s="1" t="s">
        <v>533</v>
      </c>
    </row>
    <row r="632" spans="1:9" ht="25" customHeight="1">
      <c r="A632" s="1"/>
      <c r="B632" s="1" t="s">
        <v>109</v>
      </c>
      <c r="C632" s="1" t="s">
        <v>50</v>
      </c>
      <c r="D632" s="1" t="s">
        <v>245</v>
      </c>
      <c r="E632" s="1">
        <v>1</v>
      </c>
      <c r="F632" s="1" t="s">
        <v>145</v>
      </c>
      <c r="G632" s="1" t="s">
        <v>439</v>
      </c>
      <c r="H632" s="1" t="s">
        <v>530</v>
      </c>
      <c r="I632" s="1" t="s">
        <v>534</v>
      </c>
    </row>
    <row r="633" spans="1:9" ht="25" customHeight="1">
      <c r="A633" s="1"/>
      <c r="B633" s="1" t="s">
        <v>109</v>
      </c>
      <c r="C633" s="1" t="s">
        <v>50</v>
      </c>
      <c r="D633" s="1" t="s">
        <v>75</v>
      </c>
      <c r="E633" s="1">
        <v>2</v>
      </c>
      <c r="F633" s="1" t="s">
        <v>145</v>
      </c>
      <c r="G633" s="1" t="s">
        <v>439</v>
      </c>
      <c r="H633" s="1" t="s">
        <v>530</v>
      </c>
      <c r="I633" s="1" t="s">
        <v>534</v>
      </c>
    </row>
    <row r="634" spans="1:9" ht="25" customHeight="1">
      <c r="A634" s="1"/>
      <c r="B634" s="1" t="s">
        <v>109</v>
      </c>
      <c r="C634" s="1" t="s">
        <v>50</v>
      </c>
      <c r="D634" s="1" t="s">
        <v>249</v>
      </c>
      <c r="E634" s="1">
        <v>0</v>
      </c>
      <c r="F634" s="1" t="s">
        <v>145</v>
      </c>
      <c r="G634" s="1" t="s">
        <v>439</v>
      </c>
      <c r="H634" s="1" t="s">
        <v>530</v>
      </c>
      <c r="I634" s="1" t="s">
        <v>534</v>
      </c>
    </row>
    <row r="635" spans="1:9" ht="25" customHeight="1">
      <c r="A635" s="1"/>
      <c r="B635" s="1" t="s">
        <v>109</v>
      </c>
      <c r="C635" s="1" t="s">
        <v>50</v>
      </c>
      <c r="D635" s="1" t="s">
        <v>79</v>
      </c>
      <c r="E635" s="1">
        <v>0</v>
      </c>
      <c r="F635" s="1" t="s">
        <v>145</v>
      </c>
      <c r="G635" s="1" t="s">
        <v>439</v>
      </c>
      <c r="H635" s="1" t="s">
        <v>530</v>
      </c>
      <c r="I635" s="1" t="s">
        <v>534</v>
      </c>
    </row>
    <row r="636" spans="1:9" ht="25" customHeight="1">
      <c r="A636" s="1"/>
      <c r="B636" s="1" t="s">
        <v>109</v>
      </c>
      <c r="C636" s="1" t="s">
        <v>50</v>
      </c>
      <c r="D636" s="1" t="s">
        <v>250</v>
      </c>
      <c r="E636" s="1">
        <v>1</v>
      </c>
      <c r="F636" s="1" t="s">
        <v>145</v>
      </c>
      <c r="G636" s="1" t="s">
        <v>439</v>
      </c>
      <c r="H636" s="1" t="s">
        <v>530</v>
      </c>
      <c r="I636" s="1" t="s">
        <v>534</v>
      </c>
    </row>
    <row r="637" spans="1:9" ht="25" customHeight="1">
      <c r="A637" s="1"/>
      <c r="B637" s="1" t="s">
        <v>109</v>
      </c>
      <c r="C637" s="1" t="s">
        <v>50</v>
      </c>
      <c r="D637" s="1" t="s">
        <v>251</v>
      </c>
      <c r="E637" s="1">
        <v>0</v>
      </c>
      <c r="F637" s="1" t="s">
        <v>145</v>
      </c>
      <c r="G637" s="1" t="s">
        <v>439</v>
      </c>
      <c r="H637" s="1" t="s">
        <v>530</v>
      </c>
      <c r="I637" s="1" t="s">
        <v>534</v>
      </c>
    </row>
    <row r="638" spans="1:9" ht="25" customHeight="1">
      <c r="A638" s="1"/>
      <c r="B638" s="1" t="s">
        <v>109</v>
      </c>
      <c r="C638" s="1" t="s">
        <v>50</v>
      </c>
      <c r="D638" s="1" t="s">
        <v>252</v>
      </c>
      <c r="E638" s="1">
        <v>2</v>
      </c>
      <c r="F638" s="1" t="s">
        <v>145</v>
      </c>
      <c r="G638" s="1" t="s">
        <v>439</v>
      </c>
      <c r="H638" s="1" t="s">
        <v>530</v>
      </c>
      <c r="I638" s="1" t="s">
        <v>534</v>
      </c>
    </row>
    <row r="639" spans="1:9" ht="25" customHeight="1">
      <c r="A639" s="1"/>
      <c r="B639" s="1" t="s">
        <v>109</v>
      </c>
      <c r="C639" s="1" t="s">
        <v>55</v>
      </c>
      <c r="D639" s="1" t="s">
        <v>245</v>
      </c>
      <c r="E639" s="1">
        <v>4</v>
      </c>
      <c r="F639" s="1" t="s">
        <v>145</v>
      </c>
      <c r="G639" s="1" t="s">
        <v>441</v>
      </c>
      <c r="H639" s="1" t="s">
        <v>530</v>
      </c>
      <c r="I639" s="1" t="s">
        <v>535</v>
      </c>
    </row>
    <row r="640" spans="1:9" ht="25" customHeight="1">
      <c r="A640" s="1"/>
      <c r="B640" s="1" t="s">
        <v>109</v>
      </c>
      <c r="C640" s="1" t="s">
        <v>55</v>
      </c>
      <c r="D640" s="1" t="s">
        <v>75</v>
      </c>
      <c r="E640" s="1">
        <v>4</v>
      </c>
      <c r="F640" s="1" t="s">
        <v>145</v>
      </c>
      <c r="G640" s="1" t="s">
        <v>441</v>
      </c>
      <c r="H640" s="1" t="s">
        <v>530</v>
      </c>
      <c r="I640" s="1" t="s">
        <v>535</v>
      </c>
    </row>
    <row r="641" spans="1:9" ht="25" customHeight="1">
      <c r="A641" s="1"/>
      <c r="B641" s="1" t="s">
        <v>109</v>
      </c>
      <c r="C641" s="1" t="s">
        <v>55</v>
      </c>
      <c r="D641" s="1" t="s">
        <v>249</v>
      </c>
      <c r="E641" s="1">
        <v>0</v>
      </c>
      <c r="F641" s="1" t="s">
        <v>145</v>
      </c>
      <c r="G641" s="1" t="s">
        <v>441</v>
      </c>
      <c r="H641" s="1" t="s">
        <v>530</v>
      </c>
      <c r="I641" s="1" t="s">
        <v>535</v>
      </c>
    </row>
    <row r="642" spans="1:9" ht="25" customHeight="1">
      <c r="A642" s="1"/>
      <c r="B642" s="1" t="s">
        <v>109</v>
      </c>
      <c r="C642" s="1" t="s">
        <v>55</v>
      </c>
      <c r="D642" s="1" t="s">
        <v>79</v>
      </c>
      <c r="E642" s="1">
        <v>-1</v>
      </c>
      <c r="F642" s="1" t="s">
        <v>145</v>
      </c>
      <c r="G642" s="1" t="s">
        <v>441</v>
      </c>
      <c r="H642" s="1" t="s">
        <v>530</v>
      </c>
      <c r="I642" s="1" t="s">
        <v>535</v>
      </c>
    </row>
    <row r="643" spans="1:9" ht="25" customHeight="1">
      <c r="A643" s="1"/>
      <c r="B643" s="1" t="s">
        <v>109</v>
      </c>
      <c r="C643" s="1" t="s">
        <v>55</v>
      </c>
      <c r="D643" s="1" t="s">
        <v>250</v>
      </c>
      <c r="E643" s="1">
        <v>0</v>
      </c>
      <c r="F643" s="1" t="s">
        <v>145</v>
      </c>
      <c r="G643" s="1" t="s">
        <v>441</v>
      </c>
      <c r="H643" s="1" t="s">
        <v>530</v>
      </c>
      <c r="I643" s="1" t="s">
        <v>535</v>
      </c>
    </row>
    <row r="644" spans="1:9" ht="25" customHeight="1">
      <c r="A644" s="1"/>
      <c r="B644" s="1" t="s">
        <v>109</v>
      </c>
      <c r="C644" s="1" t="s">
        <v>55</v>
      </c>
      <c r="D644" s="1" t="s">
        <v>251</v>
      </c>
      <c r="E644" s="1">
        <v>0</v>
      </c>
      <c r="F644" s="1" t="s">
        <v>145</v>
      </c>
      <c r="G644" s="1" t="s">
        <v>441</v>
      </c>
      <c r="H644" s="1" t="s">
        <v>530</v>
      </c>
      <c r="I644" s="1" t="s">
        <v>535</v>
      </c>
    </row>
    <row r="645" spans="1:9" ht="25" customHeight="1">
      <c r="A645" s="1"/>
      <c r="B645" s="1" t="s">
        <v>109</v>
      </c>
      <c r="C645" s="1" t="s">
        <v>55</v>
      </c>
      <c r="D645" s="1" t="s">
        <v>252</v>
      </c>
      <c r="E645" s="1">
        <v>3</v>
      </c>
      <c r="F645" s="1" t="s">
        <v>145</v>
      </c>
      <c r="G645" s="1" t="s">
        <v>441</v>
      </c>
      <c r="H645" s="1" t="s">
        <v>530</v>
      </c>
      <c r="I645" s="1" t="s">
        <v>535</v>
      </c>
    </row>
    <row r="646" spans="1:9" ht="25" customHeight="1">
      <c r="A646" s="1"/>
      <c r="B646" s="1" t="s">
        <v>109</v>
      </c>
      <c r="C646" s="1" t="s">
        <v>134</v>
      </c>
      <c r="D646" s="1" t="s">
        <v>245</v>
      </c>
      <c r="E646" s="1">
        <v>1</v>
      </c>
      <c r="F646" s="1" t="s">
        <v>145</v>
      </c>
      <c r="G646" s="1" t="s">
        <v>443</v>
      </c>
      <c r="H646" s="1" t="s">
        <v>530</v>
      </c>
      <c r="I646" s="1" t="s">
        <v>536</v>
      </c>
    </row>
    <row r="647" spans="1:9" ht="25" customHeight="1">
      <c r="A647" s="1"/>
      <c r="B647" s="1" t="s">
        <v>109</v>
      </c>
      <c r="C647" s="1" t="s">
        <v>134</v>
      </c>
      <c r="D647" s="1" t="s">
        <v>75</v>
      </c>
      <c r="E647" s="1">
        <v>2</v>
      </c>
      <c r="F647" s="1" t="s">
        <v>145</v>
      </c>
      <c r="G647" s="1" t="s">
        <v>443</v>
      </c>
      <c r="H647" s="1" t="s">
        <v>530</v>
      </c>
      <c r="I647" s="1" t="s">
        <v>536</v>
      </c>
    </row>
    <row r="648" spans="1:9" ht="25" customHeight="1">
      <c r="A648" s="1"/>
      <c r="B648" s="1" t="s">
        <v>109</v>
      </c>
      <c r="C648" s="1" t="s">
        <v>134</v>
      </c>
      <c r="D648" s="1" t="s">
        <v>249</v>
      </c>
      <c r="E648" s="1">
        <v>0</v>
      </c>
      <c r="F648" s="1" t="s">
        <v>145</v>
      </c>
      <c r="G648" s="1" t="s">
        <v>443</v>
      </c>
      <c r="H648" s="1" t="s">
        <v>530</v>
      </c>
      <c r="I648" s="1" t="s">
        <v>536</v>
      </c>
    </row>
    <row r="649" spans="1:9" ht="25" customHeight="1">
      <c r="A649" s="1"/>
      <c r="B649" s="1" t="s">
        <v>109</v>
      </c>
      <c r="C649" s="1" t="s">
        <v>134</v>
      </c>
      <c r="D649" s="1" t="s">
        <v>79</v>
      </c>
      <c r="E649" s="1">
        <v>0</v>
      </c>
      <c r="F649" s="1" t="s">
        <v>145</v>
      </c>
      <c r="G649" s="1" t="s">
        <v>443</v>
      </c>
      <c r="H649" s="1" t="s">
        <v>530</v>
      </c>
      <c r="I649" s="1" t="s">
        <v>536</v>
      </c>
    </row>
    <row r="650" spans="1:9" ht="25" customHeight="1">
      <c r="A650" s="1"/>
      <c r="B650" s="1" t="s">
        <v>109</v>
      </c>
      <c r="C650" s="1" t="s">
        <v>134</v>
      </c>
      <c r="D650" s="1" t="s">
        <v>250</v>
      </c>
      <c r="E650" s="1">
        <v>1</v>
      </c>
      <c r="F650" s="1" t="s">
        <v>145</v>
      </c>
      <c r="G650" s="1" t="s">
        <v>443</v>
      </c>
      <c r="H650" s="1" t="s">
        <v>530</v>
      </c>
      <c r="I650" s="1" t="s">
        <v>536</v>
      </c>
    </row>
    <row r="651" spans="1:9" ht="25" customHeight="1">
      <c r="A651" s="1"/>
      <c r="B651" s="1" t="s">
        <v>109</v>
      </c>
      <c r="C651" s="1" t="s">
        <v>134</v>
      </c>
      <c r="D651" s="1" t="s">
        <v>251</v>
      </c>
      <c r="E651" s="1">
        <v>0</v>
      </c>
      <c r="F651" s="1" t="s">
        <v>145</v>
      </c>
      <c r="G651" s="1" t="s">
        <v>443</v>
      </c>
      <c r="H651" s="1" t="s">
        <v>530</v>
      </c>
      <c r="I651" s="1" t="s">
        <v>536</v>
      </c>
    </row>
    <row r="652" spans="1:9" ht="25" customHeight="1">
      <c r="A652" s="1"/>
      <c r="B652" s="1" t="s">
        <v>109</v>
      </c>
      <c r="C652" s="1" t="s">
        <v>134</v>
      </c>
      <c r="D652" s="1" t="s">
        <v>252</v>
      </c>
      <c r="E652" s="1">
        <v>2</v>
      </c>
      <c r="F652" s="1" t="s">
        <v>145</v>
      </c>
      <c r="G652" s="1" t="s">
        <v>443</v>
      </c>
      <c r="H652" s="1" t="s">
        <v>530</v>
      </c>
      <c r="I652" s="1" t="s">
        <v>536</v>
      </c>
    </row>
    <row r="653" spans="1:9" ht="25" customHeight="1">
      <c r="A653" s="1"/>
      <c r="B653" s="1" t="s">
        <v>109</v>
      </c>
      <c r="C653" s="1" t="s">
        <v>34</v>
      </c>
      <c r="D653" s="1" t="s">
        <v>263</v>
      </c>
      <c r="E653" s="1">
        <v>3848</v>
      </c>
      <c r="F653" s="1" t="s">
        <v>145</v>
      </c>
      <c r="G653" s="1" t="s">
        <v>445</v>
      </c>
      <c r="H653" s="1" t="s">
        <v>530</v>
      </c>
      <c r="I653" s="1" t="s">
        <v>537</v>
      </c>
    </row>
    <row r="654" spans="1:9" ht="25" customHeight="1">
      <c r="A654" s="1"/>
      <c r="B654" s="1" t="s">
        <v>109</v>
      </c>
      <c r="C654" s="1" t="s">
        <v>43</v>
      </c>
      <c r="D654" s="1" t="s">
        <v>263</v>
      </c>
      <c r="E654" s="1">
        <v>1752</v>
      </c>
      <c r="F654" s="1" t="s">
        <v>145</v>
      </c>
      <c r="G654" s="1" t="s">
        <v>447</v>
      </c>
      <c r="H654" s="1" t="s">
        <v>530</v>
      </c>
      <c r="I654" s="1" t="s">
        <v>538</v>
      </c>
    </row>
    <row r="655" spans="1:9" ht="25" customHeight="1">
      <c r="A655" s="1"/>
      <c r="B655" s="1" t="s">
        <v>109</v>
      </c>
      <c r="C655" s="1" t="s">
        <v>45</v>
      </c>
      <c r="D655" s="1" t="s">
        <v>263</v>
      </c>
      <c r="E655" s="1">
        <v>3249</v>
      </c>
      <c r="F655" s="1" t="s">
        <v>145</v>
      </c>
      <c r="G655" s="1" t="s">
        <v>449</v>
      </c>
      <c r="H655" s="1" t="s">
        <v>530</v>
      </c>
      <c r="I655" s="1" t="s">
        <v>539</v>
      </c>
    </row>
    <row r="656" spans="1:9" ht="25" customHeight="1">
      <c r="A656" s="1"/>
      <c r="B656" s="1" t="s">
        <v>109</v>
      </c>
      <c r="C656" s="1" t="s">
        <v>50</v>
      </c>
      <c r="D656" s="1" t="s">
        <v>263</v>
      </c>
      <c r="E656" s="1">
        <v>7575</v>
      </c>
      <c r="F656" s="1" t="s">
        <v>145</v>
      </c>
      <c r="G656" s="1" t="s">
        <v>451</v>
      </c>
      <c r="H656" s="1" t="s">
        <v>530</v>
      </c>
      <c r="I656" s="1" t="s">
        <v>540</v>
      </c>
    </row>
    <row r="657" spans="1:9" ht="25" customHeight="1">
      <c r="A657" s="1"/>
      <c r="B657" s="1" t="s">
        <v>109</v>
      </c>
      <c r="C657" s="1" t="s">
        <v>55</v>
      </c>
      <c r="D657" s="1" t="s">
        <v>263</v>
      </c>
      <c r="E657" s="1">
        <v>5298</v>
      </c>
      <c r="F657" s="1" t="s">
        <v>145</v>
      </c>
      <c r="G657" s="1" t="s">
        <v>453</v>
      </c>
      <c r="H657" s="1" t="s">
        <v>530</v>
      </c>
      <c r="I657" s="1" t="s">
        <v>541</v>
      </c>
    </row>
    <row r="658" spans="1:9" ht="25" customHeight="1">
      <c r="A658" s="1"/>
      <c r="B658" s="1" t="s">
        <v>109</v>
      </c>
      <c r="C658" s="1" t="s">
        <v>133</v>
      </c>
      <c r="D658" s="1" t="s">
        <v>263</v>
      </c>
      <c r="E658" s="1">
        <v>159</v>
      </c>
      <c r="F658" s="1" t="s">
        <v>145</v>
      </c>
      <c r="G658" s="1" t="s">
        <v>455</v>
      </c>
      <c r="H658" s="1" t="s">
        <v>530</v>
      </c>
      <c r="I658" s="1" t="s">
        <v>542</v>
      </c>
    </row>
    <row r="659" spans="1:9" ht="25" customHeight="1">
      <c r="A659" s="1"/>
      <c r="B659" s="1" t="s">
        <v>109</v>
      </c>
      <c r="C659" s="1" t="s">
        <v>134</v>
      </c>
      <c r="D659" s="1" t="s">
        <v>263</v>
      </c>
      <c r="E659" s="1">
        <v>21882</v>
      </c>
      <c r="F659" s="1" t="s">
        <v>145</v>
      </c>
      <c r="G659" s="1" t="s">
        <v>457</v>
      </c>
      <c r="H659" s="1" t="s">
        <v>530</v>
      </c>
      <c r="I659" s="1" t="s">
        <v>543</v>
      </c>
    </row>
    <row r="660" spans="1:9" ht="25" customHeight="1">
      <c r="A660" s="1"/>
      <c r="B660" s="1" t="s">
        <v>109</v>
      </c>
      <c r="C660" s="1" t="s">
        <v>34</v>
      </c>
      <c r="D660" s="1" t="s">
        <v>81</v>
      </c>
      <c r="E660" s="1">
        <v>2</v>
      </c>
      <c r="F660" s="1" t="s">
        <v>145</v>
      </c>
      <c r="G660" s="1" t="s">
        <v>459</v>
      </c>
      <c r="H660" s="1" t="s">
        <v>530</v>
      </c>
      <c r="I660" s="1" t="s">
        <v>544</v>
      </c>
    </row>
    <row r="661" spans="1:9" ht="25" customHeight="1">
      <c r="A661" s="1"/>
      <c r="B661" s="1" t="s">
        <v>109</v>
      </c>
      <c r="C661" s="1" t="s">
        <v>43</v>
      </c>
      <c r="D661" s="1" t="s">
        <v>81</v>
      </c>
      <c r="E661" s="1">
        <v>2</v>
      </c>
      <c r="F661" s="1" t="s">
        <v>145</v>
      </c>
      <c r="G661" s="1" t="s">
        <v>461</v>
      </c>
      <c r="H661" s="1" t="s">
        <v>530</v>
      </c>
      <c r="I661" s="1" t="s">
        <v>545</v>
      </c>
    </row>
    <row r="662" spans="1:9" ht="25" customHeight="1">
      <c r="A662" s="1"/>
      <c r="B662" s="1" t="s">
        <v>109</v>
      </c>
      <c r="C662" s="1" t="s">
        <v>45</v>
      </c>
      <c r="D662" s="1" t="s">
        <v>81</v>
      </c>
      <c r="E662" s="1">
        <v>3</v>
      </c>
      <c r="F662" s="1" t="s">
        <v>145</v>
      </c>
      <c r="G662" s="1" t="s">
        <v>462</v>
      </c>
      <c r="H662" s="1" t="s">
        <v>530</v>
      </c>
      <c r="I662" s="1" t="s">
        <v>546</v>
      </c>
    </row>
    <row r="663" spans="1:9" ht="25" customHeight="1">
      <c r="A663" s="1"/>
      <c r="B663" s="1" t="s">
        <v>109</v>
      </c>
      <c r="C663" s="1" t="s">
        <v>50</v>
      </c>
      <c r="D663" s="1" t="s">
        <v>81</v>
      </c>
      <c r="E663" s="1">
        <v>3</v>
      </c>
      <c r="F663" s="1" t="s">
        <v>145</v>
      </c>
      <c r="G663" s="1" t="s">
        <v>464</v>
      </c>
      <c r="H663" s="1" t="s">
        <v>530</v>
      </c>
      <c r="I663" s="1" t="s">
        <v>547</v>
      </c>
    </row>
    <row r="664" spans="1:9" ht="25" customHeight="1">
      <c r="A664" s="1"/>
      <c r="B664" s="1" t="s">
        <v>109</v>
      </c>
      <c r="C664" s="1" t="s">
        <v>55</v>
      </c>
      <c r="D664" s="1" t="s">
        <v>81</v>
      </c>
      <c r="E664" s="1">
        <v>4</v>
      </c>
      <c r="F664" s="1" t="s">
        <v>145</v>
      </c>
      <c r="G664" s="1" t="s">
        <v>466</v>
      </c>
      <c r="H664" s="1" t="s">
        <v>530</v>
      </c>
      <c r="I664" s="1" t="s">
        <v>548</v>
      </c>
    </row>
    <row r="665" spans="1:9" ht="25" customHeight="1">
      <c r="A665" s="1"/>
      <c r="B665" s="1" t="s">
        <v>109</v>
      </c>
      <c r="C665" s="1" t="s">
        <v>134</v>
      </c>
      <c r="D665" s="1" t="s">
        <v>81</v>
      </c>
      <c r="E665" s="1">
        <v>3</v>
      </c>
      <c r="F665" s="1" t="s">
        <v>145</v>
      </c>
      <c r="G665" s="1" t="s">
        <v>468</v>
      </c>
      <c r="H665" s="1" t="s">
        <v>530</v>
      </c>
      <c r="I665" s="1" t="s">
        <v>549</v>
      </c>
    </row>
    <row r="666" spans="1:9" ht="25" customHeight="1">
      <c r="A666" s="1"/>
      <c r="B666" s="1" t="s">
        <v>110</v>
      </c>
      <c r="C666" s="1" t="s">
        <v>34</v>
      </c>
      <c r="D666" s="1" t="s">
        <v>245</v>
      </c>
      <c r="E666" s="1">
        <v>0</v>
      </c>
      <c r="F666" s="1" t="s">
        <v>146</v>
      </c>
      <c r="G666" s="1" t="s">
        <v>432</v>
      </c>
      <c r="H666" s="1" t="s">
        <v>550</v>
      </c>
      <c r="I666" s="1" t="s">
        <v>551</v>
      </c>
    </row>
    <row r="667" spans="1:9" ht="25" customHeight="1">
      <c r="A667" s="1"/>
      <c r="B667" s="1" t="s">
        <v>110</v>
      </c>
      <c r="C667" s="1" t="s">
        <v>34</v>
      </c>
      <c r="D667" s="1" t="s">
        <v>75</v>
      </c>
      <c r="E667" s="1">
        <v>1</v>
      </c>
      <c r="F667" s="1" t="s">
        <v>146</v>
      </c>
      <c r="G667" s="1" t="s">
        <v>432</v>
      </c>
      <c r="H667" s="1" t="s">
        <v>550</v>
      </c>
      <c r="I667" s="1" t="s">
        <v>551</v>
      </c>
    </row>
    <row r="668" spans="1:9" ht="25" customHeight="1">
      <c r="A668" s="1"/>
      <c r="B668" s="1" t="s">
        <v>110</v>
      </c>
      <c r="C668" s="1" t="s">
        <v>34</v>
      </c>
      <c r="D668" s="1" t="s">
        <v>249</v>
      </c>
      <c r="E668" s="1">
        <v>-3</v>
      </c>
      <c r="F668" s="1" t="s">
        <v>146</v>
      </c>
      <c r="G668" s="1" t="s">
        <v>432</v>
      </c>
      <c r="H668" s="1" t="s">
        <v>550</v>
      </c>
      <c r="I668" s="1" t="s">
        <v>551</v>
      </c>
    </row>
    <row r="669" spans="1:9" ht="25" customHeight="1">
      <c r="A669" s="1"/>
      <c r="B669" s="1" t="s">
        <v>110</v>
      </c>
      <c r="C669" s="1" t="s">
        <v>34</v>
      </c>
      <c r="D669" s="1" t="s">
        <v>79</v>
      </c>
      <c r="E669" s="1">
        <v>3</v>
      </c>
      <c r="F669" s="1" t="s">
        <v>146</v>
      </c>
      <c r="G669" s="1" t="s">
        <v>432</v>
      </c>
      <c r="H669" s="1" t="s">
        <v>550</v>
      </c>
      <c r="I669" s="1" t="s">
        <v>551</v>
      </c>
    </row>
    <row r="670" spans="1:9" ht="25" customHeight="1">
      <c r="A670" s="1"/>
      <c r="B670" s="1" t="s">
        <v>110</v>
      </c>
      <c r="C670" s="1" t="s">
        <v>34</v>
      </c>
      <c r="D670" s="1" t="s">
        <v>250</v>
      </c>
      <c r="E670" s="1">
        <v>-2</v>
      </c>
      <c r="F670" s="1" t="s">
        <v>146</v>
      </c>
      <c r="G670" s="1" t="s">
        <v>432</v>
      </c>
      <c r="H670" s="1" t="s">
        <v>550</v>
      </c>
      <c r="I670" s="1" t="s">
        <v>551</v>
      </c>
    </row>
    <row r="671" spans="1:9" ht="25" customHeight="1">
      <c r="A671" s="1"/>
      <c r="B671" s="1" t="s">
        <v>110</v>
      </c>
      <c r="C671" s="1" t="s">
        <v>34</v>
      </c>
      <c r="D671" s="1" t="s">
        <v>251</v>
      </c>
      <c r="E671" s="1">
        <v>0</v>
      </c>
      <c r="F671" s="1" t="s">
        <v>146</v>
      </c>
      <c r="G671" s="1" t="s">
        <v>432</v>
      </c>
      <c r="H671" s="1" t="s">
        <v>550</v>
      </c>
      <c r="I671" s="1" t="s">
        <v>551</v>
      </c>
    </row>
    <row r="672" spans="1:9" ht="25" customHeight="1">
      <c r="A672" s="1"/>
      <c r="B672" s="1" t="s">
        <v>110</v>
      </c>
      <c r="C672" s="1" t="s">
        <v>34</v>
      </c>
      <c r="D672" s="1" t="s">
        <v>252</v>
      </c>
      <c r="E672" s="1">
        <v>-2</v>
      </c>
      <c r="F672" s="1" t="s">
        <v>146</v>
      </c>
      <c r="G672" s="1" t="s">
        <v>432</v>
      </c>
      <c r="H672" s="1" t="s">
        <v>550</v>
      </c>
      <c r="I672" s="1" t="s">
        <v>551</v>
      </c>
    </row>
    <row r="673" spans="1:9" ht="25" customHeight="1">
      <c r="A673" s="1"/>
      <c r="B673" s="1" t="s">
        <v>110</v>
      </c>
      <c r="C673" s="1" t="s">
        <v>43</v>
      </c>
      <c r="D673" s="1" t="s">
        <v>245</v>
      </c>
      <c r="E673" s="1">
        <v>1</v>
      </c>
      <c r="F673" s="1" t="s">
        <v>146</v>
      </c>
      <c r="G673" s="1" t="s">
        <v>435</v>
      </c>
      <c r="H673" s="1" t="s">
        <v>550</v>
      </c>
      <c r="I673" s="1" t="s">
        <v>552</v>
      </c>
    </row>
    <row r="674" spans="1:9" ht="25" customHeight="1">
      <c r="A674" s="1"/>
      <c r="B674" s="1" t="s">
        <v>110</v>
      </c>
      <c r="C674" s="1" t="s">
        <v>43</v>
      </c>
      <c r="D674" s="1" t="s">
        <v>75</v>
      </c>
      <c r="E674" s="1">
        <v>1</v>
      </c>
      <c r="F674" s="1" t="s">
        <v>146</v>
      </c>
      <c r="G674" s="1" t="s">
        <v>435</v>
      </c>
      <c r="H674" s="1" t="s">
        <v>550</v>
      </c>
      <c r="I674" s="1" t="s">
        <v>552</v>
      </c>
    </row>
    <row r="675" spans="1:9" ht="25" customHeight="1">
      <c r="A675" s="1"/>
      <c r="B675" s="1" t="s">
        <v>110</v>
      </c>
      <c r="C675" s="1" t="s">
        <v>43</v>
      </c>
      <c r="D675" s="1" t="s">
        <v>249</v>
      </c>
      <c r="E675" s="1">
        <v>-4</v>
      </c>
      <c r="F675" s="1" t="s">
        <v>146</v>
      </c>
      <c r="G675" s="1" t="s">
        <v>435</v>
      </c>
      <c r="H675" s="1" t="s">
        <v>550</v>
      </c>
      <c r="I675" s="1" t="s">
        <v>552</v>
      </c>
    </row>
    <row r="676" spans="1:9" ht="25" customHeight="1">
      <c r="A676" s="1"/>
      <c r="B676" s="1" t="s">
        <v>110</v>
      </c>
      <c r="C676" s="1" t="s">
        <v>43</v>
      </c>
      <c r="D676" s="1" t="s">
        <v>79</v>
      </c>
      <c r="E676" s="1">
        <v>2</v>
      </c>
      <c r="F676" s="1" t="s">
        <v>146</v>
      </c>
      <c r="G676" s="1" t="s">
        <v>435</v>
      </c>
      <c r="H676" s="1" t="s">
        <v>550</v>
      </c>
      <c r="I676" s="1" t="s">
        <v>552</v>
      </c>
    </row>
    <row r="677" spans="1:9" ht="25" customHeight="1">
      <c r="A677" s="1"/>
      <c r="B677" s="1" t="s">
        <v>110</v>
      </c>
      <c r="C677" s="1" t="s">
        <v>43</v>
      </c>
      <c r="D677" s="1" t="s">
        <v>250</v>
      </c>
      <c r="E677" s="1">
        <v>0</v>
      </c>
      <c r="F677" s="1" t="s">
        <v>146</v>
      </c>
      <c r="G677" s="1" t="s">
        <v>435</v>
      </c>
      <c r="H677" s="1" t="s">
        <v>550</v>
      </c>
      <c r="I677" s="1" t="s">
        <v>552</v>
      </c>
    </row>
    <row r="678" spans="1:9" ht="25" customHeight="1">
      <c r="A678" s="1"/>
      <c r="B678" s="1" t="s">
        <v>110</v>
      </c>
      <c r="C678" s="1" t="s">
        <v>43</v>
      </c>
      <c r="D678" s="1" t="s">
        <v>251</v>
      </c>
      <c r="E678" s="1">
        <v>-1</v>
      </c>
      <c r="F678" s="1" t="s">
        <v>146</v>
      </c>
      <c r="G678" s="1" t="s">
        <v>435</v>
      </c>
      <c r="H678" s="1" t="s">
        <v>550</v>
      </c>
      <c r="I678" s="1" t="s">
        <v>552</v>
      </c>
    </row>
    <row r="679" spans="1:9" ht="25" customHeight="1">
      <c r="A679" s="1"/>
      <c r="B679" s="1" t="s">
        <v>110</v>
      </c>
      <c r="C679" s="1" t="s">
        <v>43</v>
      </c>
      <c r="D679" s="1" t="s">
        <v>252</v>
      </c>
      <c r="E679" s="1">
        <v>-2</v>
      </c>
      <c r="F679" s="1" t="s">
        <v>146</v>
      </c>
      <c r="G679" s="1" t="s">
        <v>435</v>
      </c>
      <c r="H679" s="1" t="s">
        <v>550</v>
      </c>
      <c r="I679" s="1" t="s">
        <v>552</v>
      </c>
    </row>
    <row r="680" spans="1:9" ht="25" customHeight="1">
      <c r="A680" s="1"/>
      <c r="B680" s="1" t="s">
        <v>110</v>
      </c>
      <c r="C680" s="1" t="s">
        <v>45</v>
      </c>
      <c r="D680" s="1" t="s">
        <v>245</v>
      </c>
      <c r="E680" s="1">
        <v>-1</v>
      </c>
      <c r="F680" s="1" t="s">
        <v>146</v>
      </c>
      <c r="G680" s="1" t="s">
        <v>437</v>
      </c>
      <c r="H680" s="1" t="s">
        <v>550</v>
      </c>
      <c r="I680" s="1" t="s">
        <v>553</v>
      </c>
    </row>
    <row r="681" spans="1:9" ht="25" customHeight="1">
      <c r="A681" s="1"/>
      <c r="B681" s="1" t="s">
        <v>110</v>
      </c>
      <c r="C681" s="1" t="s">
        <v>45</v>
      </c>
      <c r="D681" s="1" t="s">
        <v>75</v>
      </c>
      <c r="E681" s="1">
        <v>-1</v>
      </c>
      <c r="F681" s="1" t="s">
        <v>146</v>
      </c>
      <c r="G681" s="1" t="s">
        <v>437</v>
      </c>
      <c r="H681" s="1" t="s">
        <v>550</v>
      </c>
      <c r="I681" s="1" t="s">
        <v>553</v>
      </c>
    </row>
    <row r="682" spans="1:9" ht="25" customHeight="1">
      <c r="A682" s="1"/>
      <c r="B682" s="1" t="s">
        <v>110</v>
      </c>
      <c r="C682" s="1" t="s">
        <v>45</v>
      </c>
      <c r="D682" s="1" t="s">
        <v>249</v>
      </c>
      <c r="E682" s="1">
        <v>-3</v>
      </c>
      <c r="F682" s="1" t="s">
        <v>146</v>
      </c>
      <c r="G682" s="1" t="s">
        <v>437</v>
      </c>
      <c r="H682" s="1" t="s">
        <v>550</v>
      </c>
      <c r="I682" s="1" t="s">
        <v>553</v>
      </c>
    </row>
    <row r="683" spans="1:9" ht="25" customHeight="1">
      <c r="A683" s="1"/>
      <c r="B683" s="1" t="s">
        <v>110</v>
      </c>
      <c r="C683" s="1" t="s">
        <v>45</v>
      </c>
      <c r="D683" s="1" t="s">
        <v>79</v>
      </c>
      <c r="E683" s="1">
        <v>1</v>
      </c>
      <c r="F683" s="1" t="s">
        <v>146</v>
      </c>
      <c r="G683" s="1" t="s">
        <v>437</v>
      </c>
      <c r="H683" s="1" t="s">
        <v>550</v>
      </c>
      <c r="I683" s="1" t="s">
        <v>553</v>
      </c>
    </row>
    <row r="684" spans="1:9" ht="25" customHeight="1">
      <c r="A684" s="1"/>
      <c r="B684" s="1" t="s">
        <v>110</v>
      </c>
      <c r="C684" s="1" t="s">
        <v>45</v>
      </c>
      <c r="D684" s="1" t="s">
        <v>250</v>
      </c>
      <c r="E684" s="1">
        <v>3</v>
      </c>
      <c r="F684" s="1" t="s">
        <v>146</v>
      </c>
      <c r="G684" s="1" t="s">
        <v>437</v>
      </c>
      <c r="H684" s="1" t="s">
        <v>550</v>
      </c>
      <c r="I684" s="1" t="s">
        <v>553</v>
      </c>
    </row>
    <row r="685" spans="1:9" ht="25" customHeight="1">
      <c r="A685" s="1"/>
      <c r="B685" s="1" t="s">
        <v>110</v>
      </c>
      <c r="C685" s="1" t="s">
        <v>45</v>
      </c>
      <c r="D685" s="1" t="s">
        <v>251</v>
      </c>
      <c r="E685" s="1">
        <v>0</v>
      </c>
      <c r="F685" s="1" t="s">
        <v>146</v>
      </c>
      <c r="G685" s="1" t="s">
        <v>437</v>
      </c>
      <c r="H685" s="1" t="s">
        <v>550</v>
      </c>
      <c r="I685" s="1" t="s">
        <v>553</v>
      </c>
    </row>
    <row r="686" spans="1:9" ht="25" customHeight="1">
      <c r="A686" s="1"/>
      <c r="B686" s="1" t="s">
        <v>110</v>
      </c>
      <c r="C686" s="1" t="s">
        <v>45</v>
      </c>
      <c r="D686" s="1" t="s">
        <v>252</v>
      </c>
      <c r="E686" s="1">
        <v>0</v>
      </c>
      <c r="F686" s="1" t="s">
        <v>146</v>
      </c>
      <c r="G686" s="1" t="s">
        <v>437</v>
      </c>
      <c r="H686" s="1" t="s">
        <v>550</v>
      </c>
      <c r="I686" s="1" t="s">
        <v>553</v>
      </c>
    </row>
    <row r="687" spans="1:9" ht="25" customHeight="1">
      <c r="A687" s="1"/>
      <c r="B687" s="1" t="s">
        <v>110</v>
      </c>
      <c r="C687" s="1" t="s">
        <v>50</v>
      </c>
      <c r="D687" s="1" t="s">
        <v>245</v>
      </c>
      <c r="E687" s="1">
        <v>-1</v>
      </c>
      <c r="F687" s="1" t="s">
        <v>146</v>
      </c>
      <c r="G687" s="1" t="s">
        <v>439</v>
      </c>
      <c r="H687" s="1" t="s">
        <v>550</v>
      </c>
      <c r="I687" s="1" t="s">
        <v>554</v>
      </c>
    </row>
    <row r="688" spans="1:9" ht="25" customHeight="1">
      <c r="A688" s="1"/>
      <c r="B688" s="1" t="s">
        <v>110</v>
      </c>
      <c r="C688" s="1" t="s">
        <v>50</v>
      </c>
      <c r="D688" s="1" t="s">
        <v>75</v>
      </c>
      <c r="E688" s="1">
        <v>0</v>
      </c>
      <c r="F688" s="1" t="s">
        <v>146</v>
      </c>
      <c r="G688" s="1" t="s">
        <v>439</v>
      </c>
      <c r="H688" s="1" t="s">
        <v>550</v>
      </c>
      <c r="I688" s="1" t="s">
        <v>554</v>
      </c>
    </row>
    <row r="689" spans="1:9" ht="25" customHeight="1">
      <c r="A689" s="1"/>
      <c r="B689" s="1" t="s">
        <v>110</v>
      </c>
      <c r="C689" s="1" t="s">
        <v>50</v>
      </c>
      <c r="D689" s="1" t="s">
        <v>249</v>
      </c>
      <c r="E689" s="1">
        <v>-2</v>
      </c>
      <c r="F689" s="1" t="s">
        <v>146</v>
      </c>
      <c r="G689" s="1" t="s">
        <v>439</v>
      </c>
      <c r="H689" s="1" t="s">
        <v>550</v>
      </c>
      <c r="I689" s="1" t="s">
        <v>554</v>
      </c>
    </row>
    <row r="690" spans="1:9" ht="25" customHeight="1">
      <c r="A690" s="1"/>
      <c r="B690" s="1" t="s">
        <v>110</v>
      </c>
      <c r="C690" s="1" t="s">
        <v>50</v>
      </c>
      <c r="D690" s="1" t="s">
        <v>79</v>
      </c>
      <c r="E690" s="1">
        <v>0</v>
      </c>
      <c r="F690" s="1" t="s">
        <v>146</v>
      </c>
      <c r="G690" s="1" t="s">
        <v>439</v>
      </c>
      <c r="H690" s="1" t="s">
        <v>550</v>
      </c>
      <c r="I690" s="1" t="s">
        <v>554</v>
      </c>
    </row>
    <row r="691" spans="1:9" ht="25" customHeight="1">
      <c r="A691" s="1"/>
      <c r="B691" s="1" t="s">
        <v>110</v>
      </c>
      <c r="C691" s="1" t="s">
        <v>50</v>
      </c>
      <c r="D691" s="1" t="s">
        <v>250</v>
      </c>
      <c r="E691" s="1">
        <v>0</v>
      </c>
      <c r="F691" s="1" t="s">
        <v>146</v>
      </c>
      <c r="G691" s="1" t="s">
        <v>439</v>
      </c>
      <c r="H691" s="1" t="s">
        <v>550</v>
      </c>
      <c r="I691" s="1" t="s">
        <v>554</v>
      </c>
    </row>
    <row r="692" spans="1:9" ht="25" customHeight="1">
      <c r="A692" s="1"/>
      <c r="B692" s="1" t="s">
        <v>110</v>
      </c>
      <c r="C692" s="1" t="s">
        <v>50</v>
      </c>
      <c r="D692" s="1" t="s">
        <v>251</v>
      </c>
      <c r="E692" s="1">
        <v>0</v>
      </c>
      <c r="F692" s="1" t="s">
        <v>146</v>
      </c>
      <c r="G692" s="1" t="s">
        <v>439</v>
      </c>
      <c r="H692" s="1" t="s">
        <v>550</v>
      </c>
      <c r="I692" s="1" t="s">
        <v>554</v>
      </c>
    </row>
    <row r="693" spans="1:9" ht="25" customHeight="1">
      <c r="A693" s="1"/>
      <c r="B693" s="1" t="s">
        <v>110</v>
      </c>
      <c r="C693" s="1" t="s">
        <v>50</v>
      </c>
      <c r="D693" s="1" t="s">
        <v>252</v>
      </c>
      <c r="E693" s="1">
        <v>-3</v>
      </c>
      <c r="F693" s="1" t="s">
        <v>146</v>
      </c>
      <c r="G693" s="1" t="s">
        <v>439</v>
      </c>
      <c r="H693" s="1" t="s">
        <v>550</v>
      </c>
      <c r="I693" s="1" t="s">
        <v>554</v>
      </c>
    </row>
    <row r="694" spans="1:9" ht="25" customHeight="1">
      <c r="A694" s="1"/>
      <c r="B694" s="1" t="s">
        <v>110</v>
      </c>
      <c r="C694" s="1" t="s">
        <v>55</v>
      </c>
      <c r="D694" s="1" t="s">
        <v>245</v>
      </c>
      <c r="E694" s="1">
        <v>-2</v>
      </c>
      <c r="F694" s="1" t="s">
        <v>146</v>
      </c>
      <c r="G694" s="1" t="s">
        <v>441</v>
      </c>
      <c r="H694" s="1" t="s">
        <v>550</v>
      </c>
      <c r="I694" s="1" t="s">
        <v>555</v>
      </c>
    </row>
    <row r="695" spans="1:9" ht="25" customHeight="1">
      <c r="A695" s="1"/>
      <c r="B695" s="1" t="s">
        <v>110</v>
      </c>
      <c r="C695" s="1" t="s">
        <v>55</v>
      </c>
      <c r="D695" s="1" t="s">
        <v>75</v>
      </c>
      <c r="E695" s="1">
        <v>-2</v>
      </c>
      <c r="F695" s="1" t="s">
        <v>146</v>
      </c>
      <c r="G695" s="1" t="s">
        <v>441</v>
      </c>
      <c r="H695" s="1" t="s">
        <v>550</v>
      </c>
      <c r="I695" s="1" t="s">
        <v>555</v>
      </c>
    </row>
    <row r="696" spans="1:9" ht="25" customHeight="1">
      <c r="A696" s="1"/>
      <c r="B696" s="1" t="s">
        <v>110</v>
      </c>
      <c r="C696" s="1" t="s">
        <v>55</v>
      </c>
      <c r="D696" s="1" t="s">
        <v>249</v>
      </c>
      <c r="E696" s="1">
        <v>-2</v>
      </c>
      <c r="F696" s="1" t="s">
        <v>146</v>
      </c>
      <c r="G696" s="1" t="s">
        <v>441</v>
      </c>
      <c r="H696" s="1" t="s">
        <v>550</v>
      </c>
      <c r="I696" s="1" t="s">
        <v>555</v>
      </c>
    </row>
    <row r="697" spans="1:9" ht="25" customHeight="1">
      <c r="A697" s="1"/>
      <c r="B697" s="1" t="s">
        <v>110</v>
      </c>
      <c r="C697" s="1" t="s">
        <v>55</v>
      </c>
      <c r="D697" s="1" t="s">
        <v>79</v>
      </c>
      <c r="E697" s="1">
        <v>0</v>
      </c>
      <c r="F697" s="1" t="s">
        <v>146</v>
      </c>
      <c r="G697" s="1" t="s">
        <v>441</v>
      </c>
      <c r="H697" s="1" t="s">
        <v>550</v>
      </c>
      <c r="I697" s="1" t="s">
        <v>555</v>
      </c>
    </row>
    <row r="698" spans="1:9" ht="25" customHeight="1">
      <c r="A698" s="1"/>
      <c r="B698" s="1" t="s">
        <v>110</v>
      </c>
      <c r="C698" s="1" t="s">
        <v>55</v>
      </c>
      <c r="D698" s="1" t="s">
        <v>250</v>
      </c>
      <c r="E698" s="1">
        <v>1</v>
      </c>
      <c r="F698" s="1" t="s">
        <v>146</v>
      </c>
      <c r="G698" s="1" t="s">
        <v>441</v>
      </c>
      <c r="H698" s="1" t="s">
        <v>550</v>
      </c>
      <c r="I698" s="1" t="s">
        <v>555</v>
      </c>
    </row>
    <row r="699" spans="1:9" ht="25" customHeight="1">
      <c r="A699" s="1"/>
      <c r="B699" s="1" t="s">
        <v>110</v>
      </c>
      <c r="C699" s="1" t="s">
        <v>55</v>
      </c>
      <c r="D699" s="1" t="s">
        <v>251</v>
      </c>
      <c r="E699" s="1">
        <v>-1</v>
      </c>
      <c r="F699" s="1" t="s">
        <v>146</v>
      </c>
      <c r="G699" s="1" t="s">
        <v>441</v>
      </c>
      <c r="H699" s="1" t="s">
        <v>550</v>
      </c>
      <c r="I699" s="1" t="s">
        <v>555</v>
      </c>
    </row>
    <row r="700" spans="1:9" ht="25" customHeight="1">
      <c r="A700" s="1"/>
      <c r="B700" s="1" t="s">
        <v>110</v>
      </c>
      <c r="C700" s="1" t="s">
        <v>55</v>
      </c>
      <c r="D700" s="1" t="s">
        <v>252</v>
      </c>
      <c r="E700" s="1">
        <v>-4</v>
      </c>
      <c r="F700" s="1" t="s">
        <v>146</v>
      </c>
      <c r="G700" s="1" t="s">
        <v>441</v>
      </c>
      <c r="H700" s="1" t="s">
        <v>550</v>
      </c>
      <c r="I700" s="1" t="s">
        <v>555</v>
      </c>
    </row>
    <row r="701" spans="1:9" ht="25" customHeight="1">
      <c r="A701" s="1"/>
      <c r="B701" s="1" t="s">
        <v>110</v>
      </c>
      <c r="C701" s="1" t="s">
        <v>134</v>
      </c>
      <c r="D701" s="1" t="s">
        <v>245</v>
      </c>
      <c r="E701" s="1">
        <v>-1</v>
      </c>
      <c r="F701" s="1" t="s">
        <v>146</v>
      </c>
      <c r="G701" s="1" t="s">
        <v>443</v>
      </c>
      <c r="H701" s="1" t="s">
        <v>550</v>
      </c>
      <c r="I701" s="1" t="s">
        <v>556</v>
      </c>
    </row>
    <row r="702" spans="1:9" ht="25" customHeight="1">
      <c r="A702" s="1"/>
      <c r="B702" s="1" t="s">
        <v>110</v>
      </c>
      <c r="C702" s="1" t="s">
        <v>134</v>
      </c>
      <c r="D702" s="1" t="s">
        <v>75</v>
      </c>
      <c r="E702" s="1">
        <v>0</v>
      </c>
      <c r="F702" s="1" t="s">
        <v>146</v>
      </c>
      <c r="G702" s="1" t="s">
        <v>443</v>
      </c>
      <c r="H702" s="1" t="s">
        <v>550</v>
      </c>
      <c r="I702" s="1" t="s">
        <v>556</v>
      </c>
    </row>
    <row r="703" spans="1:9" ht="25" customHeight="1">
      <c r="A703" s="1"/>
      <c r="B703" s="1" t="s">
        <v>110</v>
      </c>
      <c r="C703" s="1" t="s">
        <v>134</v>
      </c>
      <c r="D703" s="1" t="s">
        <v>249</v>
      </c>
      <c r="E703" s="1">
        <v>-2</v>
      </c>
      <c r="F703" s="1" t="s">
        <v>146</v>
      </c>
      <c r="G703" s="1" t="s">
        <v>443</v>
      </c>
      <c r="H703" s="1" t="s">
        <v>550</v>
      </c>
      <c r="I703" s="1" t="s">
        <v>556</v>
      </c>
    </row>
    <row r="704" spans="1:9" ht="25" customHeight="1">
      <c r="A704" s="1"/>
      <c r="B704" s="1" t="s">
        <v>110</v>
      </c>
      <c r="C704" s="1" t="s">
        <v>134</v>
      </c>
      <c r="D704" s="1" t="s">
        <v>79</v>
      </c>
      <c r="E704" s="1">
        <v>1</v>
      </c>
      <c r="F704" s="1" t="s">
        <v>146</v>
      </c>
      <c r="G704" s="1" t="s">
        <v>443</v>
      </c>
      <c r="H704" s="1" t="s">
        <v>550</v>
      </c>
      <c r="I704" s="1" t="s">
        <v>556</v>
      </c>
    </row>
    <row r="705" spans="1:9" ht="25" customHeight="1">
      <c r="A705" s="1"/>
      <c r="B705" s="1" t="s">
        <v>110</v>
      </c>
      <c r="C705" s="1" t="s">
        <v>134</v>
      </c>
      <c r="D705" s="1" t="s">
        <v>250</v>
      </c>
      <c r="E705" s="1">
        <v>0</v>
      </c>
      <c r="F705" s="1" t="s">
        <v>146</v>
      </c>
      <c r="G705" s="1" t="s">
        <v>443</v>
      </c>
      <c r="H705" s="1" t="s">
        <v>550</v>
      </c>
      <c r="I705" s="1" t="s">
        <v>556</v>
      </c>
    </row>
    <row r="706" spans="1:9" ht="25" customHeight="1">
      <c r="A706" s="1"/>
      <c r="B706" s="1" t="s">
        <v>110</v>
      </c>
      <c r="C706" s="1" t="s">
        <v>134</v>
      </c>
      <c r="D706" s="1" t="s">
        <v>251</v>
      </c>
      <c r="E706" s="1">
        <v>0</v>
      </c>
      <c r="F706" s="1" t="s">
        <v>146</v>
      </c>
      <c r="G706" s="1" t="s">
        <v>443</v>
      </c>
      <c r="H706" s="1" t="s">
        <v>550</v>
      </c>
      <c r="I706" s="1" t="s">
        <v>556</v>
      </c>
    </row>
    <row r="707" spans="1:9" ht="25" customHeight="1">
      <c r="A707" s="1"/>
      <c r="B707" s="1" t="s">
        <v>110</v>
      </c>
      <c r="C707" s="1" t="s">
        <v>134</v>
      </c>
      <c r="D707" s="1" t="s">
        <v>252</v>
      </c>
      <c r="E707" s="1">
        <v>-2</v>
      </c>
      <c r="F707" s="1" t="s">
        <v>146</v>
      </c>
      <c r="G707" s="1" t="s">
        <v>443</v>
      </c>
      <c r="H707" s="1" t="s">
        <v>550</v>
      </c>
      <c r="I707" s="1" t="s">
        <v>556</v>
      </c>
    </row>
    <row r="708" spans="1:9" ht="25" customHeight="1">
      <c r="A708" s="1"/>
      <c r="B708" s="1" t="s">
        <v>110</v>
      </c>
      <c r="C708" s="1" t="s">
        <v>34</v>
      </c>
      <c r="D708" s="1" t="s">
        <v>263</v>
      </c>
      <c r="E708" s="1">
        <v>3490</v>
      </c>
      <c r="F708" s="1" t="s">
        <v>146</v>
      </c>
      <c r="G708" s="1" t="s">
        <v>280</v>
      </c>
      <c r="H708" s="1" t="s">
        <v>550</v>
      </c>
      <c r="I708" s="1" t="s">
        <v>557</v>
      </c>
    </row>
    <row r="709" spans="1:9" ht="25" customHeight="1">
      <c r="A709" s="1"/>
      <c r="B709" s="1" t="s">
        <v>110</v>
      </c>
      <c r="C709" s="1" t="s">
        <v>43</v>
      </c>
      <c r="D709" s="1" t="s">
        <v>263</v>
      </c>
      <c r="E709" s="1">
        <v>1505</v>
      </c>
      <c r="F709" s="1" t="s">
        <v>146</v>
      </c>
      <c r="G709" s="1" t="s">
        <v>282</v>
      </c>
      <c r="H709" s="1" t="s">
        <v>550</v>
      </c>
      <c r="I709" s="1" t="s">
        <v>558</v>
      </c>
    </row>
    <row r="710" spans="1:9" ht="25" customHeight="1">
      <c r="A710" s="1"/>
      <c r="B710" s="1" t="s">
        <v>110</v>
      </c>
      <c r="C710" s="1" t="s">
        <v>45</v>
      </c>
      <c r="D710" s="1" t="s">
        <v>263</v>
      </c>
      <c r="E710" s="1">
        <v>2880</v>
      </c>
      <c r="F710" s="1" t="s">
        <v>146</v>
      </c>
      <c r="G710" s="1" t="s">
        <v>284</v>
      </c>
      <c r="H710" s="1" t="s">
        <v>550</v>
      </c>
      <c r="I710" s="1" t="s">
        <v>559</v>
      </c>
    </row>
    <row r="711" spans="1:9" ht="25" customHeight="1">
      <c r="A711" s="1"/>
      <c r="B711" s="1" t="s">
        <v>110</v>
      </c>
      <c r="C711" s="1" t="s">
        <v>50</v>
      </c>
      <c r="D711" s="1" t="s">
        <v>263</v>
      </c>
      <c r="E711" s="1">
        <v>6948</v>
      </c>
      <c r="F711" s="1" t="s">
        <v>146</v>
      </c>
      <c r="G711" s="1" t="s">
        <v>286</v>
      </c>
      <c r="H711" s="1" t="s">
        <v>550</v>
      </c>
      <c r="I711" s="1" t="s">
        <v>560</v>
      </c>
    </row>
    <row r="712" spans="1:9" ht="25" customHeight="1">
      <c r="A712" s="1"/>
      <c r="B712" s="1" t="s">
        <v>110</v>
      </c>
      <c r="C712" s="1" t="s">
        <v>55</v>
      </c>
      <c r="D712" s="1" t="s">
        <v>263</v>
      </c>
      <c r="E712" s="1">
        <v>4755</v>
      </c>
      <c r="F712" s="1" t="s">
        <v>146</v>
      </c>
      <c r="G712" s="1" t="s">
        <v>288</v>
      </c>
      <c r="H712" s="1" t="s">
        <v>550</v>
      </c>
      <c r="I712" s="1" t="s">
        <v>561</v>
      </c>
    </row>
    <row r="713" spans="1:9" ht="25" customHeight="1">
      <c r="A713" s="1"/>
      <c r="B713" s="1" t="s">
        <v>110</v>
      </c>
      <c r="C713" s="1" t="s">
        <v>133</v>
      </c>
      <c r="D713" s="1" t="s">
        <v>263</v>
      </c>
      <c r="E713" s="1">
        <v>198</v>
      </c>
      <c r="F713" s="1" t="s">
        <v>146</v>
      </c>
      <c r="G713" s="1" t="s">
        <v>482</v>
      </c>
      <c r="H713" s="1" t="s">
        <v>550</v>
      </c>
      <c r="I713" s="1" t="s">
        <v>562</v>
      </c>
    </row>
    <row r="714" spans="1:9" ht="25" customHeight="1">
      <c r="A714" s="1"/>
      <c r="B714" s="1" t="s">
        <v>110</v>
      </c>
      <c r="C714" s="1" t="s">
        <v>134</v>
      </c>
      <c r="D714" s="1" t="s">
        <v>263</v>
      </c>
      <c r="E714" s="1">
        <v>19776</v>
      </c>
      <c r="F714" s="1" t="s">
        <v>146</v>
      </c>
      <c r="G714" s="1" t="s">
        <v>484</v>
      </c>
      <c r="H714" s="1" t="s">
        <v>550</v>
      </c>
      <c r="I714" s="1" t="s">
        <v>563</v>
      </c>
    </row>
    <row r="715" spans="1:9" ht="25" customHeight="1">
      <c r="A715" s="1"/>
      <c r="B715" s="1" t="s">
        <v>110</v>
      </c>
      <c r="C715" s="1" t="s">
        <v>34</v>
      </c>
      <c r="D715" s="1" t="s">
        <v>81</v>
      </c>
      <c r="E715" s="1">
        <v>2</v>
      </c>
      <c r="F715" s="1" t="s">
        <v>146</v>
      </c>
      <c r="G715" s="1" t="s">
        <v>486</v>
      </c>
      <c r="H715" s="1" t="s">
        <v>550</v>
      </c>
      <c r="I715" s="1" t="s">
        <v>564</v>
      </c>
    </row>
    <row r="716" spans="1:9" ht="25" customHeight="1">
      <c r="A716" s="1"/>
      <c r="B716" s="1" t="s">
        <v>110</v>
      </c>
      <c r="C716" s="1" t="s">
        <v>43</v>
      </c>
      <c r="D716" s="1" t="s">
        <v>81</v>
      </c>
      <c r="E716" s="1">
        <v>3</v>
      </c>
      <c r="F716" s="1" t="s">
        <v>146</v>
      </c>
      <c r="G716" s="1" t="s">
        <v>445</v>
      </c>
      <c r="H716" s="1" t="s">
        <v>550</v>
      </c>
      <c r="I716" s="1" t="s">
        <v>565</v>
      </c>
    </row>
    <row r="717" spans="1:9" ht="25" customHeight="1">
      <c r="A717" s="1"/>
      <c r="B717" s="1" t="s">
        <v>110</v>
      </c>
      <c r="C717" s="1" t="s">
        <v>45</v>
      </c>
      <c r="D717" s="1" t="s">
        <v>81</v>
      </c>
      <c r="E717" s="1">
        <v>4</v>
      </c>
      <c r="F717" s="1" t="s">
        <v>146</v>
      </c>
      <c r="G717" s="1" t="s">
        <v>447</v>
      </c>
      <c r="H717" s="1" t="s">
        <v>550</v>
      </c>
      <c r="I717" s="1" t="s">
        <v>566</v>
      </c>
    </row>
    <row r="718" spans="1:9" ht="25" customHeight="1">
      <c r="A718" s="1"/>
      <c r="B718" s="1" t="s">
        <v>110</v>
      </c>
      <c r="C718" s="1" t="s">
        <v>50</v>
      </c>
      <c r="D718" s="1" t="s">
        <v>81</v>
      </c>
      <c r="E718" s="1">
        <v>0</v>
      </c>
      <c r="F718" s="1" t="s">
        <v>146</v>
      </c>
      <c r="G718" s="1" t="s">
        <v>449</v>
      </c>
      <c r="H718" s="1" t="s">
        <v>550</v>
      </c>
      <c r="I718" s="1" t="s">
        <v>567</v>
      </c>
    </row>
    <row r="719" spans="1:9" ht="25" customHeight="1">
      <c r="A719" s="1"/>
      <c r="B719" s="1" t="s">
        <v>110</v>
      </c>
      <c r="C719" s="1" t="s">
        <v>55</v>
      </c>
      <c r="D719" s="1" t="s">
        <v>81</v>
      </c>
      <c r="E719" s="1">
        <v>-1</v>
      </c>
      <c r="F719" s="1" t="s">
        <v>146</v>
      </c>
      <c r="G719" s="1" t="s">
        <v>451</v>
      </c>
      <c r="H719" s="1" t="s">
        <v>550</v>
      </c>
      <c r="I719" s="1" t="s">
        <v>568</v>
      </c>
    </row>
    <row r="720" spans="1:9" ht="25" customHeight="1">
      <c r="A720" s="1"/>
      <c r="B720" s="1" t="s">
        <v>110</v>
      </c>
      <c r="C720" s="1" t="s">
        <v>134</v>
      </c>
      <c r="D720" s="1" t="s">
        <v>81</v>
      </c>
      <c r="E720" s="1">
        <v>1</v>
      </c>
      <c r="F720" s="1" t="s">
        <v>146</v>
      </c>
      <c r="G720" s="1" t="s">
        <v>453</v>
      </c>
      <c r="H720" s="1" t="s">
        <v>550</v>
      </c>
      <c r="I720" s="1" t="s">
        <v>569</v>
      </c>
    </row>
    <row r="721" spans="1:9" ht="25" customHeight="1">
      <c r="A721" s="1"/>
      <c r="B721" s="1" t="s">
        <v>111</v>
      </c>
      <c r="C721" s="1" t="s">
        <v>34</v>
      </c>
      <c r="D721" s="1" t="s">
        <v>245</v>
      </c>
      <c r="E721" s="1">
        <v>1</v>
      </c>
      <c r="F721" s="1" t="s">
        <v>147</v>
      </c>
      <c r="G721" s="1" t="s">
        <v>570</v>
      </c>
      <c r="H721" s="1" t="s">
        <v>571</v>
      </c>
      <c r="I721" s="1" t="s">
        <v>572</v>
      </c>
    </row>
    <row r="722" spans="1:9" ht="25" customHeight="1">
      <c r="A722" s="1"/>
      <c r="B722" s="1" t="s">
        <v>111</v>
      </c>
      <c r="C722" s="1" t="s">
        <v>34</v>
      </c>
      <c r="D722" s="1" t="s">
        <v>249</v>
      </c>
      <c r="E722" s="1">
        <v>-1</v>
      </c>
      <c r="F722" s="1" t="s">
        <v>147</v>
      </c>
      <c r="G722" s="1" t="s">
        <v>570</v>
      </c>
      <c r="H722" s="1" t="s">
        <v>571</v>
      </c>
      <c r="I722" s="1" t="s">
        <v>572</v>
      </c>
    </row>
    <row r="723" spans="1:9" ht="25" customHeight="1">
      <c r="A723" s="1"/>
      <c r="B723" s="1" t="s">
        <v>111</v>
      </c>
      <c r="C723" s="1" t="s">
        <v>34</v>
      </c>
      <c r="D723" s="1" t="s">
        <v>79</v>
      </c>
      <c r="E723" s="1">
        <v>1</v>
      </c>
      <c r="F723" s="1" t="s">
        <v>147</v>
      </c>
      <c r="G723" s="1" t="s">
        <v>570</v>
      </c>
      <c r="H723" s="1" t="s">
        <v>571</v>
      </c>
      <c r="I723" s="1" t="s">
        <v>572</v>
      </c>
    </row>
    <row r="724" spans="1:9" ht="25" customHeight="1">
      <c r="A724" s="1"/>
      <c r="B724" s="1" t="s">
        <v>111</v>
      </c>
      <c r="C724" s="1" t="s">
        <v>34</v>
      </c>
      <c r="D724" s="1" t="s">
        <v>250</v>
      </c>
      <c r="E724" s="1">
        <v>-1</v>
      </c>
      <c r="F724" s="1" t="s">
        <v>147</v>
      </c>
      <c r="G724" s="1" t="s">
        <v>570</v>
      </c>
      <c r="H724" s="1" t="s">
        <v>571</v>
      </c>
      <c r="I724" s="1" t="s">
        <v>572</v>
      </c>
    </row>
    <row r="725" spans="1:9" ht="25" customHeight="1">
      <c r="A725" s="1"/>
      <c r="B725" s="1" t="s">
        <v>111</v>
      </c>
      <c r="C725" s="1" t="s">
        <v>34</v>
      </c>
      <c r="D725" s="1" t="s">
        <v>251</v>
      </c>
      <c r="E725" s="1">
        <v>0</v>
      </c>
      <c r="F725" s="1" t="s">
        <v>147</v>
      </c>
      <c r="G725" s="1" t="s">
        <v>570</v>
      </c>
      <c r="H725" s="1" t="s">
        <v>571</v>
      </c>
      <c r="I725" s="1" t="s">
        <v>572</v>
      </c>
    </row>
    <row r="726" spans="1:9" ht="25" customHeight="1">
      <c r="A726" s="1"/>
      <c r="B726" s="1" t="s">
        <v>111</v>
      </c>
      <c r="C726" s="1" t="s">
        <v>34</v>
      </c>
      <c r="D726" s="1" t="s">
        <v>252</v>
      </c>
      <c r="E726" s="1">
        <v>0</v>
      </c>
      <c r="F726" s="1" t="s">
        <v>147</v>
      </c>
      <c r="G726" s="1" t="s">
        <v>570</v>
      </c>
      <c r="H726" s="1" t="s">
        <v>571</v>
      </c>
      <c r="I726" s="1" t="s">
        <v>572</v>
      </c>
    </row>
    <row r="727" spans="1:9" ht="25" customHeight="1">
      <c r="A727" s="1"/>
      <c r="B727" s="1" t="s">
        <v>111</v>
      </c>
      <c r="C727" s="1" t="s">
        <v>34</v>
      </c>
      <c r="D727" s="1" t="s">
        <v>75</v>
      </c>
      <c r="E727" s="1">
        <v>1</v>
      </c>
      <c r="F727" s="1" t="s">
        <v>147</v>
      </c>
      <c r="G727" s="1" t="s">
        <v>570</v>
      </c>
      <c r="H727" s="1" t="s">
        <v>571</v>
      </c>
      <c r="I727" s="1" t="s">
        <v>572</v>
      </c>
    </row>
    <row r="728" spans="1:9" ht="25" customHeight="1">
      <c r="A728" s="1"/>
      <c r="B728" s="1" t="s">
        <v>111</v>
      </c>
      <c r="C728" s="1" t="s">
        <v>34</v>
      </c>
      <c r="D728" s="1" t="s">
        <v>81</v>
      </c>
      <c r="E728" s="1">
        <v>1</v>
      </c>
      <c r="F728" s="1" t="s">
        <v>147</v>
      </c>
      <c r="G728" s="1" t="s">
        <v>570</v>
      </c>
      <c r="H728" s="1" t="s">
        <v>571</v>
      </c>
      <c r="I728" s="1" t="s">
        <v>572</v>
      </c>
    </row>
    <row r="729" spans="1:9" ht="25" customHeight="1">
      <c r="A729" s="1"/>
      <c r="B729" s="1" t="s">
        <v>111</v>
      </c>
      <c r="C729" s="1" t="s">
        <v>43</v>
      </c>
      <c r="D729" s="1" t="s">
        <v>245</v>
      </c>
      <c r="E729" s="1">
        <v>0</v>
      </c>
      <c r="F729" s="1" t="s">
        <v>147</v>
      </c>
      <c r="G729" s="1" t="s">
        <v>573</v>
      </c>
      <c r="H729" s="1" t="s">
        <v>571</v>
      </c>
      <c r="I729" s="1" t="s">
        <v>574</v>
      </c>
    </row>
    <row r="730" spans="1:9" ht="25" customHeight="1">
      <c r="A730" s="1"/>
      <c r="B730" s="1" t="s">
        <v>111</v>
      </c>
      <c r="C730" s="1" t="s">
        <v>43</v>
      </c>
      <c r="D730" s="1" t="s">
        <v>249</v>
      </c>
      <c r="E730" s="1">
        <v>0</v>
      </c>
      <c r="F730" s="1" t="s">
        <v>147</v>
      </c>
      <c r="G730" s="1" t="s">
        <v>573</v>
      </c>
      <c r="H730" s="1" t="s">
        <v>571</v>
      </c>
      <c r="I730" s="1" t="s">
        <v>574</v>
      </c>
    </row>
    <row r="731" spans="1:9" ht="25" customHeight="1">
      <c r="A731" s="1"/>
      <c r="B731" s="1" t="s">
        <v>111</v>
      </c>
      <c r="C731" s="1" t="s">
        <v>43</v>
      </c>
      <c r="D731" s="1" t="s">
        <v>79</v>
      </c>
      <c r="E731" s="1">
        <v>4</v>
      </c>
      <c r="F731" s="1" t="s">
        <v>147</v>
      </c>
      <c r="G731" s="1" t="s">
        <v>573</v>
      </c>
      <c r="H731" s="1" t="s">
        <v>571</v>
      </c>
      <c r="I731" s="1" t="s">
        <v>574</v>
      </c>
    </row>
    <row r="732" spans="1:9" ht="25" customHeight="1">
      <c r="A732" s="1"/>
      <c r="B732" s="1" t="s">
        <v>111</v>
      </c>
      <c r="C732" s="1" t="s">
        <v>43</v>
      </c>
      <c r="D732" s="1" t="s">
        <v>250</v>
      </c>
      <c r="E732" s="1">
        <v>-1</v>
      </c>
      <c r="F732" s="1" t="s">
        <v>147</v>
      </c>
      <c r="G732" s="1" t="s">
        <v>573</v>
      </c>
      <c r="H732" s="1" t="s">
        <v>571</v>
      </c>
      <c r="I732" s="1" t="s">
        <v>574</v>
      </c>
    </row>
    <row r="733" spans="1:9" ht="25" customHeight="1">
      <c r="A733" s="1"/>
      <c r="B733" s="1" t="s">
        <v>111</v>
      </c>
      <c r="C733" s="1" t="s">
        <v>43</v>
      </c>
      <c r="D733" s="1" t="s">
        <v>251</v>
      </c>
      <c r="E733" s="1">
        <v>-1</v>
      </c>
      <c r="F733" s="1" t="s">
        <v>147</v>
      </c>
      <c r="G733" s="1" t="s">
        <v>573</v>
      </c>
      <c r="H733" s="1" t="s">
        <v>571</v>
      </c>
      <c r="I733" s="1" t="s">
        <v>574</v>
      </c>
    </row>
    <row r="734" spans="1:9" ht="25" customHeight="1">
      <c r="A734" s="1"/>
      <c r="B734" s="1" t="s">
        <v>111</v>
      </c>
      <c r="C734" s="1" t="s">
        <v>43</v>
      </c>
      <c r="D734" s="1" t="s">
        <v>252</v>
      </c>
      <c r="E734" s="1">
        <v>2</v>
      </c>
      <c r="F734" s="1" t="s">
        <v>147</v>
      </c>
      <c r="G734" s="1" t="s">
        <v>573</v>
      </c>
      <c r="H734" s="1" t="s">
        <v>571</v>
      </c>
      <c r="I734" s="1" t="s">
        <v>574</v>
      </c>
    </row>
    <row r="735" spans="1:9" ht="25" customHeight="1">
      <c r="A735" s="1"/>
      <c r="B735" s="1" t="s">
        <v>111</v>
      </c>
      <c r="C735" s="1" t="s">
        <v>43</v>
      </c>
      <c r="D735" s="1" t="s">
        <v>75</v>
      </c>
      <c r="E735" s="1">
        <v>-1</v>
      </c>
      <c r="F735" s="1" t="s">
        <v>147</v>
      </c>
      <c r="G735" s="1" t="s">
        <v>573</v>
      </c>
      <c r="H735" s="1" t="s">
        <v>571</v>
      </c>
      <c r="I735" s="1" t="s">
        <v>574</v>
      </c>
    </row>
    <row r="736" spans="1:9" ht="25" customHeight="1">
      <c r="A736" s="1"/>
      <c r="B736" s="1" t="s">
        <v>111</v>
      </c>
      <c r="C736" s="1" t="s">
        <v>43</v>
      </c>
      <c r="D736" s="1" t="s">
        <v>81</v>
      </c>
      <c r="E736" s="1">
        <v>1</v>
      </c>
      <c r="F736" s="1" t="s">
        <v>147</v>
      </c>
      <c r="G736" s="1" t="s">
        <v>573</v>
      </c>
      <c r="H736" s="1" t="s">
        <v>571</v>
      </c>
      <c r="I736" s="1" t="s">
        <v>574</v>
      </c>
    </row>
    <row r="737" spans="1:9" ht="25" customHeight="1">
      <c r="A737" s="1"/>
      <c r="B737" s="1" t="s">
        <v>111</v>
      </c>
      <c r="C737" s="1" t="s">
        <v>45</v>
      </c>
      <c r="D737" s="1" t="s">
        <v>245</v>
      </c>
      <c r="E737" s="1">
        <v>-2</v>
      </c>
      <c r="F737" s="1" t="s">
        <v>147</v>
      </c>
      <c r="G737" s="1" t="s">
        <v>575</v>
      </c>
      <c r="H737" s="1" t="s">
        <v>571</v>
      </c>
      <c r="I737" s="1" t="s">
        <v>576</v>
      </c>
    </row>
    <row r="738" spans="1:9" ht="25" customHeight="1">
      <c r="A738" s="1"/>
      <c r="B738" s="1" t="s">
        <v>111</v>
      </c>
      <c r="C738" s="1" t="s">
        <v>45</v>
      </c>
      <c r="D738" s="1" t="s">
        <v>249</v>
      </c>
      <c r="E738" s="1">
        <v>0</v>
      </c>
      <c r="F738" s="1" t="s">
        <v>147</v>
      </c>
      <c r="G738" s="1" t="s">
        <v>575</v>
      </c>
      <c r="H738" s="1" t="s">
        <v>571</v>
      </c>
      <c r="I738" s="1" t="s">
        <v>576</v>
      </c>
    </row>
    <row r="739" spans="1:9" ht="25" customHeight="1">
      <c r="A739" s="1"/>
      <c r="B739" s="1" t="s">
        <v>111</v>
      </c>
      <c r="C739" s="1" t="s">
        <v>45</v>
      </c>
      <c r="D739" s="1" t="s">
        <v>79</v>
      </c>
      <c r="E739" s="1">
        <v>1</v>
      </c>
      <c r="F739" s="1" t="s">
        <v>147</v>
      </c>
      <c r="G739" s="1" t="s">
        <v>575</v>
      </c>
      <c r="H739" s="1" t="s">
        <v>571</v>
      </c>
      <c r="I739" s="1" t="s">
        <v>576</v>
      </c>
    </row>
    <row r="740" spans="1:9" ht="25" customHeight="1">
      <c r="A740" s="1"/>
      <c r="B740" s="1" t="s">
        <v>111</v>
      </c>
      <c r="C740" s="1" t="s">
        <v>45</v>
      </c>
      <c r="D740" s="1" t="s">
        <v>250</v>
      </c>
      <c r="E740" s="1">
        <v>3</v>
      </c>
      <c r="F740" s="1" t="s">
        <v>147</v>
      </c>
      <c r="G740" s="1" t="s">
        <v>575</v>
      </c>
      <c r="H740" s="1" t="s">
        <v>571</v>
      </c>
      <c r="I740" s="1" t="s">
        <v>576</v>
      </c>
    </row>
    <row r="741" spans="1:9" ht="25" customHeight="1">
      <c r="A741" s="1"/>
      <c r="B741" s="1" t="s">
        <v>111</v>
      </c>
      <c r="C741" s="1" t="s">
        <v>45</v>
      </c>
      <c r="D741" s="1" t="s">
        <v>251</v>
      </c>
      <c r="E741" s="1">
        <v>0</v>
      </c>
      <c r="F741" s="1" t="s">
        <v>147</v>
      </c>
      <c r="G741" s="1" t="s">
        <v>575</v>
      </c>
      <c r="H741" s="1" t="s">
        <v>571</v>
      </c>
      <c r="I741" s="1" t="s">
        <v>576</v>
      </c>
    </row>
    <row r="742" spans="1:9" ht="25" customHeight="1">
      <c r="A742" s="1"/>
      <c r="B742" s="1" t="s">
        <v>111</v>
      </c>
      <c r="C742" s="1" t="s">
        <v>45</v>
      </c>
      <c r="D742" s="1" t="s">
        <v>252</v>
      </c>
      <c r="E742" s="1">
        <v>2</v>
      </c>
      <c r="F742" s="1" t="s">
        <v>147</v>
      </c>
      <c r="G742" s="1" t="s">
        <v>575</v>
      </c>
      <c r="H742" s="1" t="s">
        <v>571</v>
      </c>
      <c r="I742" s="1" t="s">
        <v>576</v>
      </c>
    </row>
    <row r="743" spans="1:9" ht="25" customHeight="1">
      <c r="A743" s="1"/>
      <c r="B743" s="1" t="s">
        <v>111</v>
      </c>
      <c r="C743" s="1" t="s">
        <v>45</v>
      </c>
      <c r="D743" s="1" t="s">
        <v>75</v>
      </c>
      <c r="E743" s="1">
        <v>-2</v>
      </c>
      <c r="F743" s="1" t="s">
        <v>147</v>
      </c>
      <c r="G743" s="1" t="s">
        <v>575</v>
      </c>
      <c r="H743" s="1" t="s">
        <v>571</v>
      </c>
      <c r="I743" s="1" t="s">
        <v>576</v>
      </c>
    </row>
    <row r="744" spans="1:9" ht="25" customHeight="1">
      <c r="A744" s="1"/>
      <c r="B744" s="1" t="s">
        <v>111</v>
      </c>
      <c r="C744" s="1" t="s">
        <v>45</v>
      </c>
      <c r="D744" s="1" t="s">
        <v>81</v>
      </c>
      <c r="E744" s="1">
        <v>2</v>
      </c>
      <c r="F744" s="1" t="s">
        <v>147</v>
      </c>
      <c r="G744" s="1" t="s">
        <v>575</v>
      </c>
      <c r="H744" s="1" t="s">
        <v>571</v>
      </c>
      <c r="I744" s="1" t="s">
        <v>576</v>
      </c>
    </row>
    <row r="745" spans="1:9" ht="25" customHeight="1">
      <c r="A745" s="1"/>
      <c r="B745" s="1" t="s">
        <v>111</v>
      </c>
      <c r="C745" s="1" t="s">
        <v>50</v>
      </c>
      <c r="D745" s="1" t="s">
        <v>245</v>
      </c>
      <c r="E745" s="1">
        <v>0</v>
      </c>
      <c r="F745" s="1" t="s">
        <v>147</v>
      </c>
      <c r="G745" s="1" t="s">
        <v>577</v>
      </c>
      <c r="H745" s="1" t="s">
        <v>571</v>
      </c>
      <c r="I745" s="1" t="s">
        <v>578</v>
      </c>
    </row>
    <row r="746" spans="1:9" ht="25" customHeight="1">
      <c r="A746" s="1"/>
      <c r="B746" s="1" t="s">
        <v>111</v>
      </c>
      <c r="C746" s="1" t="s">
        <v>50</v>
      </c>
      <c r="D746" s="1" t="s">
        <v>249</v>
      </c>
      <c r="E746" s="1">
        <v>1</v>
      </c>
      <c r="F746" s="1" t="s">
        <v>147</v>
      </c>
      <c r="G746" s="1" t="s">
        <v>577</v>
      </c>
      <c r="H746" s="1" t="s">
        <v>571</v>
      </c>
      <c r="I746" s="1" t="s">
        <v>578</v>
      </c>
    </row>
    <row r="747" spans="1:9" ht="25" customHeight="1">
      <c r="A747" s="1"/>
      <c r="B747" s="1" t="s">
        <v>111</v>
      </c>
      <c r="C747" s="1" t="s">
        <v>50</v>
      </c>
      <c r="D747" s="1" t="s">
        <v>79</v>
      </c>
      <c r="E747" s="1">
        <v>1</v>
      </c>
      <c r="F747" s="1" t="s">
        <v>147</v>
      </c>
      <c r="G747" s="1" t="s">
        <v>577</v>
      </c>
      <c r="H747" s="1" t="s">
        <v>571</v>
      </c>
      <c r="I747" s="1" t="s">
        <v>578</v>
      </c>
    </row>
    <row r="748" spans="1:9" ht="25" customHeight="1">
      <c r="A748" s="1"/>
      <c r="B748" s="1" t="s">
        <v>111</v>
      </c>
      <c r="C748" s="1" t="s">
        <v>50</v>
      </c>
      <c r="D748" s="1" t="s">
        <v>250</v>
      </c>
      <c r="E748" s="1">
        <v>0</v>
      </c>
      <c r="F748" s="1" t="s">
        <v>147</v>
      </c>
      <c r="G748" s="1" t="s">
        <v>577</v>
      </c>
      <c r="H748" s="1" t="s">
        <v>571</v>
      </c>
      <c r="I748" s="1" t="s">
        <v>578</v>
      </c>
    </row>
    <row r="749" spans="1:9" ht="25" customHeight="1">
      <c r="A749" s="1"/>
      <c r="B749" s="1" t="s">
        <v>111</v>
      </c>
      <c r="C749" s="1" t="s">
        <v>50</v>
      </c>
      <c r="D749" s="1" t="s">
        <v>251</v>
      </c>
      <c r="E749" s="1">
        <v>0</v>
      </c>
      <c r="F749" s="1" t="s">
        <v>147</v>
      </c>
      <c r="G749" s="1" t="s">
        <v>577</v>
      </c>
      <c r="H749" s="1" t="s">
        <v>571</v>
      </c>
      <c r="I749" s="1" t="s">
        <v>578</v>
      </c>
    </row>
    <row r="750" spans="1:9" ht="25" customHeight="1">
      <c r="A750" s="1"/>
      <c r="B750" s="1" t="s">
        <v>111</v>
      </c>
      <c r="C750" s="1" t="s">
        <v>50</v>
      </c>
      <c r="D750" s="1" t="s">
        <v>252</v>
      </c>
      <c r="E750" s="1">
        <v>2</v>
      </c>
      <c r="F750" s="1" t="s">
        <v>147</v>
      </c>
      <c r="G750" s="1" t="s">
        <v>577</v>
      </c>
      <c r="H750" s="1" t="s">
        <v>571</v>
      </c>
      <c r="I750" s="1" t="s">
        <v>578</v>
      </c>
    </row>
    <row r="751" spans="1:9" ht="25" customHeight="1">
      <c r="A751" s="1"/>
      <c r="B751" s="1" t="s">
        <v>111</v>
      </c>
      <c r="C751" s="1" t="s">
        <v>50</v>
      </c>
      <c r="D751" s="1" t="s">
        <v>75</v>
      </c>
      <c r="E751" s="1">
        <v>0</v>
      </c>
      <c r="F751" s="1" t="s">
        <v>147</v>
      </c>
      <c r="G751" s="1" t="s">
        <v>577</v>
      </c>
      <c r="H751" s="1" t="s">
        <v>571</v>
      </c>
      <c r="I751" s="1" t="s">
        <v>578</v>
      </c>
    </row>
    <row r="752" spans="1:9" ht="25" customHeight="1">
      <c r="A752" s="1"/>
      <c r="B752" s="1" t="s">
        <v>111</v>
      </c>
      <c r="C752" s="1" t="s">
        <v>50</v>
      </c>
      <c r="D752" s="1" t="s">
        <v>81</v>
      </c>
      <c r="E752" s="1">
        <v>1</v>
      </c>
      <c r="F752" s="1" t="s">
        <v>147</v>
      </c>
      <c r="G752" s="1" t="s">
        <v>577</v>
      </c>
      <c r="H752" s="1" t="s">
        <v>571</v>
      </c>
      <c r="I752" s="1" t="s">
        <v>578</v>
      </c>
    </row>
    <row r="753" spans="1:9" ht="25" customHeight="1">
      <c r="A753" s="1"/>
      <c r="B753" s="1" t="s">
        <v>111</v>
      </c>
      <c r="C753" s="1" t="s">
        <v>55</v>
      </c>
      <c r="D753" s="1" t="s">
        <v>245</v>
      </c>
      <c r="E753" s="1">
        <v>0</v>
      </c>
      <c r="F753" s="1" t="s">
        <v>147</v>
      </c>
      <c r="G753" s="1" t="s">
        <v>579</v>
      </c>
      <c r="H753" s="1" t="s">
        <v>571</v>
      </c>
      <c r="I753" s="1" t="s">
        <v>580</v>
      </c>
    </row>
    <row r="754" spans="1:9" ht="25" customHeight="1">
      <c r="A754" s="1"/>
      <c r="B754" s="1" t="s">
        <v>111</v>
      </c>
      <c r="C754" s="1" t="s">
        <v>55</v>
      </c>
      <c r="D754" s="1" t="s">
        <v>249</v>
      </c>
      <c r="E754" s="1">
        <v>1</v>
      </c>
      <c r="F754" s="1" t="s">
        <v>147</v>
      </c>
      <c r="G754" s="1" t="s">
        <v>579</v>
      </c>
      <c r="H754" s="1" t="s">
        <v>571</v>
      </c>
      <c r="I754" s="1" t="s">
        <v>580</v>
      </c>
    </row>
    <row r="755" spans="1:9" ht="25" customHeight="1">
      <c r="A755" s="1"/>
      <c r="B755" s="1" t="s">
        <v>111</v>
      </c>
      <c r="C755" s="1" t="s">
        <v>55</v>
      </c>
      <c r="D755" s="1" t="s">
        <v>79</v>
      </c>
      <c r="E755" s="1">
        <v>1</v>
      </c>
      <c r="F755" s="1" t="s">
        <v>147</v>
      </c>
      <c r="G755" s="1" t="s">
        <v>579</v>
      </c>
      <c r="H755" s="1" t="s">
        <v>571</v>
      </c>
      <c r="I755" s="1" t="s">
        <v>580</v>
      </c>
    </row>
    <row r="756" spans="1:9" ht="25" customHeight="1">
      <c r="A756" s="1"/>
      <c r="B756" s="1" t="s">
        <v>111</v>
      </c>
      <c r="C756" s="1" t="s">
        <v>55</v>
      </c>
      <c r="D756" s="1" t="s">
        <v>250</v>
      </c>
      <c r="E756" s="1">
        <v>0</v>
      </c>
      <c r="F756" s="1" t="s">
        <v>147</v>
      </c>
      <c r="G756" s="1" t="s">
        <v>579</v>
      </c>
      <c r="H756" s="1" t="s">
        <v>571</v>
      </c>
      <c r="I756" s="1" t="s">
        <v>580</v>
      </c>
    </row>
    <row r="757" spans="1:9" ht="25" customHeight="1">
      <c r="A757" s="1"/>
      <c r="B757" s="1" t="s">
        <v>111</v>
      </c>
      <c r="C757" s="1" t="s">
        <v>55</v>
      </c>
      <c r="D757" s="1" t="s">
        <v>251</v>
      </c>
      <c r="E757" s="1">
        <v>0</v>
      </c>
      <c r="F757" s="1" t="s">
        <v>147</v>
      </c>
      <c r="G757" s="1" t="s">
        <v>579</v>
      </c>
      <c r="H757" s="1" t="s">
        <v>571</v>
      </c>
      <c r="I757" s="1" t="s">
        <v>580</v>
      </c>
    </row>
    <row r="758" spans="1:9" ht="25" customHeight="1">
      <c r="A758" s="1"/>
      <c r="B758" s="1" t="s">
        <v>111</v>
      </c>
      <c r="C758" s="1" t="s">
        <v>55</v>
      </c>
      <c r="D758" s="1" t="s">
        <v>252</v>
      </c>
      <c r="E758" s="1">
        <v>2</v>
      </c>
      <c r="F758" s="1" t="s">
        <v>147</v>
      </c>
      <c r="G758" s="1" t="s">
        <v>579</v>
      </c>
      <c r="H758" s="1" t="s">
        <v>571</v>
      </c>
      <c r="I758" s="1" t="s">
        <v>580</v>
      </c>
    </row>
    <row r="759" spans="1:9" ht="25" customHeight="1">
      <c r="A759" s="1"/>
      <c r="B759" s="1" t="s">
        <v>111</v>
      </c>
      <c r="C759" s="1" t="s">
        <v>55</v>
      </c>
      <c r="D759" s="1" t="s">
        <v>75</v>
      </c>
      <c r="E759" s="1">
        <v>0</v>
      </c>
      <c r="F759" s="1" t="s">
        <v>147</v>
      </c>
      <c r="G759" s="1" t="s">
        <v>579</v>
      </c>
      <c r="H759" s="1" t="s">
        <v>571</v>
      </c>
      <c r="I759" s="1" t="s">
        <v>580</v>
      </c>
    </row>
    <row r="760" spans="1:9" ht="25" customHeight="1">
      <c r="A760" s="1"/>
      <c r="B760" s="1" t="s">
        <v>111</v>
      </c>
      <c r="C760" s="1" t="s">
        <v>55</v>
      </c>
      <c r="D760" s="1" t="s">
        <v>81</v>
      </c>
      <c r="E760" s="1">
        <v>1</v>
      </c>
      <c r="F760" s="1" t="s">
        <v>147</v>
      </c>
      <c r="G760" s="1" t="s">
        <v>579</v>
      </c>
      <c r="H760" s="1" t="s">
        <v>571</v>
      </c>
      <c r="I760" s="1" t="s">
        <v>580</v>
      </c>
    </row>
    <row r="761" spans="1:9" ht="25" customHeight="1">
      <c r="A761" s="1"/>
      <c r="B761" s="1" t="s">
        <v>111</v>
      </c>
      <c r="C761" s="1" t="s">
        <v>134</v>
      </c>
      <c r="D761" s="1" t="s">
        <v>245</v>
      </c>
      <c r="E761" s="1">
        <v>0</v>
      </c>
      <c r="F761" s="1" t="s">
        <v>147</v>
      </c>
      <c r="G761" s="1" t="s">
        <v>581</v>
      </c>
      <c r="H761" s="1" t="s">
        <v>571</v>
      </c>
      <c r="I761" s="1" t="s">
        <v>582</v>
      </c>
    </row>
    <row r="762" spans="1:9" ht="25" customHeight="1">
      <c r="A762" s="1"/>
      <c r="B762" s="1" t="s">
        <v>111</v>
      </c>
      <c r="C762" s="1" t="s">
        <v>134</v>
      </c>
      <c r="D762" s="1" t="s">
        <v>249</v>
      </c>
      <c r="E762" s="1">
        <v>0</v>
      </c>
      <c r="F762" s="1" t="s">
        <v>147</v>
      </c>
      <c r="G762" s="1" t="s">
        <v>581</v>
      </c>
      <c r="H762" s="1" t="s">
        <v>571</v>
      </c>
      <c r="I762" s="1" t="s">
        <v>582</v>
      </c>
    </row>
    <row r="763" spans="1:9" ht="25" customHeight="1">
      <c r="A763" s="1"/>
      <c r="B763" s="1" t="s">
        <v>111</v>
      </c>
      <c r="C763" s="1" t="s">
        <v>134</v>
      </c>
      <c r="D763" s="1" t="s">
        <v>79</v>
      </c>
      <c r="E763" s="1">
        <v>1</v>
      </c>
      <c r="F763" s="1" t="s">
        <v>147</v>
      </c>
      <c r="G763" s="1" t="s">
        <v>581</v>
      </c>
      <c r="H763" s="1" t="s">
        <v>571</v>
      </c>
      <c r="I763" s="1" t="s">
        <v>582</v>
      </c>
    </row>
    <row r="764" spans="1:9" ht="25" customHeight="1">
      <c r="A764" s="1"/>
      <c r="B764" s="1" t="s">
        <v>111</v>
      </c>
      <c r="C764" s="1" t="s">
        <v>134</v>
      </c>
      <c r="D764" s="1" t="s">
        <v>250</v>
      </c>
      <c r="E764" s="1">
        <v>1</v>
      </c>
      <c r="F764" s="1" t="s">
        <v>147</v>
      </c>
      <c r="G764" s="1" t="s">
        <v>581</v>
      </c>
      <c r="H764" s="1" t="s">
        <v>571</v>
      </c>
      <c r="I764" s="1" t="s">
        <v>582</v>
      </c>
    </row>
    <row r="765" spans="1:9" ht="25" customHeight="1">
      <c r="A765" s="1"/>
      <c r="B765" s="1" t="s">
        <v>111</v>
      </c>
      <c r="C765" s="1" t="s">
        <v>134</v>
      </c>
      <c r="D765" s="1" t="s">
        <v>251</v>
      </c>
      <c r="E765" s="1">
        <v>0</v>
      </c>
      <c r="F765" s="1" t="s">
        <v>147</v>
      </c>
      <c r="G765" s="1" t="s">
        <v>581</v>
      </c>
      <c r="H765" s="1" t="s">
        <v>571</v>
      </c>
      <c r="I765" s="1" t="s">
        <v>582</v>
      </c>
    </row>
    <row r="766" spans="1:9" ht="25" customHeight="1">
      <c r="A766" s="1"/>
      <c r="B766" s="1" t="s">
        <v>111</v>
      </c>
      <c r="C766" s="1" t="s">
        <v>134</v>
      </c>
      <c r="D766" s="1" t="s">
        <v>252</v>
      </c>
      <c r="E766" s="1">
        <v>2</v>
      </c>
      <c r="F766" s="1" t="s">
        <v>147</v>
      </c>
      <c r="G766" s="1" t="s">
        <v>581</v>
      </c>
      <c r="H766" s="1" t="s">
        <v>571</v>
      </c>
      <c r="I766" s="1" t="s">
        <v>582</v>
      </c>
    </row>
    <row r="767" spans="1:9" ht="25" customHeight="1">
      <c r="A767" s="1"/>
      <c r="B767" s="1" t="s">
        <v>111</v>
      </c>
      <c r="C767" s="1" t="s">
        <v>134</v>
      </c>
      <c r="D767" s="1" t="s">
        <v>75</v>
      </c>
      <c r="E767" s="1">
        <v>0</v>
      </c>
      <c r="F767" s="1" t="s">
        <v>147</v>
      </c>
      <c r="G767" s="1" t="s">
        <v>581</v>
      </c>
      <c r="H767" s="1" t="s">
        <v>571</v>
      </c>
      <c r="I767" s="1" t="s">
        <v>582</v>
      </c>
    </row>
    <row r="768" spans="1:9" ht="25" customHeight="1">
      <c r="A768" s="1"/>
      <c r="B768" s="1" t="s">
        <v>111</v>
      </c>
      <c r="C768" s="1" t="s">
        <v>134</v>
      </c>
      <c r="D768" s="1" t="s">
        <v>81</v>
      </c>
      <c r="E768" s="1">
        <v>2</v>
      </c>
      <c r="F768" s="1" t="s">
        <v>147</v>
      </c>
      <c r="G768" s="1" t="s">
        <v>581</v>
      </c>
      <c r="H768" s="1" t="s">
        <v>571</v>
      </c>
      <c r="I768" s="1" t="s">
        <v>582</v>
      </c>
    </row>
    <row r="769" spans="1:9" ht="25" customHeight="1">
      <c r="A769" s="1"/>
      <c r="B769" s="1" t="s">
        <v>111</v>
      </c>
      <c r="C769" s="1" t="s">
        <v>34</v>
      </c>
      <c r="D769" s="1" t="s">
        <v>263</v>
      </c>
      <c r="E769" s="1">
        <v>3733</v>
      </c>
      <c r="F769" s="1" t="s">
        <v>147</v>
      </c>
      <c r="G769" s="1" t="s">
        <v>290</v>
      </c>
      <c r="H769" s="1" t="s">
        <v>571</v>
      </c>
      <c r="I769" s="1" t="s">
        <v>583</v>
      </c>
    </row>
    <row r="770" spans="1:9" ht="25" customHeight="1">
      <c r="A770" s="1"/>
      <c r="B770" s="1" t="s">
        <v>111</v>
      </c>
      <c r="C770" s="1" t="s">
        <v>43</v>
      </c>
      <c r="D770" s="1" t="s">
        <v>263</v>
      </c>
      <c r="E770" s="1">
        <v>1683</v>
      </c>
      <c r="F770" s="1" t="s">
        <v>147</v>
      </c>
      <c r="G770" s="1" t="s">
        <v>293</v>
      </c>
      <c r="H770" s="1" t="s">
        <v>571</v>
      </c>
      <c r="I770" s="1" t="s">
        <v>584</v>
      </c>
    </row>
    <row r="771" spans="1:9" ht="25" customHeight="1">
      <c r="A771" s="1"/>
      <c r="B771" s="1" t="s">
        <v>111</v>
      </c>
      <c r="C771" s="1" t="s">
        <v>45</v>
      </c>
      <c r="D771" s="1" t="s">
        <v>263</v>
      </c>
      <c r="E771" s="1">
        <v>2722</v>
      </c>
      <c r="F771" s="1" t="s">
        <v>147</v>
      </c>
      <c r="G771" s="1" t="s">
        <v>295</v>
      </c>
      <c r="H771" s="1" t="s">
        <v>571</v>
      </c>
      <c r="I771" s="1" t="s">
        <v>585</v>
      </c>
    </row>
    <row r="772" spans="1:9" ht="25" customHeight="1">
      <c r="A772" s="1"/>
      <c r="B772" s="1" t="s">
        <v>111</v>
      </c>
      <c r="C772" s="1" t="s">
        <v>50</v>
      </c>
      <c r="D772" s="1" t="s">
        <v>263</v>
      </c>
      <c r="E772" s="1">
        <v>7385</v>
      </c>
      <c r="F772" s="1" t="s">
        <v>147</v>
      </c>
      <c r="G772" s="1" t="s">
        <v>297</v>
      </c>
      <c r="H772" s="1" t="s">
        <v>571</v>
      </c>
      <c r="I772" s="1" t="s">
        <v>586</v>
      </c>
    </row>
    <row r="773" spans="1:9" ht="25" customHeight="1">
      <c r="A773" s="1"/>
      <c r="B773" s="1" t="s">
        <v>111</v>
      </c>
      <c r="C773" s="1" t="s">
        <v>55</v>
      </c>
      <c r="D773" s="1" t="s">
        <v>263</v>
      </c>
      <c r="E773" s="1">
        <v>5093</v>
      </c>
      <c r="F773" s="1" t="s">
        <v>147</v>
      </c>
      <c r="G773" s="1" t="s">
        <v>299</v>
      </c>
      <c r="H773" s="1" t="s">
        <v>571</v>
      </c>
      <c r="I773" s="1" t="s">
        <v>587</v>
      </c>
    </row>
    <row r="774" spans="1:9" ht="25" customHeight="1">
      <c r="A774" s="1"/>
      <c r="B774" s="1" t="s">
        <v>111</v>
      </c>
      <c r="C774" s="1" t="s">
        <v>133</v>
      </c>
      <c r="D774" s="1" t="s">
        <v>263</v>
      </c>
      <c r="E774" s="1">
        <v>274</v>
      </c>
      <c r="F774" s="1" t="s">
        <v>147</v>
      </c>
      <c r="G774" s="1" t="s">
        <v>301</v>
      </c>
      <c r="H774" s="1" t="s">
        <v>571</v>
      </c>
      <c r="I774" s="1" t="s">
        <v>588</v>
      </c>
    </row>
    <row r="775" spans="1:9" ht="25" customHeight="1">
      <c r="A775" s="1"/>
      <c r="B775" s="1" t="s">
        <v>111</v>
      </c>
      <c r="C775" s="1" t="s">
        <v>134</v>
      </c>
      <c r="D775" s="1" t="s">
        <v>263</v>
      </c>
      <c r="E775" s="1">
        <v>20889</v>
      </c>
      <c r="F775" s="1" t="s">
        <v>147</v>
      </c>
      <c r="G775" s="1" t="s">
        <v>589</v>
      </c>
      <c r="H775" s="1" t="s">
        <v>571</v>
      </c>
      <c r="I775" s="1" t="s">
        <v>590</v>
      </c>
    </row>
    <row r="776" spans="1:9" ht="25" customHeight="1">
      <c r="A776" s="1"/>
      <c r="B776" s="1" t="s">
        <v>112</v>
      </c>
      <c r="C776" s="1" t="s">
        <v>34</v>
      </c>
      <c r="D776" s="1" t="s">
        <v>245</v>
      </c>
      <c r="E776" s="1">
        <v>4</v>
      </c>
      <c r="F776" s="1" t="s">
        <v>148</v>
      </c>
      <c r="G776" s="1" t="s">
        <v>422</v>
      </c>
      <c r="H776" s="1" t="s">
        <v>591</v>
      </c>
      <c r="I776" s="1" t="s">
        <v>592</v>
      </c>
    </row>
    <row r="777" spans="1:9" ht="25" customHeight="1">
      <c r="A777" s="1"/>
      <c r="B777" s="1" t="s">
        <v>112</v>
      </c>
      <c r="C777" s="1" t="s">
        <v>34</v>
      </c>
      <c r="D777" s="1" t="s">
        <v>75</v>
      </c>
      <c r="E777" s="1">
        <v>4</v>
      </c>
      <c r="F777" s="1" t="s">
        <v>148</v>
      </c>
      <c r="G777" s="1" t="s">
        <v>422</v>
      </c>
      <c r="H777" s="1" t="s">
        <v>591</v>
      </c>
      <c r="I777" s="1" t="s">
        <v>592</v>
      </c>
    </row>
    <row r="778" spans="1:9" ht="25" customHeight="1">
      <c r="A778" s="1"/>
      <c r="B778" s="1" t="s">
        <v>112</v>
      </c>
      <c r="C778" s="1" t="s">
        <v>34</v>
      </c>
      <c r="D778" s="1" t="s">
        <v>249</v>
      </c>
      <c r="E778" s="1">
        <v>1</v>
      </c>
      <c r="F778" s="1" t="s">
        <v>148</v>
      </c>
      <c r="G778" s="1" t="s">
        <v>422</v>
      </c>
      <c r="H778" s="1" t="s">
        <v>591</v>
      </c>
      <c r="I778" s="1" t="s">
        <v>592</v>
      </c>
    </row>
    <row r="779" spans="1:9" ht="25" customHeight="1">
      <c r="A779" s="1"/>
      <c r="B779" s="1" t="s">
        <v>112</v>
      </c>
      <c r="C779" s="1" t="s">
        <v>34</v>
      </c>
      <c r="D779" s="1" t="s">
        <v>79</v>
      </c>
      <c r="E779" s="1">
        <v>2</v>
      </c>
      <c r="F779" s="1" t="s">
        <v>148</v>
      </c>
      <c r="G779" s="1" t="s">
        <v>422</v>
      </c>
      <c r="H779" s="1" t="s">
        <v>591</v>
      </c>
      <c r="I779" s="1" t="s">
        <v>592</v>
      </c>
    </row>
    <row r="780" spans="1:9" ht="25" customHeight="1">
      <c r="A780" s="1"/>
      <c r="B780" s="1" t="s">
        <v>112</v>
      </c>
      <c r="C780" s="1" t="s">
        <v>34</v>
      </c>
      <c r="D780" s="1" t="s">
        <v>250</v>
      </c>
      <c r="E780" s="1">
        <v>-1</v>
      </c>
      <c r="F780" s="1" t="s">
        <v>148</v>
      </c>
      <c r="G780" s="1" t="s">
        <v>422</v>
      </c>
      <c r="H780" s="1" t="s">
        <v>591</v>
      </c>
      <c r="I780" s="1" t="s">
        <v>592</v>
      </c>
    </row>
    <row r="781" spans="1:9" ht="25" customHeight="1">
      <c r="A781" s="1"/>
      <c r="B781" s="1" t="s">
        <v>112</v>
      </c>
      <c r="C781" s="1" t="s">
        <v>34</v>
      </c>
      <c r="D781" s="1" t="s">
        <v>251</v>
      </c>
      <c r="E781" s="1">
        <v>0</v>
      </c>
      <c r="F781" s="1" t="s">
        <v>148</v>
      </c>
      <c r="G781" s="1" t="s">
        <v>422</v>
      </c>
      <c r="H781" s="1" t="s">
        <v>591</v>
      </c>
      <c r="I781" s="1" t="s">
        <v>592</v>
      </c>
    </row>
    <row r="782" spans="1:9" ht="25" customHeight="1">
      <c r="A782" s="1"/>
      <c r="B782" s="1" t="s">
        <v>112</v>
      </c>
      <c r="C782" s="1" t="s">
        <v>34</v>
      </c>
      <c r="D782" s="1" t="s">
        <v>252</v>
      </c>
      <c r="E782" s="1">
        <v>6</v>
      </c>
      <c r="F782" s="1" t="s">
        <v>148</v>
      </c>
      <c r="G782" s="1" t="s">
        <v>422</v>
      </c>
      <c r="H782" s="1" t="s">
        <v>591</v>
      </c>
      <c r="I782" s="1" t="s">
        <v>592</v>
      </c>
    </row>
    <row r="783" spans="1:9" ht="25" customHeight="1">
      <c r="A783" s="1"/>
      <c r="B783" s="1" t="s">
        <v>112</v>
      </c>
      <c r="C783" s="1" t="s">
        <v>43</v>
      </c>
      <c r="D783" s="1" t="s">
        <v>245</v>
      </c>
      <c r="E783" s="1">
        <v>1</v>
      </c>
      <c r="F783" s="1" t="s">
        <v>148</v>
      </c>
      <c r="G783" s="1" t="s">
        <v>424</v>
      </c>
      <c r="H783" s="1" t="s">
        <v>591</v>
      </c>
      <c r="I783" s="1" t="s">
        <v>593</v>
      </c>
    </row>
    <row r="784" spans="1:9" ht="25" customHeight="1">
      <c r="A784" s="1"/>
      <c r="B784" s="1" t="s">
        <v>112</v>
      </c>
      <c r="C784" s="1" t="s">
        <v>43</v>
      </c>
      <c r="D784" s="1" t="s">
        <v>75</v>
      </c>
      <c r="E784" s="1">
        <v>1</v>
      </c>
      <c r="F784" s="1" t="s">
        <v>148</v>
      </c>
      <c r="G784" s="1" t="s">
        <v>424</v>
      </c>
      <c r="H784" s="1" t="s">
        <v>591</v>
      </c>
      <c r="I784" s="1" t="s">
        <v>593</v>
      </c>
    </row>
    <row r="785" spans="1:9" ht="25" customHeight="1">
      <c r="A785" s="1"/>
      <c r="B785" s="1" t="s">
        <v>112</v>
      </c>
      <c r="C785" s="1" t="s">
        <v>43</v>
      </c>
      <c r="D785" s="1" t="s">
        <v>249</v>
      </c>
      <c r="E785" s="1">
        <v>2</v>
      </c>
      <c r="F785" s="1" t="s">
        <v>148</v>
      </c>
      <c r="G785" s="1" t="s">
        <v>424</v>
      </c>
      <c r="H785" s="1" t="s">
        <v>591</v>
      </c>
      <c r="I785" s="1" t="s">
        <v>593</v>
      </c>
    </row>
    <row r="786" spans="1:9" ht="25" customHeight="1">
      <c r="A786" s="1"/>
      <c r="B786" s="1" t="s">
        <v>112</v>
      </c>
      <c r="C786" s="1" t="s">
        <v>43</v>
      </c>
      <c r="D786" s="1" t="s">
        <v>79</v>
      </c>
      <c r="E786" s="1">
        <v>4</v>
      </c>
      <c r="F786" s="1" t="s">
        <v>148</v>
      </c>
      <c r="G786" s="1" t="s">
        <v>424</v>
      </c>
      <c r="H786" s="1" t="s">
        <v>591</v>
      </c>
      <c r="I786" s="1" t="s">
        <v>593</v>
      </c>
    </row>
    <row r="787" spans="1:9" ht="25" customHeight="1">
      <c r="A787" s="1"/>
      <c r="B787" s="1" t="s">
        <v>112</v>
      </c>
      <c r="C787" s="1" t="s">
        <v>43</v>
      </c>
      <c r="D787" s="1" t="s">
        <v>250</v>
      </c>
      <c r="E787" s="1">
        <v>-2</v>
      </c>
      <c r="F787" s="1" t="s">
        <v>148</v>
      </c>
      <c r="G787" s="1" t="s">
        <v>424</v>
      </c>
      <c r="H787" s="1" t="s">
        <v>591</v>
      </c>
      <c r="I787" s="1" t="s">
        <v>593</v>
      </c>
    </row>
    <row r="788" spans="1:9" ht="25" customHeight="1">
      <c r="A788" s="1"/>
      <c r="B788" s="1" t="s">
        <v>112</v>
      </c>
      <c r="C788" s="1" t="s">
        <v>43</v>
      </c>
      <c r="D788" s="1" t="s">
        <v>251</v>
      </c>
      <c r="E788" s="1">
        <v>0</v>
      </c>
      <c r="F788" s="1" t="s">
        <v>148</v>
      </c>
      <c r="G788" s="1" t="s">
        <v>424</v>
      </c>
      <c r="H788" s="1" t="s">
        <v>591</v>
      </c>
      <c r="I788" s="1" t="s">
        <v>593</v>
      </c>
    </row>
    <row r="789" spans="1:9" ht="25" customHeight="1">
      <c r="A789" s="1"/>
      <c r="B789" s="1" t="s">
        <v>112</v>
      </c>
      <c r="C789" s="1" t="s">
        <v>43</v>
      </c>
      <c r="D789" s="1" t="s">
        <v>252</v>
      </c>
      <c r="E789" s="1">
        <v>5</v>
      </c>
      <c r="F789" s="1" t="s">
        <v>148</v>
      </c>
      <c r="G789" s="1" t="s">
        <v>424</v>
      </c>
      <c r="H789" s="1" t="s">
        <v>591</v>
      </c>
      <c r="I789" s="1" t="s">
        <v>593</v>
      </c>
    </row>
    <row r="790" spans="1:9" ht="25" customHeight="1">
      <c r="A790" s="1"/>
      <c r="B790" s="1" t="s">
        <v>112</v>
      </c>
      <c r="C790" s="1" t="s">
        <v>45</v>
      </c>
      <c r="D790" s="1" t="s">
        <v>245</v>
      </c>
      <c r="E790" s="1">
        <v>-2</v>
      </c>
      <c r="F790" s="1" t="s">
        <v>148</v>
      </c>
      <c r="G790" s="1" t="s">
        <v>426</v>
      </c>
      <c r="H790" s="1" t="s">
        <v>591</v>
      </c>
      <c r="I790" s="1" t="s">
        <v>594</v>
      </c>
    </row>
    <row r="791" spans="1:9" ht="25" customHeight="1">
      <c r="A791" s="1"/>
      <c r="B791" s="1" t="s">
        <v>112</v>
      </c>
      <c r="C791" s="1" t="s">
        <v>45</v>
      </c>
      <c r="D791" s="1" t="s">
        <v>75</v>
      </c>
      <c r="E791" s="1">
        <v>-2</v>
      </c>
      <c r="F791" s="1" t="s">
        <v>148</v>
      </c>
      <c r="G791" s="1" t="s">
        <v>426</v>
      </c>
      <c r="H791" s="1" t="s">
        <v>591</v>
      </c>
      <c r="I791" s="1" t="s">
        <v>594</v>
      </c>
    </row>
    <row r="792" spans="1:9" ht="25" customHeight="1">
      <c r="A792" s="1"/>
      <c r="B792" s="1" t="s">
        <v>112</v>
      </c>
      <c r="C792" s="1" t="s">
        <v>45</v>
      </c>
      <c r="D792" s="1" t="s">
        <v>249</v>
      </c>
      <c r="E792" s="1">
        <v>1</v>
      </c>
      <c r="F792" s="1" t="s">
        <v>148</v>
      </c>
      <c r="G792" s="1" t="s">
        <v>426</v>
      </c>
      <c r="H792" s="1" t="s">
        <v>591</v>
      </c>
      <c r="I792" s="1" t="s">
        <v>594</v>
      </c>
    </row>
    <row r="793" spans="1:9" ht="25" customHeight="1">
      <c r="A793" s="1"/>
      <c r="B793" s="1" t="s">
        <v>112</v>
      </c>
      <c r="C793" s="1" t="s">
        <v>45</v>
      </c>
      <c r="D793" s="1" t="s">
        <v>79</v>
      </c>
      <c r="E793" s="1">
        <v>1</v>
      </c>
      <c r="F793" s="1" t="s">
        <v>148</v>
      </c>
      <c r="G793" s="1" t="s">
        <v>426</v>
      </c>
      <c r="H793" s="1" t="s">
        <v>591</v>
      </c>
      <c r="I793" s="1" t="s">
        <v>594</v>
      </c>
    </row>
    <row r="794" spans="1:9" ht="25" customHeight="1">
      <c r="A794" s="1"/>
      <c r="B794" s="1" t="s">
        <v>112</v>
      </c>
      <c r="C794" s="1" t="s">
        <v>45</v>
      </c>
      <c r="D794" s="1" t="s">
        <v>250</v>
      </c>
      <c r="E794" s="1">
        <v>2</v>
      </c>
      <c r="F794" s="1" t="s">
        <v>148</v>
      </c>
      <c r="G794" s="1" t="s">
        <v>426</v>
      </c>
      <c r="H794" s="1" t="s">
        <v>591</v>
      </c>
      <c r="I794" s="1" t="s">
        <v>594</v>
      </c>
    </row>
    <row r="795" spans="1:9" ht="25" customHeight="1">
      <c r="A795" s="1"/>
      <c r="B795" s="1" t="s">
        <v>112</v>
      </c>
      <c r="C795" s="1" t="s">
        <v>45</v>
      </c>
      <c r="D795" s="1" t="s">
        <v>251</v>
      </c>
      <c r="E795" s="1">
        <v>0</v>
      </c>
      <c r="F795" s="1" t="s">
        <v>148</v>
      </c>
      <c r="G795" s="1" t="s">
        <v>426</v>
      </c>
      <c r="H795" s="1" t="s">
        <v>591</v>
      </c>
      <c r="I795" s="1" t="s">
        <v>594</v>
      </c>
    </row>
    <row r="796" spans="1:9" ht="25" customHeight="1">
      <c r="A796" s="1"/>
      <c r="B796" s="1" t="s">
        <v>112</v>
      </c>
      <c r="C796" s="1" t="s">
        <v>45</v>
      </c>
      <c r="D796" s="1" t="s">
        <v>252</v>
      </c>
      <c r="E796" s="1">
        <v>2</v>
      </c>
      <c r="F796" s="1" t="s">
        <v>148</v>
      </c>
      <c r="G796" s="1" t="s">
        <v>426</v>
      </c>
      <c r="H796" s="1" t="s">
        <v>591</v>
      </c>
      <c r="I796" s="1" t="s">
        <v>594</v>
      </c>
    </row>
    <row r="797" spans="1:9" ht="25" customHeight="1">
      <c r="A797" s="1"/>
      <c r="B797" s="1" t="s">
        <v>112</v>
      </c>
      <c r="C797" s="1" t="s">
        <v>50</v>
      </c>
      <c r="D797" s="1" t="s">
        <v>245</v>
      </c>
      <c r="E797" s="1">
        <v>-2</v>
      </c>
      <c r="F797" s="1" t="s">
        <v>148</v>
      </c>
      <c r="G797" s="1" t="s">
        <v>428</v>
      </c>
      <c r="H797" s="1" t="s">
        <v>591</v>
      </c>
      <c r="I797" s="1" t="s">
        <v>595</v>
      </c>
    </row>
    <row r="798" spans="1:9" ht="25" customHeight="1">
      <c r="A798" s="1"/>
      <c r="B798" s="1" t="s">
        <v>112</v>
      </c>
      <c r="C798" s="1" t="s">
        <v>50</v>
      </c>
      <c r="D798" s="1" t="s">
        <v>75</v>
      </c>
      <c r="E798" s="1">
        <v>-2</v>
      </c>
      <c r="F798" s="1" t="s">
        <v>148</v>
      </c>
      <c r="G798" s="1" t="s">
        <v>428</v>
      </c>
      <c r="H798" s="1" t="s">
        <v>591</v>
      </c>
      <c r="I798" s="1" t="s">
        <v>595</v>
      </c>
    </row>
    <row r="799" spans="1:9" ht="25" customHeight="1">
      <c r="A799" s="1"/>
      <c r="B799" s="1" t="s">
        <v>112</v>
      </c>
      <c r="C799" s="1" t="s">
        <v>50</v>
      </c>
      <c r="D799" s="1" t="s">
        <v>249</v>
      </c>
      <c r="E799" s="1">
        <v>2</v>
      </c>
      <c r="F799" s="1" t="s">
        <v>148</v>
      </c>
      <c r="G799" s="1" t="s">
        <v>428</v>
      </c>
      <c r="H799" s="1" t="s">
        <v>591</v>
      </c>
      <c r="I799" s="1" t="s">
        <v>595</v>
      </c>
    </row>
    <row r="800" spans="1:9" ht="25" customHeight="1">
      <c r="A800" s="1"/>
      <c r="B800" s="1" t="s">
        <v>112</v>
      </c>
      <c r="C800" s="1" t="s">
        <v>50</v>
      </c>
      <c r="D800" s="1" t="s">
        <v>79</v>
      </c>
      <c r="E800" s="1">
        <v>1</v>
      </c>
      <c r="F800" s="1" t="s">
        <v>148</v>
      </c>
      <c r="G800" s="1" t="s">
        <v>428</v>
      </c>
      <c r="H800" s="1" t="s">
        <v>591</v>
      </c>
      <c r="I800" s="1" t="s">
        <v>595</v>
      </c>
    </row>
    <row r="801" spans="1:9" ht="25" customHeight="1">
      <c r="A801" s="1"/>
      <c r="B801" s="1" t="s">
        <v>112</v>
      </c>
      <c r="C801" s="1" t="s">
        <v>50</v>
      </c>
      <c r="D801" s="1" t="s">
        <v>250</v>
      </c>
      <c r="E801" s="1">
        <v>0</v>
      </c>
      <c r="F801" s="1" t="s">
        <v>148</v>
      </c>
      <c r="G801" s="1" t="s">
        <v>428</v>
      </c>
      <c r="H801" s="1" t="s">
        <v>591</v>
      </c>
      <c r="I801" s="1" t="s">
        <v>595</v>
      </c>
    </row>
    <row r="802" spans="1:9" ht="25" customHeight="1">
      <c r="A802" s="1"/>
      <c r="B802" s="1" t="s">
        <v>112</v>
      </c>
      <c r="C802" s="1" t="s">
        <v>50</v>
      </c>
      <c r="D802" s="1" t="s">
        <v>251</v>
      </c>
      <c r="E802" s="1">
        <v>0</v>
      </c>
      <c r="F802" s="1" t="s">
        <v>148</v>
      </c>
      <c r="G802" s="1" t="s">
        <v>428</v>
      </c>
      <c r="H802" s="1" t="s">
        <v>591</v>
      </c>
      <c r="I802" s="1" t="s">
        <v>595</v>
      </c>
    </row>
    <row r="803" spans="1:9" ht="25" customHeight="1">
      <c r="A803" s="1"/>
      <c r="B803" s="1" t="s">
        <v>112</v>
      </c>
      <c r="C803" s="1" t="s">
        <v>50</v>
      </c>
      <c r="D803" s="1" t="s">
        <v>252</v>
      </c>
      <c r="E803" s="1">
        <v>1</v>
      </c>
      <c r="F803" s="1" t="s">
        <v>148</v>
      </c>
      <c r="G803" s="1" t="s">
        <v>428</v>
      </c>
      <c r="H803" s="1" t="s">
        <v>591</v>
      </c>
      <c r="I803" s="1" t="s">
        <v>595</v>
      </c>
    </row>
    <row r="804" spans="1:9" ht="25" customHeight="1">
      <c r="A804" s="1"/>
      <c r="B804" s="1" t="s">
        <v>112</v>
      </c>
      <c r="C804" s="1" t="s">
        <v>55</v>
      </c>
      <c r="D804" s="1" t="s">
        <v>245</v>
      </c>
      <c r="E804" s="1">
        <v>0</v>
      </c>
      <c r="F804" s="1" t="s">
        <v>148</v>
      </c>
      <c r="G804" s="1" t="s">
        <v>430</v>
      </c>
      <c r="H804" s="1" t="s">
        <v>591</v>
      </c>
      <c r="I804" s="1" t="s">
        <v>596</v>
      </c>
    </row>
    <row r="805" spans="1:9" ht="25" customHeight="1">
      <c r="A805" s="1"/>
      <c r="B805" s="1" t="s">
        <v>112</v>
      </c>
      <c r="C805" s="1" t="s">
        <v>55</v>
      </c>
      <c r="D805" s="1" t="s">
        <v>75</v>
      </c>
      <c r="E805" s="1">
        <v>0</v>
      </c>
      <c r="F805" s="1" t="s">
        <v>148</v>
      </c>
      <c r="G805" s="1" t="s">
        <v>430</v>
      </c>
      <c r="H805" s="1" t="s">
        <v>591</v>
      </c>
      <c r="I805" s="1" t="s">
        <v>596</v>
      </c>
    </row>
    <row r="806" spans="1:9" ht="25" customHeight="1">
      <c r="A806" s="1"/>
      <c r="B806" s="1" t="s">
        <v>112</v>
      </c>
      <c r="C806" s="1" t="s">
        <v>55</v>
      </c>
      <c r="D806" s="1" t="s">
        <v>249</v>
      </c>
      <c r="E806" s="1">
        <v>1</v>
      </c>
      <c r="F806" s="1" t="s">
        <v>148</v>
      </c>
      <c r="G806" s="1" t="s">
        <v>430</v>
      </c>
      <c r="H806" s="1" t="s">
        <v>591</v>
      </c>
      <c r="I806" s="1" t="s">
        <v>596</v>
      </c>
    </row>
    <row r="807" spans="1:9" ht="25" customHeight="1">
      <c r="A807" s="1"/>
      <c r="B807" s="1" t="s">
        <v>112</v>
      </c>
      <c r="C807" s="1" t="s">
        <v>55</v>
      </c>
      <c r="D807" s="1" t="s">
        <v>79</v>
      </c>
      <c r="E807" s="1">
        <v>0</v>
      </c>
      <c r="F807" s="1" t="s">
        <v>148</v>
      </c>
      <c r="G807" s="1" t="s">
        <v>430</v>
      </c>
      <c r="H807" s="1" t="s">
        <v>591</v>
      </c>
      <c r="I807" s="1" t="s">
        <v>596</v>
      </c>
    </row>
    <row r="808" spans="1:9" ht="25" customHeight="1">
      <c r="A808" s="1"/>
      <c r="B808" s="1" t="s">
        <v>112</v>
      </c>
      <c r="C808" s="1" t="s">
        <v>55</v>
      </c>
      <c r="D808" s="1" t="s">
        <v>250</v>
      </c>
      <c r="E808" s="1">
        <v>0</v>
      </c>
      <c r="F808" s="1" t="s">
        <v>148</v>
      </c>
      <c r="G808" s="1" t="s">
        <v>430</v>
      </c>
      <c r="H808" s="1" t="s">
        <v>591</v>
      </c>
      <c r="I808" s="1" t="s">
        <v>596</v>
      </c>
    </row>
    <row r="809" spans="1:9" ht="25" customHeight="1">
      <c r="A809" s="1"/>
      <c r="B809" s="1" t="s">
        <v>112</v>
      </c>
      <c r="C809" s="1" t="s">
        <v>55</v>
      </c>
      <c r="D809" s="1" t="s">
        <v>251</v>
      </c>
      <c r="E809" s="1">
        <v>0</v>
      </c>
      <c r="F809" s="1" t="s">
        <v>148</v>
      </c>
      <c r="G809" s="1" t="s">
        <v>430</v>
      </c>
      <c r="H809" s="1" t="s">
        <v>591</v>
      </c>
      <c r="I809" s="1" t="s">
        <v>596</v>
      </c>
    </row>
    <row r="810" spans="1:9" ht="25" customHeight="1">
      <c r="A810" s="1"/>
      <c r="B810" s="1" t="s">
        <v>112</v>
      </c>
      <c r="C810" s="1" t="s">
        <v>55</v>
      </c>
      <c r="D810" s="1" t="s">
        <v>252</v>
      </c>
      <c r="E810" s="1">
        <v>1</v>
      </c>
      <c r="F810" s="1" t="s">
        <v>148</v>
      </c>
      <c r="G810" s="1" t="s">
        <v>430</v>
      </c>
      <c r="H810" s="1" t="s">
        <v>591</v>
      </c>
      <c r="I810" s="1" t="s">
        <v>596</v>
      </c>
    </row>
    <row r="811" spans="1:9" ht="25" customHeight="1">
      <c r="A811" s="1"/>
      <c r="B811" s="1" t="s">
        <v>112</v>
      </c>
      <c r="C811" s="1" t="s">
        <v>134</v>
      </c>
      <c r="D811" s="1" t="s">
        <v>245</v>
      </c>
      <c r="E811" s="1">
        <v>0</v>
      </c>
      <c r="F811" s="1" t="s">
        <v>148</v>
      </c>
      <c r="G811" s="1" t="s">
        <v>519</v>
      </c>
      <c r="H811" s="1" t="s">
        <v>591</v>
      </c>
      <c r="I811" s="1" t="s">
        <v>597</v>
      </c>
    </row>
    <row r="812" spans="1:9" ht="25" customHeight="1">
      <c r="A812" s="1"/>
      <c r="B812" s="1" t="s">
        <v>112</v>
      </c>
      <c r="C812" s="1" t="s">
        <v>134</v>
      </c>
      <c r="D812" s="1" t="s">
        <v>75</v>
      </c>
      <c r="E812" s="1">
        <v>0</v>
      </c>
      <c r="F812" s="1" t="s">
        <v>148</v>
      </c>
      <c r="G812" s="1" t="s">
        <v>519</v>
      </c>
      <c r="H812" s="1" t="s">
        <v>591</v>
      </c>
      <c r="I812" s="1" t="s">
        <v>597</v>
      </c>
    </row>
    <row r="813" spans="1:9" ht="25" customHeight="1">
      <c r="A813" s="1"/>
      <c r="B813" s="1" t="s">
        <v>112</v>
      </c>
      <c r="C813" s="1" t="s">
        <v>134</v>
      </c>
      <c r="D813" s="1" t="s">
        <v>249</v>
      </c>
      <c r="E813" s="1">
        <v>1</v>
      </c>
      <c r="F813" s="1" t="s">
        <v>148</v>
      </c>
      <c r="G813" s="1" t="s">
        <v>519</v>
      </c>
      <c r="H813" s="1" t="s">
        <v>591</v>
      </c>
      <c r="I813" s="1" t="s">
        <v>597</v>
      </c>
    </row>
    <row r="814" spans="1:9" ht="25" customHeight="1">
      <c r="A814" s="1"/>
      <c r="B814" s="1" t="s">
        <v>112</v>
      </c>
      <c r="C814" s="1" t="s">
        <v>134</v>
      </c>
      <c r="D814" s="1" t="s">
        <v>79</v>
      </c>
      <c r="E814" s="1">
        <v>1</v>
      </c>
      <c r="F814" s="1" t="s">
        <v>148</v>
      </c>
      <c r="G814" s="1" t="s">
        <v>519</v>
      </c>
      <c r="H814" s="1" t="s">
        <v>591</v>
      </c>
      <c r="I814" s="1" t="s">
        <v>597</v>
      </c>
    </row>
    <row r="815" spans="1:9" ht="25" customHeight="1">
      <c r="A815" s="1"/>
      <c r="B815" s="1" t="s">
        <v>112</v>
      </c>
      <c r="C815" s="1" t="s">
        <v>134</v>
      </c>
      <c r="D815" s="1" t="s">
        <v>250</v>
      </c>
      <c r="E815" s="1">
        <v>1</v>
      </c>
      <c r="F815" s="1" t="s">
        <v>148</v>
      </c>
      <c r="G815" s="1" t="s">
        <v>519</v>
      </c>
      <c r="H815" s="1" t="s">
        <v>591</v>
      </c>
      <c r="I815" s="1" t="s">
        <v>597</v>
      </c>
    </row>
    <row r="816" spans="1:9" ht="25" customHeight="1">
      <c r="A816" s="1"/>
      <c r="B816" s="1" t="s">
        <v>112</v>
      </c>
      <c r="C816" s="1" t="s">
        <v>134</v>
      </c>
      <c r="D816" s="1" t="s">
        <v>251</v>
      </c>
      <c r="E816" s="1">
        <v>0</v>
      </c>
      <c r="F816" s="1" t="s">
        <v>148</v>
      </c>
      <c r="G816" s="1" t="s">
        <v>519</v>
      </c>
      <c r="H816" s="1" t="s">
        <v>591</v>
      </c>
      <c r="I816" s="1" t="s">
        <v>597</v>
      </c>
    </row>
    <row r="817" spans="1:9" ht="25" customHeight="1">
      <c r="A817" s="1"/>
      <c r="B817" s="1" t="s">
        <v>112</v>
      </c>
      <c r="C817" s="1" t="s">
        <v>134</v>
      </c>
      <c r="D817" s="1" t="s">
        <v>252</v>
      </c>
      <c r="E817" s="1">
        <v>3</v>
      </c>
      <c r="F817" s="1" t="s">
        <v>148</v>
      </c>
      <c r="G817" s="1" t="s">
        <v>519</v>
      </c>
      <c r="H817" s="1" t="s">
        <v>591</v>
      </c>
      <c r="I817" s="1" t="s">
        <v>597</v>
      </c>
    </row>
    <row r="818" spans="1:9" ht="25" customHeight="1">
      <c r="A818" s="1"/>
      <c r="B818" s="1" t="s">
        <v>112</v>
      </c>
      <c r="C818" s="1" t="s">
        <v>34</v>
      </c>
      <c r="D818" s="1" t="s">
        <v>263</v>
      </c>
      <c r="E818" s="1">
        <v>4143</v>
      </c>
      <c r="F818" s="1" t="s">
        <v>148</v>
      </c>
      <c r="G818" s="1" t="s">
        <v>432</v>
      </c>
      <c r="H818" s="1" t="s">
        <v>591</v>
      </c>
      <c r="I818" s="1" t="s">
        <v>598</v>
      </c>
    </row>
    <row r="819" spans="1:9" ht="25" customHeight="1">
      <c r="A819" s="1"/>
      <c r="B819" s="1" t="s">
        <v>112</v>
      </c>
      <c r="C819" s="1" t="s">
        <v>43</v>
      </c>
      <c r="D819" s="1" t="s">
        <v>263</v>
      </c>
      <c r="E819" s="1">
        <v>1817</v>
      </c>
      <c r="F819" s="1" t="s">
        <v>148</v>
      </c>
      <c r="G819" s="1" t="s">
        <v>435</v>
      </c>
      <c r="H819" s="1" t="s">
        <v>591</v>
      </c>
      <c r="I819" s="1" t="s">
        <v>599</v>
      </c>
    </row>
    <row r="820" spans="1:9" ht="25" customHeight="1">
      <c r="A820" s="1"/>
      <c r="B820" s="1" t="s">
        <v>112</v>
      </c>
      <c r="C820" s="1" t="s">
        <v>45</v>
      </c>
      <c r="D820" s="1" t="s">
        <v>263</v>
      </c>
      <c r="E820" s="1">
        <v>3220</v>
      </c>
      <c r="F820" s="1" t="s">
        <v>148</v>
      </c>
      <c r="G820" s="1" t="s">
        <v>437</v>
      </c>
      <c r="H820" s="1" t="s">
        <v>591</v>
      </c>
      <c r="I820" s="1" t="s">
        <v>600</v>
      </c>
    </row>
    <row r="821" spans="1:9" ht="25" customHeight="1">
      <c r="A821" s="1"/>
      <c r="B821" s="1" t="s">
        <v>112</v>
      </c>
      <c r="C821" s="1" t="s">
        <v>50</v>
      </c>
      <c r="D821" s="1" t="s">
        <v>263</v>
      </c>
      <c r="E821" s="1">
        <v>7793</v>
      </c>
      <c r="F821" s="1" t="s">
        <v>148</v>
      </c>
      <c r="G821" s="1" t="s">
        <v>439</v>
      </c>
      <c r="H821" s="1" t="s">
        <v>591</v>
      </c>
      <c r="I821" s="1" t="s">
        <v>601</v>
      </c>
    </row>
    <row r="822" spans="1:9" ht="25" customHeight="1">
      <c r="A822" s="1"/>
      <c r="B822" s="1" t="s">
        <v>112</v>
      </c>
      <c r="C822" s="1" t="s">
        <v>55</v>
      </c>
      <c r="D822" s="1" t="s">
        <v>263</v>
      </c>
      <c r="E822" s="1">
        <v>5171</v>
      </c>
      <c r="F822" s="1" t="s">
        <v>148</v>
      </c>
      <c r="G822" s="1" t="s">
        <v>441</v>
      </c>
      <c r="H822" s="1" t="s">
        <v>591</v>
      </c>
      <c r="I822" s="1" t="s">
        <v>602</v>
      </c>
    </row>
    <row r="823" spans="1:9" ht="25" customHeight="1">
      <c r="A823" s="1"/>
      <c r="B823" s="1" t="s">
        <v>112</v>
      </c>
      <c r="C823" s="1" t="s">
        <v>133</v>
      </c>
      <c r="D823" s="1" t="s">
        <v>263</v>
      </c>
      <c r="E823" s="1">
        <v>242</v>
      </c>
      <c r="F823" s="1" t="s">
        <v>148</v>
      </c>
      <c r="G823" s="1" t="s">
        <v>443</v>
      </c>
      <c r="H823" s="1" t="s">
        <v>591</v>
      </c>
      <c r="I823" s="1" t="s">
        <v>603</v>
      </c>
    </row>
    <row r="824" spans="1:9" ht="25" customHeight="1">
      <c r="A824" s="1"/>
      <c r="B824" s="1" t="s">
        <v>112</v>
      </c>
      <c r="C824" s="1" t="s">
        <v>134</v>
      </c>
      <c r="D824" s="1" t="s">
        <v>263</v>
      </c>
      <c r="E824" s="1">
        <v>22386</v>
      </c>
      <c r="F824" s="1" t="s">
        <v>148</v>
      </c>
      <c r="G824" s="1" t="s">
        <v>604</v>
      </c>
      <c r="H824" s="1" t="s">
        <v>591</v>
      </c>
      <c r="I824" s="1" t="s">
        <v>605</v>
      </c>
    </row>
    <row r="825" spans="1:9" ht="25" customHeight="1">
      <c r="A825" s="1"/>
      <c r="B825" s="1" t="s">
        <v>112</v>
      </c>
      <c r="C825" s="1" t="s">
        <v>34</v>
      </c>
      <c r="D825" s="1" t="s">
        <v>81</v>
      </c>
      <c r="E825" s="1">
        <v>6</v>
      </c>
      <c r="F825" s="1" t="s">
        <v>148</v>
      </c>
      <c r="G825" s="1" t="s">
        <v>606</v>
      </c>
      <c r="H825" s="1" t="s">
        <v>591</v>
      </c>
      <c r="I825" s="1" t="s">
        <v>607</v>
      </c>
    </row>
    <row r="826" spans="1:9" ht="25" customHeight="1">
      <c r="A826" s="1"/>
      <c r="B826" s="1" t="s">
        <v>112</v>
      </c>
      <c r="C826" s="1" t="s">
        <v>43</v>
      </c>
      <c r="D826" s="1" t="s">
        <v>81</v>
      </c>
      <c r="E826" s="1">
        <v>3</v>
      </c>
      <c r="F826" s="1" t="s">
        <v>148</v>
      </c>
      <c r="G826" s="1" t="s">
        <v>264</v>
      </c>
      <c r="H826" s="1" t="s">
        <v>591</v>
      </c>
      <c r="I826" s="1" t="s">
        <v>608</v>
      </c>
    </row>
    <row r="827" spans="1:9" ht="25" customHeight="1">
      <c r="A827" s="1"/>
      <c r="B827" s="1" t="s">
        <v>112</v>
      </c>
      <c r="C827" s="1" t="s">
        <v>45</v>
      </c>
      <c r="D827" s="1" t="s">
        <v>81</v>
      </c>
      <c r="E827" s="1">
        <v>1</v>
      </c>
      <c r="F827" s="1" t="s">
        <v>148</v>
      </c>
      <c r="G827" s="1" t="s">
        <v>266</v>
      </c>
      <c r="H827" s="1" t="s">
        <v>591</v>
      </c>
      <c r="I827" s="1" t="s">
        <v>609</v>
      </c>
    </row>
    <row r="828" spans="1:9" ht="25" customHeight="1">
      <c r="A828" s="1"/>
      <c r="B828" s="1" t="s">
        <v>112</v>
      </c>
      <c r="C828" s="1" t="s">
        <v>50</v>
      </c>
      <c r="D828" s="1" t="s">
        <v>81</v>
      </c>
      <c r="E828" s="1">
        <v>0</v>
      </c>
      <c r="F828" s="1" t="s">
        <v>148</v>
      </c>
      <c r="G828" s="1" t="s">
        <v>268</v>
      </c>
      <c r="H828" s="1" t="s">
        <v>591</v>
      </c>
      <c r="I828" s="1" t="s">
        <v>610</v>
      </c>
    </row>
    <row r="829" spans="1:9" ht="25" customHeight="1">
      <c r="A829" s="1"/>
      <c r="B829" s="1" t="s">
        <v>112</v>
      </c>
      <c r="C829" s="1" t="s">
        <v>55</v>
      </c>
      <c r="D829" s="1" t="s">
        <v>81</v>
      </c>
      <c r="E829" s="1">
        <v>0</v>
      </c>
      <c r="F829" s="1" t="s">
        <v>148</v>
      </c>
      <c r="G829" s="1" t="s">
        <v>270</v>
      </c>
      <c r="H829" s="1" t="s">
        <v>591</v>
      </c>
      <c r="I829" s="1" t="s">
        <v>611</v>
      </c>
    </row>
    <row r="830" spans="1:9" ht="25" customHeight="1">
      <c r="A830" s="1"/>
      <c r="B830" s="1" t="s">
        <v>112</v>
      </c>
      <c r="C830" s="1" t="s">
        <v>134</v>
      </c>
      <c r="D830" s="1" t="s">
        <v>81</v>
      </c>
      <c r="E830" s="1">
        <v>2</v>
      </c>
      <c r="F830" s="1" t="s">
        <v>148</v>
      </c>
      <c r="G830" s="1" t="s">
        <v>272</v>
      </c>
      <c r="H830" s="1" t="s">
        <v>591</v>
      </c>
      <c r="I830" s="1" t="s">
        <v>612</v>
      </c>
    </row>
    <row r="831" spans="1:9" ht="25" customHeight="1">
      <c r="A831" s="1"/>
      <c r="B831" s="1" t="s">
        <v>113</v>
      </c>
      <c r="C831" s="1" t="s">
        <v>34</v>
      </c>
      <c r="D831" s="1" t="s">
        <v>245</v>
      </c>
      <c r="E831" s="1">
        <v>3</v>
      </c>
      <c r="F831" s="1" t="s">
        <v>149</v>
      </c>
      <c r="G831" s="1" t="s">
        <v>280</v>
      </c>
      <c r="H831" s="1" t="s">
        <v>613</v>
      </c>
      <c r="I831" s="1" t="s">
        <v>614</v>
      </c>
    </row>
    <row r="832" spans="1:9" ht="25" customHeight="1">
      <c r="A832" s="1"/>
      <c r="B832" s="1" t="s">
        <v>113</v>
      </c>
      <c r="C832" s="1" t="s">
        <v>34</v>
      </c>
      <c r="D832" s="1" t="s">
        <v>75</v>
      </c>
      <c r="E832" s="1">
        <v>3</v>
      </c>
      <c r="F832" s="1" t="s">
        <v>149</v>
      </c>
      <c r="G832" s="1" t="s">
        <v>280</v>
      </c>
      <c r="H832" s="1" t="s">
        <v>613</v>
      </c>
      <c r="I832" s="1" t="s">
        <v>614</v>
      </c>
    </row>
    <row r="833" spans="1:9" ht="25" customHeight="1">
      <c r="A833" s="1"/>
      <c r="B833" s="1" t="s">
        <v>113</v>
      </c>
      <c r="C833" s="1" t="s">
        <v>34</v>
      </c>
      <c r="D833" s="1" t="s">
        <v>249</v>
      </c>
      <c r="E833" s="1">
        <v>1</v>
      </c>
      <c r="F833" s="1" t="s">
        <v>149</v>
      </c>
      <c r="G833" s="1" t="s">
        <v>280</v>
      </c>
      <c r="H833" s="1" t="s">
        <v>613</v>
      </c>
      <c r="I833" s="1" t="s">
        <v>614</v>
      </c>
    </row>
    <row r="834" spans="1:9" ht="25" customHeight="1">
      <c r="A834" s="1"/>
      <c r="B834" s="1" t="s">
        <v>113</v>
      </c>
      <c r="C834" s="1" t="s">
        <v>34</v>
      </c>
      <c r="D834" s="1" t="s">
        <v>79</v>
      </c>
      <c r="E834" s="1">
        <v>2</v>
      </c>
      <c r="F834" s="1" t="s">
        <v>149</v>
      </c>
      <c r="G834" s="1" t="s">
        <v>280</v>
      </c>
      <c r="H834" s="1" t="s">
        <v>613</v>
      </c>
      <c r="I834" s="1" t="s">
        <v>614</v>
      </c>
    </row>
    <row r="835" spans="1:9" ht="25" customHeight="1">
      <c r="A835" s="1"/>
      <c r="B835" s="1" t="s">
        <v>113</v>
      </c>
      <c r="C835" s="1" t="s">
        <v>34</v>
      </c>
      <c r="D835" s="1" t="s">
        <v>250</v>
      </c>
      <c r="E835" s="1">
        <v>-1</v>
      </c>
      <c r="F835" s="1" t="s">
        <v>149</v>
      </c>
      <c r="G835" s="1" t="s">
        <v>280</v>
      </c>
      <c r="H835" s="1" t="s">
        <v>613</v>
      </c>
      <c r="I835" s="1" t="s">
        <v>614</v>
      </c>
    </row>
    <row r="836" spans="1:9" ht="25" customHeight="1">
      <c r="A836" s="1"/>
      <c r="B836" s="1" t="s">
        <v>113</v>
      </c>
      <c r="C836" s="1" t="s">
        <v>34</v>
      </c>
      <c r="D836" s="1" t="s">
        <v>251</v>
      </c>
      <c r="E836" s="1">
        <v>0</v>
      </c>
      <c r="F836" s="1" t="s">
        <v>149</v>
      </c>
      <c r="G836" s="1" t="s">
        <v>280</v>
      </c>
      <c r="H836" s="1" t="s">
        <v>613</v>
      </c>
      <c r="I836" s="1" t="s">
        <v>614</v>
      </c>
    </row>
    <row r="837" spans="1:9" ht="25" customHeight="1">
      <c r="A837" s="1"/>
      <c r="B837" s="1" t="s">
        <v>113</v>
      </c>
      <c r="C837" s="1" t="s">
        <v>34</v>
      </c>
      <c r="D837" s="1" t="s">
        <v>252</v>
      </c>
      <c r="E837" s="1">
        <v>5</v>
      </c>
      <c r="F837" s="1" t="s">
        <v>149</v>
      </c>
      <c r="G837" s="1" t="s">
        <v>280</v>
      </c>
      <c r="H837" s="1" t="s">
        <v>613</v>
      </c>
      <c r="I837" s="1" t="s">
        <v>614</v>
      </c>
    </row>
    <row r="838" spans="1:9" ht="25" customHeight="1">
      <c r="A838" s="1"/>
      <c r="B838" s="1" t="s">
        <v>113</v>
      </c>
      <c r="C838" s="1" t="s">
        <v>43</v>
      </c>
      <c r="D838" s="1" t="s">
        <v>245</v>
      </c>
      <c r="E838" s="1">
        <v>-2</v>
      </c>
      <c r="F838" s="1" t="s">
        <v>149</v>
      </c>
      <c r="G838" s="1" t="s">
        <v>282</v>
      </c>
      <c r="H838" s="1" t="s">
        <v>613</v>
      </c>
      <c r="I838" s="1" t="s">
        <v>615</v>
      </c>
    </row>
    <row r="839" spans="1:9" ht="25" customHeight="1">
      <c r="A839" s="1"/>
      <c r="B839" s="1" t="s">
        <v>113</v>
      </c>
      <c r="C839" s="1" t="s">
        <v>43</v>
      </c>
      <c r="D839" s="1" t="s">
        <v>75</v>
      </c>
      <c r="E839" s="1">
        <v>-2</v>
      </c>
      <c r="F839" s="1" t="s">
        <v>149</v>
      </c>
      <c r="G839" s="1" t="s">
        <v>282</v>
      </c>
      <c r="H839" s="1" t="s">
        <v>613</v>
      </c>
      <c r="I839" s="1" t="s">
        <v>615</v>
      </c>
    </row>
    <row r="840" spans="1:9" ht="25" customHeight="1">
      <c r="A840" s="1"/>
      <c r="B840" s="1" t="s">
        <v>113</v>
      </c>
      <c r="C840" s="1" t="s">
        <v>43</v>
      </c>
      <c r="D840" s="1" t="s">
        <v>249</v>
      </c>
      <c r="E840" s="1">
        <v>2</v>
      </c>
      <c r="F840" s="1" t="s">
        <v>149</v>
      </c>
      <c r="G840" s="1" t="s">
        <v>282</v>
      </c>
      <c r="H840" s="1" t="s">
        <v>613</v>
      </c>
      <c r="I840" s="1" t="s">
        <v>615</v>
      </c>
    </row>
    <row r="841" spans="1:9" ht="25" customHeight="1">
      <c r="A841" s="1"/>
      <c r="B841" s="1" t="s">
        <v>113</v>
      </c>
      <c r="C841" s="1" t="s">
        <v>43</v>
      </c>
      <c r="D841" s="1" t="s">
        <v>79</v>
      </c>
      <c r="E841" s="1">
        <v>2</v>
      </c>
      <c r="F841" s="1" t="s">
        <v>149</v>
      </c>
      <c r="G841" s="1" t="s">
        <v>282</v>
      </c>
      <c r="H841" s="1" t="s">
        <v>613</v>
      </c>
      <c r="I841" s="1" t="s">
        <v>615</v>
      </c>
    </row>
    <row r="842" spans="1:9" ht="25" customHeight="1">
      <c r="A842" s="1"/>
      <c r="B842" s="1" t="s">
        <v>113</v>
      </c>
      <c r="C842" s="1" t="s">
        <v>43</v>
      </c>
      <c r="D842" s="1" t="s">
        <v>250</v>
      </c>
      <c r="E842" s="1">
        <v>0</v>
      </c>
      <c r="F842" s="1" t="s">
        <v>149</v>
      </c>
      <c r="G842" s="1" t="s">
        <v>282</v>
      </c>
      <c r="H842" s="1" t="s">
        <v>613</v>
      </c>
      <c r="I842" s="1" t="s">
        <v>615</v>
      </c>
    </row>
    <row r="843" spans="1:9" ht="25" customHeight="1">
      <c r="A843" s="1"/>
      <c r="B843" s="1" t="s">
        <v>113</v>
      </c>
      <c r="C843" s="1" t="s">
        <v>43</v>
      </c>
      <c r="D843" s="1" t="s">
        <v>251</v>
      </c>
      <c r="E843" s="1">
        <v>0</v>
      </c>
      <c r="F843" s="1" t="s">
        <v>149</v>
      </c>
      <c r="G843" s="1" t="s">
        <v>282</v>
      </c>
      <c r="H843" s="1" t="s">
        <v>613</v>
      </c>
      <c r="I843" s="1" t="s">
        <v>615</v>
      </c>
    </row>
    <row r="844" spans="1:9" ht="25" customHeight="1">
      <c r="A844" s="1"/>
      <c r="B844" s="1" t="s">
        <v>113</v>
      </c>
      <c r="C844" s="1" t="s">
        <v>43</v>
      </c>
      <c r="D844" s="1" t="s">
        <v>252</v>
      </c>
      <c r="E844" s="1">
        <v>2</v>
      </c>
      <c r="F844" s="1" t="s">
        <v>149</v>
      </c>
      <c r="G844" s="1" t="s">
        <v>282</v>
      </c>
      <c r="H844" s="1" t="s">
        <v>613</v>
      </c>
      <c r="I844" s="1" t="s">
        <v>615</v>
      </c>
    </row>
    <row r="845" spans="1:9" ht="25" customHeight="1">
      <c r="A845" s="1"/>
      <c r="B845" s="1" t="s">
        <v>113</v>
      </c>
      <c r="C845" s="1" t="s">
        <v>45</v>
      </c>
      <c r="D845" s="1" t="s">
        <v>245</v>
      </c>
      <c r="E845" s="1">
        <v>-1</v>
      </c>
      <c r="F845" s="1" t="s">
        <v>149</v>
      </c>
      <c r="G845" s="1" t="s">
        <v>284</v>
      </c>
      <c r="H845" s="1" t="s">
        <v>613</v>
      </c>
      <c r="I845" s="1" t="s">
        <v>616</v>
      </c>
    </row>
    <row r="846" spans="1:9" ht="25" customHeight="1">
      <c r="A846" s="1"/>
      <c r="B846" s="1" t="s">
        <v>113</v>
      </c>
      <c r="C846" s="1" t="s">
        <v>45</v>
      </c>
      <c r="D846" s="1" t="s">
        <v>75</v>
      </c>
      <c r="E846" s="1">
        <v>-1</v>
      </c>
      <c r="F846" s="1" t="s">
        <v>149</v>
      </c>
      <c r="G846" s="1" t="s">
        <v>284</v>
      </c>
      <c r="H846" s="1" t="s">
        <v>613</v>
      </c>
      <c r="I846" s="1" t="s">
        <v>616</v>
      </c>
    </row>
    <row r="847" spans="1:9" ht="25" customHeight="1">
      <c r="A847" s="1"/>
      <c r="B847" s="1" t="s">
        <v>113</v>
      </c>
      <c r="C847" s="1" t="s">
        <v>45</v>
      </c>
      <c r="D847" s="1" t="s">
        <v>249</v>
      </c>
      <c r="E847" s="1">
        <v>2</v>
      </c>
      <c r="F847" s="1" t="s">
        <v>149</v>
      </c>
      <c r="G847" s="1" t="s">
        <v>284</v>
      </c>
      <c r="H847" s="1" t="s">
        <v>613</v>
      </c>
      <c r="I847" s="1" t="s">
        <v>616</v>
      </c>
    </row>
    <row r="848" spans="1:9" ht="25" customHeight="1">
      <c r="A848" s="1"/>
      <c r="B848" s="1" t="s">
        <v>113</v>
      </c>
      <c r="C848" s="1" t="s">
        <v>45</v>
      </c>
      <c r="D848" s="1" t="s">
        <v>79</v>
      </c>
      <c r="E848" s="1">
        <v>1</v>
      </c>
      <c r="F848" s="1" t="s">
        <v>149</v>
      </c>
      <c r="G848" s="1" t="s">
        <v>284</v>
      </c>
      <c r="H848" s="1" t="s">
        <v>613</v>
      </c>
      <c r="I848" s="1" t="s">
        <v>616</v>
      </c>
    </row>
    <row r="849" spans="1:9" ht="25" customHeight="1">
      <c r="A849" s="1"/>
      <c r="B849" s="1" t="s">
        <v>113</v>
      </c>
      <c r="C849" s="1" t="s">
        <v>45</v>
      </c>
      <c r="D849" s="1" t="s">
        <v>250</v>
      </c>
      <c r="E849" s="1">
        <v>2</v>
      </c>
      <c r="F849" s="1" t="s">
        <v>149</v>
      </c>
      <c r="G849" s="1" t="s">
        <v>284</v>
      </c>
      <c r="H849" s="1" t="s">
        <v>613</v>
      </c>
      <c r="I849" s="1" t="s">
        <v>616</v>
      </c>
    </row>
    <row r="850" spans="1:9" ht="25" customHeight="1">
      <c r="A850" s="1"/>
      <c r="B850" s="1" t="s">
        <v>113</v>
      </c>
      <c r="C850" s="1" t="s">
        <v>45</v>
      </c>
      <c r="D850" s="1" t="s">
        <v>251</v>
      </c>
      <c r="E850" s="1">
        <v>1</v>
      </c>
      <c r="F850" s="1" t="s">
        <v>149</v>
      </c>
      <c r="G850" s="1" t="s">
        <v>284</v>
      </c>
      <c r="H850" s="1" t="s">
        <v>613</v>
      </c>
      <c r="I850" s="1" t="s">
        <v>616</v>
      </c>
    </row>
    <row r="851" spans="1:9" ht="25" customHeight="1">
      <c r="A851" s="1"/>
      <c r="B851" s="1" t="s">
        <v>113</v>
      </c>
      <c r="C851" s="1" t="s">
        <v>45</v>
      </c>
      <c r="D851" s="1" t="s">
        <v>252</v>
      </c>
      <c r="E851" s="1">
        <v>5</v>
      </c>
      <c r="F851" s="1" t="s">
        <v>149</v>
      </c>
      <c r="G851" s="1" t="s">
        <v>284</v>
      </c>
      <c r="H851" s="1" t="s">
        <v>613</v>
      </c>
      <c r="I851" s="1" t="s">
        <v>616</v>
      </c>
    </row>
    <row r="852" spans="1:9" ht="25" customHeight="1">
      <c r="A852" s="1"/>
      <c r="B852" s="1" t="s">
        <v>113</v>
      </c>
      <c r="C852" s="1" t="s">
        <v>50</v>
      </c>
      <c r="D852" s="1" t="s">
        <v>245</v>
      </c>
      <c r="E852" s="1">
        <v>0</v>
      </c>
      <c r="F852" s="1" t="s">
        <v>149</v>
      </c>
      <c r="G852" s="1" t="s">
        <v>286</v>
      </c>
      <c r="H852" s="1" t="s">
        <v>613</v>
      </c>
      <c r="I852" s="1" t="s">
        <v>617</v>
      </c>
    </row>
    <row r="853" spans="1:9" ht="25" customHeight="1">
      <c r="A853" s="1"/>
      <c r="B853" s="1" t="s">
        <v>113</v>
      </c>
      <c r="C853" s="1" t="s">
        <v>50</v>
      </c>
      <c r="D853" s="1" t="s">
        <v>75</v>
      </c>
      <c r="E853" s="1">
        <v>0</v>
      </c>
      <c r="F853" s="1" t="s">
        <v>149</v>
      </c>
      <c r="G853" s="1" t="s">
        <v>286</v>
      </c>
      <c r="H853" s="1" t="s">
        <v>613</v>
      </c>
      <c r="I853" s="1" t="s">
        <v>617</v>
      </c>
    </row>
    <row r="854" spans="1:9" ht="25" customHeight="1">
      <c r="A854" s="1"/>
      <c r="B854" s="1" t="s">
        <v>113</v>
      </c>
      <c r="C854" s="1" t="s">
        <v>50</v>
      </c>
      <c r="D854" s="1" t="s">
        <v>249</v>
      </c>
      <c r="E854" s="1">
        <v>1</v>
      </c>
      <c r="F854" s="1" t="s">
        <v>149</v>
      </c>
      <c r="G854" s="1" t="s">
        <v>286</v>
      </c>
      <c r="H854" s="1" t="s">
        <v>613</v>
      </c>
      <c r="I854" s="1" t="s">
        <v>617</v>
      </c>
    </row>
    <row r="855" spans="1:9" ht="25" customHeight="1">
      <c r="A855" s="1"/>
      <c r="B855" s="1" t="s">
        <v>113</v>
      </c>
      <c r="C855" s="1" t="s">
        <v>50</v>
      </c>
      <c r="D855" s="1" t="s">
        <v>79</v>
      </c>
      <c r="E855" s="1">
        <v>1</v>
      </c>
      <c r="F855" s="1" t="s">
        <v>149</v>
      </c>
      <c r="G855" s="1" t="s">
        <v>286</v>
      </c>
      <c r="H855" s="1" t="s">
        <v>613</v>
      </c>
      <c r="I855" s="1" t="s">
        <v>617</v>
      </c>
    </row>
    <row r="856" spans="1:9" ht="25" customHeight="1">
      <c r="A856" s="1"/>
      <c r="B856" s="1" t="s">
        <v>113</v>
      </c>
      <c r="C856" s="1" t="s">
        <v>50</v>
      </c>
      <c r="D856" s="1" t="s">
        <v>250</v>
      </c>
      <c r="E856" s="1">
        <v>-1</v>
      </c>
      <c r="F856" s="1" t="s">
        <v>149</v>
      </c>
      <c r="G856" s="1" t="s">
        <v>286</v>
      </c>
      <c r="H856" s="1" t="s">
        <v>613</v>
      </c>
      <c r="I856" s="1" t="s">
        <v>617</v>
      </c>
    </row>
    <row r="857" spans="1:9" ht="25" customHeight="1">
      <c r="A857" s="1"/>
      <c r="B857" s="1" t="s">
        <v>113</v>
      </c>
      <c r="C857" s="1" t="s">
        <v>50</v>
      </c>
      <c r="D857" s="1" t="s">
        <v>251</v>
      </c>
      <c r="E857" s="1">
        <v>0</v>
      </c>
      <c r="F857" s="1" t="s">
        <v>149</v>
      </c>
      <c r="G857" s="1" t="s">
        <v>286</v>
      </c>
      <c r="H857" s="1" t="s">
        <v>613</v>
      </c>
      <c r="I857" s="1" t="s">
        <v>617</v>
      </c>
    </row>
    <row r="858" spans="1:9" ht="25" customHeight="1">
      <c r="A858" s="1"/>
      <c r="B858" s="1" t="s">
        <v>113</v>
      </c>
      <c r="C858" s="1" t="s">
        <v>50</v>
      </c>
      <c r="D858" s="1" t="s">
        <v>252</v>
      </c>
      <c r="E858" s="1">
        <v>1</v>
      </c>
      <c r="F858" s="1" t="s">
        <v>149</v>
      </c>
      <c r="G858" s="1" t="s">
        <v>286</v>
      </c>
      <c r="H858" s="1" t="s">
        <v>613</v>
      </c>
      <c r="I858" s="1" t="s">
        <v>617</v>
      </c>
    </row>
    <row r="859" spans="1:9" ht="25" customHeight="1">
      <c r="A859" s="1"/>
      <c r="B859" s="1" t="s">
        <v>113</v>
      </c>
      <c r="C859" s="1" t="s">
        <v>55</v>
      </c>
      <c r="D859" s="1" t="s">
        <v>245</v>
      </c>
      <c r="E859" s="1">
        <v>-5</v>
      </c>
      <c r="F859" s="1" t="s">
        <v>149</v>
      </c>
      <c r="G859" s="1" t="s">
        <v>288</v>
      </c>
      <c r="H859" s="1" t="s">
        <v>613</v>
      </c>
      <c r="I859" s="1" t="s">
        <v>618</v>
      </c>
    </row>
    <row r="860" spans="1:9" ht="25" customHeight="1">
      <c r="A860" s="1"/>
      <c r="B860" s="1" t="s">
        <v>113</v>
      </c>
      <c r="C860" s="1" t="s">
        <v>55</v>
      </c>
      <c r="D860" s="1" t="s">
        <v>75</v>
      </c>
      <c r="E860" s="1">
        <v>-5</v>
      </c>
      <c r="F860" s="1" t="s">
        <v>149</v>
      </c>
      <c r="G860" s="1" t="s">
        <v>288</v>
      </c>
      <c r="H860" s="1" t="s">
        <v>613</v>
      </c>
      <c r="I860" s="1" t="s">
        <v>618</v>
      </c>
    </row>
    <row r="861" spans="1:9" ht="25" customHeight="1">
      <c r="A861" s="1"/>
      <c r="B861" s="1" t="s">
        <v>113</v>
      </c>
      <c r="C861" s="1" t="s">
        <v>55</v>
      </c>
      <c r="D861" s="1" t="s">
        <v>249</v>
      </c>
      <c r="E861" s="1">
        <v>1</v>
      </c>
      <c r="F861" s="1" t="s">
        <v>149</v>
      </c>
      <c r="G861" s="1" t="s">
        <v>288</v>
      </c>
      <c r="H861" s="1" t="s">
        <v>613</v>
      </c>
      <c r="I861" s="1" t="s">
        <v>618</v>
      </c>
    </row>
    <row r="862" spans="1:9" ht="25" customHeight="1">
      <c r="A862" s="1"/>
      <c r="B862" s="1" t="s">
        <v>113</v>
      </c>
      <c r="C862" s="1" t="s">
        <v>55</v>
      </c>
      <c r="D862" s="1" t="s">
        <v>79</v>
      </c>
      <c r="E862" s="1">
        <v>0</v>
      </c>
      <c r="F862" s="1" t="s">
        <v>149</v>
      </c>
      <c r="G862" s="1" t="s">
        <v>288</v>
      </c>
      <c r="H862" s="1" t="s">
        <v>613</v>
      </c>
      <c r="I862" s="1" t="s">
        <v>618</v>
      </c>
    </row>
    <row r="863" spans="1:9" ht="25" customHeight="1">
      <c r="A863" s="1"/>
      <c r="B863" s="1" t="s">
        <v>113</v>
      </c>
      <c r="C863" s="1" t="s">
        <v>55</v>
      </c>
      <c r="D863" s="1" t="s">
        <v>250</v>
      </c>
      <c r="E863" s="1">
        <v>0</v>
      </c>
      <c r="F863" s="1" t="s">
        <v>149</v>
      </c>
      <c r="G863" s="1" t="s">
        <v>288</v>
      </c>
      <c r="H863" s="1" t="s">
        <v>613</v>
      </c>
      <c r="I863" s="1" t="s">
        <v>618</v>
      </c>
    </row>
    <row r="864" spans="1:9" ht="25" customHeight="1">
      <c r="A864" s="1"/>
      <c r="B864" s="1" t="s">
        <v>113</v>
      </c>
      <c r="C864" s="1" t="s">
        <v>55</v>
      </c>
      <c r="D864" s="1" t="s">
        <v>251</v>
      </c>
      <c r="E864" s="1">
        <v>1</v>
      </c>
      <c r="F864" s="1" t="s">
        <v>149</v>
      </c>
      <c r="G864" s="1" t="s">
        <v>288</v>
      </c>
      <c r="H864" s="1" t="s">
        <v>613</v>
      </c>
      <c r="I864" s="1" t="s">
        <v>618</v>
      </c>
    </row>
    <row r="865" spans="1:9" ht="25" customHeight="1">
      <c r="A865" s="1"/>
      <c r="B865" s="1" t="s">
        <v>113</v>
      </c>
      <c r="C865" s="1" t="s">
        <v>55</v>
      </c>
      <c r="D865" s="1" t="s">
        <v>252</v>
      </c>
      <c r="E865" s="1">
        <v>-3</v>
      </c>
      <c r="F865" s="1" t="s">
        <v>149</v>
      </c>
      <c r="G865" s="1" t="s">
        <v>288</v>
      </c>
      <c r="H865" s="1" t="s">
        <v>613</v>
      </c>
      <c r="I865" s="1" t="s">
        <v>618</v>
      </c>
    </row>
    <row r="866" spans="1:9" ht="25" customHeight="1">
      <c r="A866" s="1"/>
      <c r="B866" s="1" t="s">
        <v>113</v>
      </c>
      <c r="C866" s="1" t="s">
        <v>134</v>
      </c>
      <c r="D866" s="1" t="s">
        <v>245</v>
      </c>
      <c r="E866" s="1">
        <v>-1</v>
      </c>
      <c r="F866" s="1" t="s">
        <v>149</v>
      </c>
      <c r="G866" s="1" t="s">
        <v>482</v>
      </c>
      <c r="H866" s="1" t="s">
        <v>613</v>
      </c>
      <c r="I866" s="1" t="s">
        <v>619</v>
      </c>
    </row>
    <row r="867" spans="1:9" ht="25" customHeight="1">
      <c r="A867" s="1"/>
      <c r="B867" s="1" t="s">
        <v>113</v>
      </c>
      <c r="C867" s="1" t="s">
        <v>134</v>
      </c>
      <c r="D867" s="1" t="s">
        <v>75</v>
      </c>
      <c r="E867" s="1">
        <v>-1</v>
      </c>
      <c r="F867" s="1" t="s">
        <v>149</v>
      </c>
      <c r="G867" s="1" t="s">
        <v>482</v>
      </c>
      <c r="H867" s="1" t="s">
        <v>613</v>
      </c>
      <c r="I867" s="1" t="s">
        <v>619</v>
      </c>
    </row>
    <row r="868" spans="1:9" ht="25" customHeight="1">
      <c r="A868" s="1"/>
      <c r="B868" s="1" t="s">
        <v>113</v>
      </c>
      <c r="C868" s="1" t="s">
        <v>134</v>
      </c>
      <c r="D868" s="1" t="s">
        <v>249</v>
      </c>
      <c r="E868" s="1">
        <v>1</v>
      </c>
      <c r="F868" s="1" t="s">
        <v>149</v>
      </c>
      <c r="G868" s="1" t="s">
        <v>482</v>
      </c>
      <c r="H868" s="1" t="s">
        <v>613</v>
      </c>
      <c r="I868" s="1" t="s">
        <v>619</v>
      </c>
    </row>
    <row r="869" spans="1:9" ht="25" customHeight="1">
      <c r="A869" s="1"/>
      <c r="B869" s="1" t="s">
        <v>113</v>
      </c>
      <c r="C869" s="1" t="s">
        <v>134</v>
      </c>
      <c r="D869" s="1" t="s">
        <v>79</v>
      </c>
      <c r="E869" s="1">
        <v>1</v>
      </c>
      <c r="F869" s="1" t="s">
        <v>149</v>
      </c>
      <c r="G869" s="1" t="s">
        <v>482</v>
      </c>
      <c r="H869" s="1" t="s">
        <v>613</v>
      </c>
      <c r="I869" s="1" t="s">
        <v>619</v>
      </c>
    </row>
    <row r="870" spans="1:9" ht="25" customHeight="1">
      <c r="A870" s="1"/>
      <c r="B870" s="1" t="s">
        <v>113</v>
      </c>
      <c r="C870" s="1" t="s">
        <v>134</v>
      </c>
      <c r="D870" s="1" t="s">
        <v>250</v>
      </c>
      <c r="E870" s="1">
        <v>0</v>
      </c>
      <c r="F870" s="1" t="s">
        <v>149</v>
      </c>
      <c r="G870" s="1" t="s">
        <v>482</v>
      </c>
      <c r="H870" s="1" t="s">
        <v>613</v>
      </c>
      <c r="I870" s="1" t="s">
        <v>619</v>
      </c>
    </row>
    <row r="871" spans="1:9" ht="25" customHeight="1">
      <c r="A871" s="1"/>
      <c r="B871" s="1" t="s">
        <v>113</v>
      </c>
      <c r="C871" s="1" t="s">
        <v>134</v>
      </c>
      <c r="D871" s="1" t="s">
        <v>251</v>
      </c>
      <c r="E871" s="1">
        <v>0</v>
      </c>
      <c r="F871" s="1" t="s">
        <v>149</v>
      </c>
      <c r="G871" s="1" t="s">
        <v>482</v>
      </c>
      <c r="H871" s="1" t="s">
        <v>613</v>
      </c>
      <c r="I871" s="1" t="s">
        <v>619</v>
      </c>
    </row>
    <row r="872" spans="1:9" ht="25" customHeight="1">
      <c r="A872" s="1"/>
      <c r="B872" s="1" t="s">
        <v>113</v>
      </c>
      <c r="C872" s="1" t="s">
        <v>134</v>
      </c>
      <c r="D872" s="1" t="s">
        <v>252</v>
      </c>
      <c r="E872" s="1">
        <v>1</v>
      </c>
      <c r="F872" s="1" t="s">
        <v>149</v>
      </c>
      <c r="G872" s="1" t="s">
        <v>482</v>
      </c>
      <c r="H872" s="1" t="s">
        <v>613</v>
      </c>
      <c r="I872" s="1" t="s">
        <v>619</v>
      </c>
    </row>
    <row r="873" spans="1:9" ht="25" customHeight="1">
      <c r="A873" s="1"/>
      <c r="B873" s="1" t="s">
        <v>113</v>
      </c>
      <c r="C873" s="1" t="s">
        <v>34</v>
      </c>
      <c r="D873" s="1" t="s">
        <v>263</v>
      </c>
      <c r="E873" s="1">
        <v>4039</v>
      </c>
      <c r="F873" s="1" t="s">
        <v>149</v>
      </c>
      <c r="G873" s="1" t="s">
        <v>620</v>
      </c>
      <c r="H873" s="1" t="s">
        <v>613</v>
      </c>
      <c r="I873" s="1" t="s">
        <v>621</v>
      </c>
    </row>
    <row r="874" spans="1:9" ht="25" customHeight="1">
      <c r="A874" s="1"/>
      <c r="B874" s="1" t="s">
        <v>113</v>
      </c>
      <c r="C874" s="1" t="s">
        <v>43</v>
      </c>
      <c r="D874" s="1" t="s">
        <v>263</v>
      </c>
      <c r="E874" s="1">
        <v>1794</v>
      </c>
      <c r="F874" s="1" t="s">
        <v>149</v>
      </c>
      <c r="G874" s="1" t="s">
        <v>622</v>
      </c>
      <c r="H874" s="1" t="s">
        <v>613</v>
      </c>
      <c r="I874" s="1" t="s">
        <v>623</v>
      </c>
    </row>
    <row r="875" spans="1:9" ht="25" customHeight="1">
      <c r="A875" s="1"/>
      <c r="B875" s="1" t="s">
        <v>113</v>
      </c>
      <c r="C875" s="1" t="s">
        <v>45</v>
      </c>
      <c r="D875" s="1" t="s">
        <v>263</v>
      </c>
      <c r="E875" s="1">
        <v>3406</v>
      </c>
      <c r="F875" s="1" t="s">
        <v>149</v>
      </c>
      <c r="G875" s="1" t="s">
        <v>624</v>
      </c>
      <c r="H875" s="1" t="s">
        <v>613</v>
      </c>
      <c r="I875" s="1" t="s">
        <v>625</v>
      </c>
    </row>
    <row r="876" spans="1:9" ht="25" customHeight="1">
      <c r="A876" s="1"/>
      <c r="B876" s="1" t="s">
        <v>113</v>
      </c>
      <c r="C876" s="1" t="s">
        <v>50</v>
      </c>
      <c r="D876" s="1" t="s">
        <v>263</v>
      </c>
      <c r="E876" s="1">
        <v>7686</v>
      </c>
      <c r="F876" s="1" t="s">
        <v>149</v>
      </c>
      <c r="G876" s="1" t="s">
        <v>626</v>
      </c>
      <c r="H876" s="1" t="s">
        <v>613</v>
      </c>
      <c r="I876" s="1" t="s">
        <v>627</v>
      </c>
    </row>
    <row r="877" spans="1:9" ht="25" customHeight="1">
      <c r="A877" s="1"/>
      <c r="B877" s="1" t="s">
        <v>113</v>
      </c>
      <c r="C877" s="1" t="s">
        <v>55</v>
      </c>
      <c r="D877" s="1" t="s">
        <v>263</v>
      </c>
      <c r="E877" s="1">
        <v>5123</v>
      </c>
      <c r="F877" s="1" t="s">
        <v>149</v>
      </c>
      <c r="G877" s="1" t="s">
        <v>628</v>
      </c>
      <c r="H877" s="1" t="s">
        <v>613</v>
      </c>
      <c r="I877" s="1" t="s">
        <v>629</v>
      </c>
    </row>
    <row r="878" spans="1:9" ht="25" customHeight="1">
      <c r="A878" s="1"/>
      <c r="B878" s="1" t="s">
        <v>113</v>
      </c>
      <c r="C878" s="1" t="s">
        <v>133</v>
      </c>
      <c r="D878" s="1" t="s">
        <v>263</v>
      </c>
      <c r="E878" s="1">
        <v>160</v>
      </c>
      <c r="F878" s="1" t="s">
        <v>149</v>
      </c>
      <c r="G878" s="1" t="s">
        <v>630</v>
      </c>
      <c r="H878" s="1" t="s">
        <v>613</v>
      </c>
      <c r="I878" s="1" t="s">
        <v>631</v>
      </c>
    </row>
    <row r="879" spans="1:9" ht="25" customHeight="1">
      <c r="A879" s="1"/>
      <c r="B879" s="1" t="s">
        <v>113</v>
      </c>
      <c r="C879" s="1" t="s">
        <v>134</v>
      </c>
      <c r="D879" s="1" t="s">
        <v>263</v>
      </c>
      <c r="E879" s="1">
        <v>22208</v>
      </c>
      <c r="F879" s="1" t="s">
        <v>149</v>
      </c>
      <c r="G879" s="1" t="s">
        <v>632</v>
      </c>
      <c r="H879" s="1" t="s">
        <v>613</v>
      </c>
      <c r="I879" s="1" t="s">
        <v>633</v>
      </c>
    </row>
    <row r="880" spans="1:9" ht="25" customHeight="1">
      <c r="A880" s="1"/>
      <c r="B880" s="1" t="s">
        <v>113</v>
      </c>
      <c r="C880" s="1" t="s">
        <v>34</v>
      </c>
      <c r="D880" s="1" t="s">
        <v>81</v>
      </c>
      <c r="E880" s="1">
        <v>4</v>
      </c>
      <c r="F880" s="1" t="s">
        <v>149</v>
      </c>
      <c r="G880" s="1" t="s">
        <v>634</v>
      </c>
      <c r="H880" s="1" t="s">
        <v>613</v>
      </c>
      <c r="I880" s="1" t="s">
        <v>635</v>
      </c>
    </row>
    <row r="881" spans="1:9" ht="25" customHeight="1">
      <c r="A881" s="1"/>
      <c r="B881" s="1" t="s">
        <v>113</v>
      </c>
      <c r="C881" s="1" t="s">
        <v>43</v>
      </c>
      <c r="D881" s="1" t="s">
        <v>81</v>
      </c>
      <c r="E881" s="1">
        <v>0</v>
      </c>
      <c r="F881" s="1" t="s">
        <v>149</v>
      </c>
      <c r="G881" s="1" t="s">
        <v>636</v>
      </c>
      <c r="H881" s="1" t="s">
        <v>613</v>
      </c>
      <c r="I881" s="1" t="s">
        <v>637</v>
      </c>
    </row>
    <row r="882" spans="1:9" ht="25" customHeight="1">
      <c r="A882" s="1"/>
      <c r="B882" s="1" t="s">
        <v>113</v>
      </c>
      <c r="C882" s="1" t="s">
        <v>45</v>
      </c>
      <c r="D882" s="1" t="s">
        <v>81</v>
      </c>
      <c r="E882" s="1">
        <v>3</v>
      </c>
      <c r="F882" s="1" t="s">
        <v>149</v>
      </c>
      <c r="G882" s="1" t="s">
        <v>638</v>
      </c>
      <c r="H882" s="1" t="s">
        <v>613</v>
      </c>
      <c r="I882" s="1" t="s">
        <v>639</v>
      </c>
    </row>
    <row r="883" spans="1:9" ht="25" customHeight="1">
      <c r="A883" s="1"/>
      <c r="B883" s="1" t="s">
        <v>113</v>
      </c>
      <c r="C883" s="1" t="s">
        <v>50</v>
      </c>
      <c r="D883" s="1" t="s">
        <v>81</v>
      </c>
      <c r="E883" s="1">
        <v>0</v>
      </c>
      <c r="F883" s="1" t="s">
        <v>149</v>
      </c>
      <c r="G883" s="1" t="s">
        <v>640</v>
      </c>
      <c r="H883" s="1" t="s">
        <v>613</v>
      </c>
      <c r="I883" s="1" t="s">
        <v>641</v>
      </c>
    </row>
    <row r="884" spans="1:9" ht="25" customHeight="1">
      <c r="A884" s="1"/>
      <c r="B884" s="1" t="s">
        <v>113</v>
      </c>
      <c r="C884" s="1" t="s">
        <v>55</v>
      </c>
      <c r="D884" s="1" t="s">
        <v>81</v>
      </c>
      <c r="E884" s="1">
        <v>-4</v>
      </c>
      <c r="F884" s="1" t="s">
        <v>149</v>
      </c>
      <c r="G884" s="1" t="s">
        <v>642</v>
      </c>
      <c r="H884" s="1" t="s">
        <v>613</v>
      </c>
      <c r="I884" s="1" t="s">
        <v>643</v>
      </c>
    </row>
    <row r="885" spans="1:9" ht="25" customHeight="1">
      <c r="A885" s="1"/>
      <c r="B885" s="1" t="s">
        <v>113</v>
      </c>
      <c r="C885" s="1" t="s">
        <v>134</v>
      </c>
      <c r="D885" s="1" t="s">
        <v>81</v>
      </c>
      <c r="E885" s="1">
        <v>0</v>
      </c>
      <c r="F885" s="1" t="s">
        <v>149</v>
      </c>
      <c r="G885" s="1" t="s">
        <v>644</v>
      </c>
      <c r="H885" s="1" t="s">
        <v>613</v>
      </c>
      <c r="I885" s="1" t="s">
        <v>645</v>
      </c>
    </row>
    <row r="886" spans="1:9" ht="25" customHeight="1">
      <c r="A886" s="1"/>
      <c r="B886" s="1" t="s">
        <v>114</v>
      </c>
      <c r="C886" s="1" t="s">
        <v>34</v>
      </c>
      <c r="D886" s="1" t="s">
        <v>245</v>
      </c>
      <c r="E886" s="1">
        <v>5</v>
      </c>
      <c r="F886" s="1" t="s">
        <v>77</v>
      </c>
      <c r="G886" s="1" t="s">
        <v>280</v>
      </c>
      <c r="H886" s="1" t="s">
        <v>646</v>
      </c>
      <c r="I886" s="1" t="s">
        <v>647</v>
      </c>
    </row>
    <row r="887" spans="1:9" ht="25" customHeight="1">
      <c r="A887" s="1"/>
      <c r="B887" s="1" t="s">
        <v>114</v>
      </c>
      <c r="C887" s="1" t="s">
        <v>34</v>
      </c>
      <c r="D887" s="1" t="s">
        <v>75</v>
      </c>
      <c r="E887" s="1">
        <v>5</v>
      </c>
      <c r="F887" s="1" t="s">
        <v>77</v>
      </c>
      <c r="G887" s="1" t="s">
        <v>280</v>
      </c>
      <c r="H887" s="1" t="s">
        <v>646</v>
      </c>
      <c r="I887" s="1" t="s">
        <v>647</v>
      </c>
    </row>
    <row r="888" spans="1:9" ht="25" customHeight="1">
      <c r="A888" s="1"/>
      <c r="B888" s="1" t="s">
        <v>114</v>
      </c>
      <c r="C888" s="1" t="s">
        <v>34</v>
      </c>
      <c r="D888" s="1" t="s">
        <v>249</v>
      </c>
      <c r="E888" s="1">
        <v>4</v>
      </c>
      <c r="F888" s="1" t="s">
        <v>77</v>
      </c>
      <c r="G888" s="1" t="s">
        <v>280</v>
      </c>
      <c r="H888" s="1" t="s">
        <v>646</v>
      </c>
      <c r="I888" s="1" t="s">
        <v>647</v>
      </c>
    </row>
    <row r="889" spans="1:9" ht="25" customHeight="1">
      <c r="A889" s="1"/>
      <c r="B889" s="1" t="s">
        <v>114</v>
      </c>
      <c r="C889" s="1" t="s">
        <v>34</v>
      </c>
      <c r="D889" s="1" t="s">
        <v>79</v>
      </c>
      <c r="E889" s="1">
        <v>1</v>
      </c>
      <c r="F889" s="1" t="s">
        <v>77</v>
      </c>
      <c r="G889" s="1" t="s">
        <v>280</v>
      </c>
      <c r="H889" s="1" t="s">
        <v>646</v>
      </c>
      <c r="I889" s="1" t="s">
        <v>647</v>
      </c>
    </row>
    <row r="890" spans="1:9" ht="25" customHeight="1">
      <c r="A890" s="1"/>
      <c r="B890" s="1" t="s">
        <v>114</v>
      </c>
      <c r="C890" s="1" t="s">
        <v>34</v>
      </c>
      <c r="D890" s="1" t="s">
        <v>250</v>
      </c>
      <c r="E890" s="1">
        <v>1</v>
      </c>
      <c r="F890" s="1" t="s">
        <v>77</v>
      </c>
      <c r="G890" s="1" t="s">
        <v>280</v>
      </c>
      <c r="H890" s="1" t="s">
        <v>646</v>
      </c>
      <c r="I890" s="1" t="s">
        <v>647</v>
      </c>
    </row>
    <row r="891" spans="1:9" ht="25" customHeight="1">
      <c r="A891" s="1"/>
      <c r="B891" s="1" t="s">
        <v>114</v>
      </c>
      <c r="C891" s="1" t="s">
        <v>34</v>
      </c>
      <c r="D891" s="1" t="s">
        <v>251</v>
      </c>
      <c r="E891" s="1">
        <v>0</v>
      </c>
      <c r="F891" s="1" t="s">
        <v>77</v>
      </c>
      <c r="G891" s="1" t="s">
        <v>280</v>
      </c>
      <c r="H891" s="1" t="s">
        <v>646</v>
      </c>
      <c r="I891" s="1" t="s">
        <v>647</v>
      </c>
    </row>
    <row r="892" spans="1:9" ht="25" customHeight="1">
      <c r="A892" s="1"/>
      <c r="B892" s="1" t="s">
        <v>114</v>
      </c>
      <c r="C892" s="1" t="s">
        <v>34</v>
      </c>
      <c r="D892" s="1" t="s">
        <v>252</v>
      </c>
      <c r="E892" s="1">
        <v>11</v>
      </c>
      <c r="F892" s="1" t="s">
        <v>77</v>
      </c>
      <c r="G892" s="1" t="s">
        <v>280</v>
      </c>
      <c r="H892" s="1" t="s">
        <v>646</v>
      </c>
      <c r="I892" s="1" t="s">
        <v>647</v>
      </c>
    </row>
    <row r="893" spans="1:9" ht="25" customHeight="1">
      <c r="A893" s="1"/>
      <c r="B893" s="1" t="s">
        <v>114</v>
      </c>
      <c r="C893" s="1" t="s">
        <v>43</v>
      </c>
      <c r="D893" s="1" t="s">
        <v>245</v>
      </c>
      <c r="E893" s="1">
        <v>-2</v>
      </c>
      <c r="F893" s="1" t="s">
        <v>77</v>
      </c>
      <c r="G893" s="1" t="s">
        <v>282</v>
      </c>
      <c r="H893" s="1" t="s">
        <v>646</v>
      </c>
      <c r="I893" s="1" t="s">
        <v>648</v>
      </c>
    </row>
    <row r="894" spans="1:9" ht="25" customHeight="1">
      <c r="A894" s="1"/>
      <c r="B894" s="1" t="s">
        <v>114</v>
      </c>
      <c r="C894" s="1" t="s">
        <v>43</v>
      </c>
      <c r="D894" s="1" t="s">
        <v>75</v>
      </c>
      <c r="E894" s="1">
        <v>-2</v>
      </c>
      <c r="F894" s="1" t="s">
        <v>77</v>
      </c>
      <c r="G894" s="1" t="s">
        <v>282</v>
      </c>
      <c r="H894" s="1" t="s">
        <v>646</v>
      </c>
      <c r="I894" s="1" t="s">
        <v>648</v>
      </c>
    </row>
    <row r="895" spans="1:9" ht="25" customHeight="1">
      <c r="A895" s="1"/>
      <c r="B895" s="1" t="s">
        <v>114</v>
      </c>
      <c r="C895" s="1" t="s">
        <v>43</v>
      </c>
      <c r="D895" s="1" t="s">
        <v>249</v>
      </c>
      <c r="E895" s="1">
        <v>6</v>
      </c>
      <c r="F895" s="1" t="s">
        <v>77</v>
      </c>
      <c r="G895" s="1" t="s">
        <v>282</v>
      </c>
      <c r="H895" s="1" t="s">
        <v>646</v>
      </c>
      <c r="I895" s="1" t="s">
        <v>648</v>
      </c>
    </row>
    <row r="896" spans="1:9" ht="25" customHeight="1">
      <c r="A896" s="1"/>
      <c r="B896" s="1" t="s">
        <v>114</v>
      </c>
      <c r="C896" s="1" t="s">
        <v>43</v>
      </c>
      <c r="D896" s="1" t="s">
        <v>79</v>
      </c>
      <c r="E896" s="1">
        <v>3</v>
      </c>
      <c r="F896" s="1" t="s">
        <v>77</v>
      </c>
      <c r="G896" s="1" t="s">
        <v>282</v>
      </c>
      <c r="H896" s="1" t="s">
        <v>646</v>
      </c>
      <c r="I896" s="1" t="s">
        <v>648</v>
      </c>
    </row>
    <row r="897" spans="1:9" ht="25" customHeight="1">
      <c r="A897" s="1"/>
      <c r="B897" s="1" t="s">
        <v>114</v>
      </c>
      <c r="C897" s="1" t="s">
        <v>43</v>
      </c>
      <c r="D897" s="1" t="s">
        <v>250</v>
      </c>
      <c r="E897" s="1">
        <v>0</v>
      </c>
      <c r="F897" s="1" t="s">
        <v>77</v>
      </c>
      <c r="G897" s="1" t="s">
        <v>282</v>
      </c>
      <c r="H897" s="1" t="s">
        <v>646</v>
      </c>
      <c r="I897" s="1" t="s">
        <v>648</v>
      </c>
    </row>
    <row r="898" spans="1:9" ht="25" customHeight="1">
      <c r="A898" s="1"/>
      <c r="B898" s="1" t="s">
        <v>114</v>
      </c>
      <c r="C898" s="1" t="s">
        <v>43</v>
      </c>
      <c r="D898" s="1" t="s">
        <v>251</v>
      </c>
      <c r="E898" s="1">
        <v>0</v>
      </c>
      <c r="F898" s="1" t="s">
        <v>77</v>
      </c>
      <c r="G898" s="1" t="s">
        <v>282</v>
      </c>
      <c r="H898" s="1" t="s">
        <v>646</v>
      </c>
      <c r="I898" s="1" t="s">
        <v>648</v>
      </c>
    </row>
    <row r="899" spans="1:9" ht="25" customHeight="1">
      <c r="A899" s="1"/>
      <c r="B899" s="1" t="s">
        <v>114</v>
      </c>
      <c r="C899" s="1" t="s">
        <v>43</v>
      </c>
      <c r="D899" s="1" t="s">
        <v>252</v>
      </c>
      <c r="E899" s="1">
        <v>7</v>
      </c>
      <c r="F899" s="1" t="s">
        <v>77</v>
      </c>
      <c r="G899" s="1" t="s">
        <v>282</v>
      </c>
      <c r="H899" s="1" t="s">
        <v>646</v>
      </c>
      <c r="I899" s="1" t="s">
        <v>648</v>
      </c>
    </row>
    <row r="900" spans="1:9" ht="25" customHeight="1">
      <c r="A900" s="1"/>
      <c r="B900" s="1" t="s">
        <v>114</v>
      </c>
      <c r="C900" s="1" t="s">
        <v>45</v>
      </c>
      <c r="D900" s="1" t="s">
        <v>245</v>
      </c>
      <c r="E900" s="1">
        <v>-2</v>
      </c>
      <c r="F900" s="1" t="s">
        <v>77</v>
      </c>
      <c r="G900" s="1" t="s">
        <v>284</v>
      </c>
      <c r="H900" s="1" t="s">
        <v>646</v>
      </c>
      <c r="I900" s="1" t="s">
        <v>649</v>
      </c>
    </row>
    <row r="901" spans="1:9" ht="25" customHeight="1">
      <c r="A901" s="1"/>
      <c r="B901" s="1" t="s">
        <v>114</v>
      </c>
      <c r="C901" s="1" t="s">
        <v>45</v>
      </c>
      <c r="D901" s="1" t="s">
        <v>75</v>
      </c>
      <c r="E901" s="1">
        <v>-2</v>
      </c>
      <c r="F901" s="1" t="s">
        <v>77</v>
      </c>
      <c r="G901" s="1" t="s">
        <v>284</v>
      </c>
      <c r="H901" s="1" t="s">
        <v>646</v>
      </c>
      <c r="I901" s="1" t="s">
        <v>649</v>
      </c>
    </row>
    <row r="902" spans="1:9" ht="25" customHeight="1">
      <c r="A902" s="1"/>
      <c r="B902" s="1" t="s">
        <v>114</v>
      </c>
      <c r="C902" s="1" t="s">
        <v>45</v>
      </c>
      <c r="D902" s="1" t="s">
        <v>249</v>
      </c>
      <c r="E902" s="1">
        <v>5</v>
      </c>
      <c r="F902" s="1" t="s">
        <v>77</v>
      </c>
      <c r="G902" s="1" t="s">
        <v>284</v>
      </c>
      <c r="H902" s="1" t="s">
        <v>646</v>
      </c>
      <c r="I902" s="1" t="s">
        <v>649</v>
      </c>
    </row>
    <row r="903" spans="1:9" ht="25" customHeight="1">
      <c r="A903" s="1"/>
      <c r="B903" s="1" t="s">
        <v>114</v>
      </c>
      <c r="C903" s="1" t="s">
        <v>45</v>
      </c>
      <c r="D903" s="1" t="s">
        <v>79</v>
      </c>
      <c r="E903" s="1">
        <v>2</v>
      </c>
      <c r="F903" s="1" t="s">
        <v>77</v>
      </c>
      <c r="G903" s="1" t="s">
        <v>284</v>
      </c>
      <c r="H903" s="1" t="s">
        <v>646</v>
      </c>
      <c r="I903" s="1" t="s">
        <v>649</v>
      </c>
    </row>
    <row r="904" spans="1:9" ht="25" customHeight="1">
      <c r="A904" s="1"/>
      <c r="B904" s="1" t="s">
        <v>114</v>
      </c>
      <c r="C904" s="1" t="s">
        <v>45</v>
      </c>
      <c r="D904" s="1" t="s">
        <v>250</v>
      </c>
      <c r="E904" s="1">
        <v>1</v>
      </c>
      <c r="F904" s="1" t="s">
        <v>77</v>
      </c>
      <c r="G904" s="1" t="s">
        <v>284</v>
      </c>
      <c r="H904" s="1" t="s">
        <v>646</v>
      </c>
      <c r="I904" s="1" t="s">
        <v>649</v>
      </c>
    </row>
    <row r="905" spans="1:9" ht="25" customHeight="1">
      <c r="A905" s="1"/>
      <c r="B905" s="1" t="s">
        <v>114</v>
      </c>
      <c r="C905" s="1" t="s">
        <v>45</v>
      </c>
      <c r="D905" s="1" t="s">
        <v>251</v>
      </c>
      <c r="E905" s="1">
        <v>1</v>
      </c>
      <c r="F905" s="1" t="s">
        <v>77</v>
      </c>
      <c r="G905" s="1" t="s">
        <v>284</v>
      </c>
      <c r="H905" s="1" t="s">
        <v>646</v>
      </c>
      <c r="I905" s="1" t="s">
        <v>649</v>
      </c>
    </row>
    <row r="906" spans="1:9" ht="25" customHeight="1">
      <c r="A906" s="1"/>
      <c r="B906" s="1" t="s">
        <v>114</v>
      </c>
      <c r="C906" s="1" t="s">
        <v>45</v>
      </c>
      <c r="D906" s="1" t="s">
        <v>252</v>
      </c>
      <c r="E906" s="1">
        <v>7</v>
      </c>
      <c r="F906" s="1" t="s">
        <v>77</v>
      </c>
      <c r="G906" s="1" t="s">
        <v>284</v>
      </c>
      <c r="H906" s="1" t="s">
        <v>646</v>
      </c>
      <c r="I906" s="1" t="s">
        <v>649</v>
      </c>
    </row>
    <row r="907" spans="1:9" ht="25" customHeight="1">
      <c r="A907" s="1"/>
      <c r="B907" s="1" t="s">
        <v>114</v>
      </c>
      <c r="C907" s="1" t="s">
        <v>50</v>
      </c>
      <c r="D907" s="1" t="s">
        <v>245</v>
      </c>
      <c r="E907" s="1">
        <v>2</v>
      </c>
      <c r="F907" s="1" t="s">
        <v>77</v>
      </c>
      <c r="G907" s="1" t="s">
        <v>286</v>
      </c>
      <c r="H907" s="1" t="s">
        <v>646</v>
      </c>
      <c r="I907" s="1" t="s">
        <v>650</v>
      </c>
    </row>
    <row r="908" spans="1:9" ht="25" customHeight="1">
      <c r="A908" s="1"/>
      <c r="B908" s="1" t="s">
        <v>114</v>
      </c>
      <c r="C908" s="1" t="s">
        <v>50</v>
      </c>
      <c r="D908" s="1" t="s">
        <v>75</v>
      </c>
      <c r="E908" s="1">
        <v>2</v>
      </c>
      <c r="F908" s="1" t="s">
        <v>77</v>
      </c>
      <c r="G908" s="1" t="s">
        <v>286</v>
      </c>
      <c r="H908" s="1" t="s">
        <v>646</v>
      </c>
      <c r="I908" s="1" t="s">
        <v>650</v>
      </c>
    </row>
    <row r="909" spans="1:9" ht="25" customHeight="1">
      <c r="A909" s="1"/>
      <c r="B909" s="1" t="s">
        <v>114</v>
      </c>
      <c r="C909" s="1" t="s">
        <v>50</v>
      </c>
      <c r="D909" s="1" t="s">
        <v>249</v>
      </c>
      <c r="E909" s="1">
        <v>4</v>
      </c>
      <c r="F909" s="1" t="s">
        <v>77</v>
      </c>
      <c r="G909" s="1" t="s">
        <v>286</v>
      </c>
      <c r="H909" s="1" t="s">
        <v>646</v>
      </c>
      <c r="I909" s="1" t="s">
        <v>650</v>
      </c>
    </row>
    <row r="910" spans="1:9" ht="25" customHeight="1">
      <c r="A910" s="1"/>
      <c r="B910" s="1" t="s">
        <v>114</v>
      </c>
      <c r="C910" s="1" t="s">
        <v>50</v>
      </c>
      <c r="D910" s="1" t="s">
        <v>79</v>
      </c>
      <c r="E910" s="1">
        <v>1</v>
      </c>
      <c r="F910" s="1" t="s">
        <v>77</v>
      </c>
      <c r="G910" s="1" t="s">
        <v>286</v>
      </c>
      <c r="H910" s="1" t="s">
        <v>646</v>
      </c>
      <c r="I910" s="1" t="s">
        <v>650</v>
      </c>
    </row>
    <row r="911" spans="1:9" ht="25" customHeight="1">
      <c r="A911" s="1"/>
      <c r="B911" s="1" t="s">
        <v>114</v>
      </c>
      <c r="C911" s="1" t="s">
        <v>50</v>
      </c>
      <c r="D911" s="1" t="s">
        <v>250</v>
      </c>
      <c r="E911" s="1">
        <v>0</v>
      </c>
      <c r="F911" s="1" t="s">
        <v>77</v>
      </c>
      <c r="G911" s="1" t="s">
        <v>286</v>
      </c>
      <c r="H911" s="1" t="s">
        <v>646</v>
      </c>
      <c r="I911" s="1" t="s">
        <v>650</v>
      </c>
    </row>
    <row r="912" spans="1:9" ht="25" customHeight="1">
      <c r="A912" s="1"/>
      <c r="B912" s="1" t="s">
        <v>114</v>
      </c>
      <c r="C912" s="1" t="s">
        <v>50</v>
      </c>
      <c r="D912" s="1" t="s">
        <v>251</v>
      </c>
      <c r="E912" s="1">
        <v>0</v>
      </c>
      <c r="F912" s="1" t="s">
        <v>77</v>
      </c>
      <c r="G912" s="1" t="s">
        <v>286</v>
      </c>
      <c r="H912" s="1" t="s">
        <v>646</v>
      </c>
      <c r="I912" s="1" t="s">
        <v>650</v>
      </c>
    </row>
    <row r="913" spans="1:9" ht="25" customHeight="1">
      <c r="A913" s="1"/>
      <c r="B913" s="1" t="s">
        <v>114</v>
      </c>
      <c r="C913" s="1" t="s">
        <v>50</v>
      </c>
      <c r="D913" s="1" t="s">
        <v>252</v>
      </c>
      <c r="E913" s="1">
        <v>7</v>
      </c>
      <c r="F913" s="1" t="s">
        <v>77</v>
      </c>
      <c r="G913" s="1" t="s">
        <v>286</v>
      </c>
      <c r="H913" s="1" t="s">
        <v>646</v>
      </c>
      <c r="I913" s="1" t="s">
        <v>650</v>
      </c>
    </row>
    <row r="914" spans="1:9" ht="25" customHeight="1">
      <c r="A914" s="1"/>
      <c r="B914" s="1" t="s">
        <v>114</v>
      </c>
      <c r="C914" s="1" t="s">
        <v>55</v>
      </c>
      <c r="D914" s="1" t="s">
        <v>245</v>
      </c>
      <c r="E914" s="1">
        <v>3</v>
      </c>
      <c r="F914" s="1" t="s">
        <v>77</v>
      </c>
      <c r="G914" s="1" t="s">
        <v>288</v>
      </c>
      <c r="H914" s="1" t="s">
        <v>646</v>
      </c>
      <c r="I914" s="1" t="s">
        <v>651</v>
      </c>
    </row>
    <row r="915" spans="1:9" ht="25" customHeight="1">
      <c r="A915" s="1"/>
      <c r="B915" s="1" t="s">
        <v>114</v>
      </c>
      <c r="C915" s="1" t="s">
        <v>55</v>
      </c>
      <c r="D915" s="1" t="s">
        <v>75</v>
      </c>
      <c r="E915" s="1">
        <v>3</v>
      </c>
      <c r="F915" s="1" t="s">
        <v>77</v>
      </c>
      <c r="G915" s="1" t="s">
        <v>288</v>
      </c>
      <c r="H915" s="1" t="s">
        <v>646</v>
      </c>
      <c r="I915" s="1" t="s">
        <v>651</v>
      </c>
    </row>
    <row r="916" spans="1:9" ht="25" customHeight="1">
      <c r="A916" s="1"/>
      <c r="B916" s="1" t="s">
        <v>114</v>
      </c>
      <c r="C916" s="1" t="s">
        <v>55</v>
      </c>
      <c r="D916" s="1" t="s">
        <v>249</v>
      </c>
      <c r="E916" s="1">
        <v>3</v>
      </c>
      <c r="F916" s="1" t="s">
        <v>77</v>
      </c>
      <c r="G916" s="1" t="s">
        <v>288</v>
      </c>
      <c r="H916" s="1" t="s">
        <v>646</v>
      </c>
      <c r="I916" s="1" t="s">
        <v>651</v>
      </c>
    </row>
    <row r="917" spans="1:9" ht="25" customHeight="1">
      <c r="A917" s="1"/>
      <c r="B917" s="1" t="s">
        <v>114</v>
      </c>
      <c r="C917" s="1" t="s">
        <v>55</v>
      </c>
      <c r="D917" s="1" t="s">
        <v>79</v>
      </c>
      <c r="E917" s="1">
        <v>0</v>
      </c>
      <c r="F917" s="1" t="s">
        <v>77</v>
      </c>
      <c r="G917" s="1" t="s">
        <v>288</v>
      </c>
      <c r="H917" s="1" t="s">
        <v>646</v>
      </c>
      <c r="I917" s="1" t="s">
        <v>651</v>
      </c>
    </row>
    <row r="918" spans="1:9" ht="25" customHeight="1">
      <c r="A918" s="1"/>
      <c r="B918" s="1" t="s">
        <v>114</v>
      </c>
      <c r="C918" s="1" t="s">
        <v>55</v>
      </c>
      <c r="D918" s="1" t="s">
        <v>250</v>
      </c>
      <c r="E918" s="1">
        <v>0</v>
      </c>
      <c r="F918" s="1" t="s">
        <v>77</v>
      </c>
      <c r="G918" s="1" t="s">
        <v>288</v>
      </c>
      <c r="H918" s="1" t="s">
        <v>646</v>
      </c>
      <c r="I918" s="1" t="s">
        <v>651</v>
      </c>
    </row>
    <row r="919" spans="1:9" ht="25" customHeight="1">
      <c r="A919" s="1"/>
      <c r="B919" s="1" t="s">
        <v>114</v>
      </c>
      <c r="C919" s="1" t="s">
        <v>55</v>
      </c>
      <c r="D919" s="1" t="s">
        <v>251</v>
      </c>
      <c r="E919" s="1">
        <v>0</v>
      </c>
      <c r="F919" s="1" t="s">
        <v>77</v>
      </c>
      <c r="G919" s="1" t="s">
        <v>288</v>
      </c>
      <c r="H919" s="1" t="s">
        <v>646</v>
      </c>
      <c r="I919" s="1" t="s">
        <v>651</v>
      </c>
    </row>
    <row r="920" spans="1:9" ht="25" customHeight="1">
      <c r="A920" s="1"/>
      <c r="B920" s="1" t="s">
        <v>114</v>
      </c>
      <c r="C920" s="1" t="s">
        <v>55</v>
      </c>
      <c r="D920" s="1" t="s">
        <v>252</v>
      </c>
      <c r="E920" s="1">
        <v>6</v>
      </c>
      <c r="F920" s="1" t="s">
        <v>77</v>
      </c>
      <c r="G920" s="1" t="s">
        <v>288</v>
      </c>
      <c r="H920" s="1" t="s">
        <v>646</v>
      </c>
      <c r="I920" s="1" t="s">
        <v>651</v>
      </c>
    </row>
    <row r="921" spans="1:9" ht="25" customHeight="1">
      <c r="A921" s="1"/>
      <c r="B921" s="1" t="s">
        <v>114</v>
      </c>
      <c r="C921" s="1" t="s">
        <v>134</v>
      </c>
      <c r="D921" s="1" t="s">
        <v>245</v>
      </c>
      <c r="E921" s="1">
        <v>2</v>
      </c>
      <c r="F921" s="1" t="s">
        <v>77</v>
      </c>
      <c r="G921" s="1" t="s">
        <v>482</v>
      </c>
      <c r="H921" s="1" t="s">
        <v>646</v>
      </c>
      <c r="I921" s="1" t="s">
        <v>652</v>
      </c>
    </row>
    <row r="922" spans="1:9" ht="25" customHeight="1">
      <c r="A922" s="1"/>
      <c r="B922" s="1" t="s">
        <v>114</v>
      </c>
      <c r="C922" s="1" t="s">
        <v>134</v>
      </c>
      <c r="D922" s="1" t="s">
        <v>75</v>
      </c>
      <c r="E922" s="1">
        <v>2</v>
      </c>
      <c r="F922" s="1" t="s">
        <v>77</v>
      </c>
      <c r="G922" s="1" t="s">
        <v>482</v>
      </c>
      <c r="H922" s="1" t="s">
        <v>646</v>
      </c>
      <c r="I922" s="1" t="s">
        <v>652</v>
      </c>
    </row>
    <row r="923" spans="1:9" ht="25" customHeight="1">
      <c r="A923" s="1"/>
      <c r="B923" s="1" t="s">
        <v>114</v>
      </c>
      <c r="C923" s="1" t="s">
        <v>134</v>
      </c>
      <c r="D923" s="1" t="s">
        <v>249</v>
      </c>
      <c r="E923" s="1">
        <v>4</v>
      </c>
      <c r="F923" s="1" t="s">
        <v>77</v>
      </c>
      <c r="G923" s="1" t="s">
        <v>482</v>
      </c>
      <c r="H923" s="1" t="s">
        <v>646</v>
      </c>
      <c r="I923" s="1" t="s">
        <v>652</v>
      </c>
    </row>
    <row r="924" spans="1:9" ht="25" customHeight="1">
      <c r="A924" s="1"/>
      <c r="B924" s="1" t="s">
        <v>114</v>
      </c>
      <c r="C924" s="1" t="s">
        <v>134</v>
      </c>
      <c r="D924" s="1" t="s">
        <v>79</v>
      </c>
      <c r="E924" s="1">
        <v>1</v>
      </c>
      <c r="F924" s="1" t="s">
        <v>77</v>
      </c>
      <c r="G924" s="1" t="s">
        <v>482</v>
      </c>
      <c r="H924" s="1" t="s">
        <v>646</v>
      </c>
      <c r="I924" s="1" t="s">
        <v>652</v>
      </c>
    </row>
    <row r="925" spans="1:9" ht="25" customHeight="1">
      <c r="A925" s="1"/>
      <c r="B925" s="1" t="s">
        <v>114</v>
      </c>
      <c r="C925" s="1" t="s">
        <v>134</v>
      </c>
      <c r="D925" s="1" t="s">
        <v>250</v>
      </c>
      <c r="E925" s="1">
        <v>0</v>
      </c>
      <c r="F925" s="1" t="s">
        <v>77</v>
      </c>
      <c r="G925" s="1" t="s">
        <v>482</v>
      </c>
      <c r="H925" s="1" t="s">
        <v>646</v>
      </c>
      <c r="I925" s="1" t="s">
        <v>652</v>
      </c>
    </row>
    <row r="926" spans="1:9" ht="25" customHeight="1">
      <c r="A926" s="1"/>
      <c r="B926" s="1" t="s">
        <v>114</v>
      </c>
      <c r="C926" s="1" t="s">
        <v>134</v>
      </c>
      <c r="D926" s="1" t="s">
        <v>251</v>
      </c>
      <c r="E926" s="1">
        <v>0</v>
      </c>
      <c r="F926" s="1" t="s">
        <v>77</v>
      </c>
      <c r="G926" s="1" t="s">
        <v>482</v>
      </c>
      <c r="H926" s="1" t="s">
        <v>646</v>
      </c>
      <c r="I926" s="1" t="s">
        <v>652</v>
      </c>
    </row>
    <row r="927" spans="1:9" ht="25" customHeight="1">
      <c r="A927" s="1"/>
      <c r="B927" s="1" t="s">
        <v>114</v>
      </c>
      <c r="C927" s="1" t="s">
        <v>134</v>
      </c>
      <c r="D927" s="1" t="s">
        <v>252</v>
      </c>
      <c r="E927" s="1">
        <v>7</v>
      </c>
      <c r="F927" s="1" t="s">
        <v>77</v>
      </c>
      <c r="G927" s="1" t="s">
        <v>482</v>
      </c>
      <c r="H927" s="1" t="s">
        <v>646</v>
      </c>
      <c r="I927" s="1" t="s">
        <v>652</v>
      </c>
    </row>
    <row r="928" spans="1:9" ht="25" customHeight="1">
      <c r="A928" s="1"/>
      <c r="B928" s="1" t="s">
        <v>114</v>
      </c>
      <c r="C928" s="1" t="s">
        <v>34</v>
      </c>
      <c r="D928" s="1" t="s">
        <v>263</v>
      </c>
      <c r="E928" s="1">
        <v>3866</v>
      </c>
      <c r="F928" s="1" t="s">
        <v>77</v>
      </c>
      <c r="G928" s="1" t="s">
        <v>620</v>
      </c>
      <c r="H928" s="1" t="s">
        <v>646</v>
      </c>
      <c r="I928" s="1" t="s">
        <v>653</v>
      </c>
    </row>
    <row r="929" spans="1:9" ht="25" customHeight="1">
      <c r="A929" s="1"/>
      <c r="B929" s="1" t="s">
        <v>114</v>
      </c>
      <c r="C929" s="1" t="s">
        <v>43</v>
      </c>
      <c r="D929" s="1" t="s">
        <v>263</v>
      </c>
      <c r="E929" s="1">
        <v>1608</v>
      </c>
      <c r="F929" s="1" t="s">
        <v>77</v>
      </c>
      <c r="G929" s="1" t="s">
        <v>622</v>
      </c>
      <c r="H929" s="1" t="s">
        <v>646</v>
      </c>
      <c r="I929" s="1" t="s">
        <v>654</v>
      </c>
    </row>
    <row r="930" spans="1:9" ht="25" customHeight="1">
      <c r="A930" s="1"/>
      <c r="B930" s="1" t="s">
        <v>114</v>
      </c>
      <c r="C930" s="1" t="s">
        <v>45</v>
      </c>
      <c r="D930" s="1" t="s">
        <v>263</v>
      </c>
      <c r="E930" s="1">
        <v>3073</v>
      </c>
      <c r="F930" s="1" t="s">
        <v>77</v>
      </c>
      <c r="G930" s="1" t="s">
        <v>624</v>
      </c>
      <c r="H930" s="1" t="s">
        <v>646</v>
      </c>
      <c r="I930" s="1" t="s">
        <v>655</v>
      </c>
    </row>
    <row r="931" spans="1:9" ht="25" customHeight="1">
      <c r="A931" s="1"/>
      <c r="B931" s="1" t="s">
        <v>114</v>
      </c>
      <c r="C931" s="1" t="s">
        <v>50</v>
      </c>
      <c r="D931" s="1" t="s">
        <v>263</v>
      </c>
      <c r="E931" s="1">
        <v>7403</v>
      </c>
      <c r="F931" s="1" t="s">
        <v>77</v>
      </c>
      <c r="G931" s="1" t="s">
        <v>626</v>
      </c>
      <c r="H931" s="1" t="s">
        <v>646</v>
      </c>
      <c r="I931" s="1" t="s">
        <v>656</v>
      </c>
    </row>
    <row r="932" spans="1:9" ht="25" customHeight="1">
      <c r="A932" s="1"/>
      <c r="B932" s="1" t="s">
        <v>114</v>
      </c>
      <c r="C932" s="1" t="s">
        <v>55</v>
      </c>
      <c r="D932" s="1" t="s">
        <v>263</v>
      </c>
      <c r="E932" s="1">
        <v>5058</v>
      </c>
      <c r="F932" s="1" t="s">
        <v>77</v>
      </c>
      <c r="G932" s="1" t="s">
        <v>628</v>
      </c>
      <c r="H932" s="1" t="s">
        <v>646</v>
      </c>
      <c r="I932" s="1" t="s">
        <v>657</v>
      </c>
    </row>
    <row r="933" spans="1:9" ht="25" customHeight="1">
      <c r="A933" s="1"/>
      <c r="B933" s="1" t="s">
        <v>114</v>
      </c>
      <c r="C933" s="1" t="s">
        <v>133</v>
      </c>
      <c r="D933" s="1" t="s">
        <v>263</v>
      </c>
      <c r="E933" s="1">
        <v>225</v>
      </c>
      <c r="F933" s="1" t="s">
        <v>77</v>
      </c>
      <c r="G933" s="1" t="s">
        <v>630</v>
      </c>
      <c r="H933" s="1" t="s">
        <v>646</v>
      </c>
      <c r="I933" s="1" t="s">
        <v>658</v>
      </c>
    </row>
    <row r="934" spans="1:9" ht="25" customHeight="1">
      <c r="A934" s="1"/>
      <c r="B934" s="1" t="s">
        <v>114</v>
      </c>
      <c r="C934" s="1" t="s">
        <v>134</v>
      </c>
      <c r="D934" s="1" t="s">
        <v>263</v>
      </c>
      <c r="E934" s="1">
        <v>21235</v>
      </c>
      <c r="F934" s="1" t="s">
        <v>77</v>
      </c>
      <c r="G934" s="1" t="s">
        <v>632</v>
      </c>
      <c r="H934" s="1" t="s">
        <v>646</v>
      </c>
      <c r="I934" s="1" t="s">
        <v>659</v>
      </c>
    </row>
    <row r="935" spans="1:9" ht="25" customHeight="1">
      <c r="A935" s="1"/>
      <c r="B935" s="1" t="s">
        <v>114</v>
      </c>
      <c r="C935" s="1" t="s">
        <v>34</v>
      </c>
      <c r="D935" s="1" t="s">
        <v>81</v>
      </c>
      <c r="E935" s="1">
        <v>7</v>
      </c>
      <c r="F935" s="1" t="s">
        <v>77</v>
      </c>
      <c r="G935" s="1" t="s">
        <v>634</v>
      </c>
      <c r="H935" s="1" t="s">
        <v>646</v>
      </c>
      <c r="I935" s="1" t="s">
        <v>660</v>
      </c>
    </row>
    <row r="936" spans="1:9" ht="25" customHeight="1">
      <c r="A936" s="1"/>
      <c r="B936" s="1" t="s">
        <v>114</v>
      </c>
      <c r="C936" s="1" t="s">
        <v>43</v>
      </c>
      <c r="D936" s="1" t="s">
        <v>81</v>
      </c>
      <c r="E936" s="1">
        <v>1</v>
      </c>
      <c r="F936" s="1" t="s">
        <v>77</v>
      </c>
      <c r="G936" s="1" t="s">
        <v>636</v>
      </c>
      <c r="H936" s="1" t="s">
        <v>646</v>
      </c>
      <c r="I936" s="1" t="s">
        <v>661</v>
      </c>
    </row>
    <row r="937" spans="1:9" ht="25" customHeight="1">
      <c r="A937" s="1"/>
      <c r="B937" s="1" t="s">
        <v>114</v>
      </c>
      <c r="C937" s="1" t="s">
        <v>45</v>
      </c>
      <c r="D937" s="1" t="s">
        <v>81</v>
      </c>
      <c r="E937" s="1">
        <v>2</v>
      </c>
      <c r="F937" s="1" t="s">
        <v>77</v>
      </c>
      <c r="G937" s="1" t="s">
        <v>638</v>
      </c>
      <c r="H937" s="1" t="s">
        <v>646</v>
      </c>
      <c r="I937" s="1" t="s">
        <v>662</v>
      </c>
    </row>
    <row r="938" spans="1:9" ht="25" customHeight="1">
      <c r="A938" s="1"/>
      <c r="B938" s="1" t="s">
        <v>114</v>
      </c>
      <c r="C938" s="1" t="s">
        <v>50</v>
      </c>
      <c r="D938" s="1" t="s">
        <v>81</v>
      </c>
      <c r="E938" s="1">
        <v>3</v>
      </c>
      <c r="F938" s="1" t="s">
        <v>77</v>
      </c>
      <c r="G938" s="1" t="s">
        <v>640</v>
      </c>
      <c r="H938" s="1" t="s">
        <v>646</v>
      </c>
      <c r="I938" s="1" t="s">
        <v>663</v>
      </c>
    </row>
    <row r="939" spans="1:9" ht="25" customHeight="1">
      <c r="A939" s="1"/>
      <c r="B939" s="1" t="s">
        <v>114</v>
      </c>
      <c r="C939" s="1" t="s">
        <v>55</v>
      </c>
      <c r="D939" s="1" t="s">
        <v>81</v>
      </c>
      <c r="E939" s="1">
        <v>3</v>
      </c>
      <c r="F939" s="1" t="s">
        <v>77</v>
      </c>
      <c r="G939" s="1" t="s">
        <v>642</v>
      </c>
      <c r="H939" s="1" t="s">
        <v>646</v>
      </c>
      <c r="I939" s="1" t="s">
        <v>664</v>
      </c>
    </row>
    <row r="940" spans="1:9" ht="25" customHeight="1">
      <c r="A940" s="1"/>
      <c r="B940" s="1" t="s">
        <v>114</v>
      </c>
      <c r="C940" s="1" t="s">
        <v>134</v>
      </c>
      <c r="D940" s="1" t="s">
        <v>81</v>
      </c>
      <c r="E940" s="1">
        <v>3</v>
      </c>
      <c r="F940" s="1" t="s">
        <v>77</v>
      </c>
      <c r="G940" s="1" t="s">
        <v>644</v>
      </c>
      <c r="H940" s="1" t="s">
        <v>646</v>
      </c>
      <c r="I940" s="1" t="s">
        <v>665</v>
      </c>
    </row>
    <row r="941" spans="1:9" ht="25" customHeight="1">
      <c r="A941" s="1"/>
      <c r="B941" s="1"/>
      <c r="C941" s="1"/>
      <c r="D941" s="1"/>
      <c r="E941" s="1"/>
      <c r="F941" s="1"/>
      <c r="G941" s="1"/>
      <c r="H941" s="1"/>
      <c r="I941" s="1"/>
    </row>
    <row r="942" spans="1:9" ht="25" customHeight="1">
      <c r="A942" s="1"/>
      <c r="B942" s="1"/>
      <c r="C942" s="1"/>
      <c r="D942" s="1"/>
      <c r="E942" s="1"/>
      <c r="F942" s="1"/>
      <c r="G942" s="1"/>
      <c r="H942" s="1"/>
      <c r="I942" s="1"/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Review</vt:lpstr>
      <vt:lpstr>Product match</vt:lpstr>
      <vt:lpstr>Model tests</vt:lpstr>
      <vt:lpstr>Matched quarters</vt:lpstr>
      <vt:lpstr>Quarterly market</vt:lpstr>
      <vt:lpstr>PG history</vt:lpstr>
      <vt:lpstr>Monthly market</vt:lpstr>
      <vt:lpstr>Product prices</vt:lpstr>
      <vt:lpstr>Source evidence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PG-Chen, Hoi Chun</cp:lastModifiedBy>
  <dcterms:modified xsi:type="dcterms:W3CDTF">2026-10-05T22:26:01Z</dcterms:modified>
</cp:coreProperties>
</file>