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e72fe6e5a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vs Actual" sheetId="1" r:id="Re2338b7351bf40e7"/>
    <x:sheet xmlns:r="http://schemas.openxmlformats.org/officeDocument/2006/relationships" name="Forecast build" sheetId="2" r:id="R5e16ecf9fe644262"/>
    <x:sheet xmlns:r="http://schemas.openxmlformats.org/officeDocument/2006/relationships" name="Market build" sheetId="3" r:id="Rcc4178131004482a"/>
    <x:sheet xmlns:r="http://schemas.openxmlformats.org/officeDocument/2006/relationships" name="Sources" sheetId="4" r:id="R3b58b097100c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&quot;$&quot;#,##0.00;[Red](&quot;$&quot;#,##0.00);&quot;$&quot;0.00"/>
    <x:numFmt numFmtId="201" formatCode="0.0%"/>
    <x:numFmt numFmtId="202" formatCode="dd-mmm-yyyy"/>
    <x:numFmt numFmtId="203" formatCode="0.00;[Red](0.00);0.00"/>
    <x:numFmt numFmtId="204" formatCode="mmm-yy"/>
    <x:numFmt numFmtId="205" formatCode="0.000"/>
    <x:numFmt numFmtId="206" formatCode="dd-mmm-yy"/>
    <x:numFmt numFmtId="207" formatCode="0.00%"/>
    <x:numFmt numFmtId="208" formatCode="0.00&quot;%&quot;;[Red](0.00&quot;%&quot;);0.00&quot;%&quot;"/>
    <x:numFmt numFmtId="209" formatCode="0.00&quot;pp&quot;;[Red](0.00&quot;pp&quot;);0.00&quot;pp&quot;"/>
    <x:numFmt numFmtId="210" formatCode="0.00"/>
  </x:numFmts>
  <x:fonts count="6">
    <x:font>
      <x:sz val="11"/>
      <x:name val="Carlito"/>
    </x:font>
    <x:font>
      <x:sz val="12"/>
      <x:color rgb="FF17324F"/>
      <x:name val="Arial"/>
    </x:font>
    <x:font>
      <x:b/>
      <x:sz val="18"/>
      <x:color rgb="FF17324F"/>
      <x:name val="Arial"/>
    </x:font>
    <x:font>
      <x:b/>
      <x:sz val="12"/>
      <x:color rgb="FFFFFFFF"/>
      <x:name val="Arial"/>
    </x:font>
    <x:font>
      <x:sz val="12"/>
      <x:color rgb="FF0000FF"/>
      <x:name val="Arial"/>
    </x:font>
    <x:font>
      <x:b/>
      <x:sz val="12"/>
      <x:color rgb="FFC6282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4">
    <x:border/>
    <x:border>
      <x:left style="medium">
        <x:color rgb="FFC62828"/>
      </x:left>
      <x:top style="medium">
        <x:color rgb="FFC62828"/>
      </x:top>
      <x:bottom style="medium">
        <x:color rgb="FFC62828"/>
      </x:bottom>
    </x:border>
    <x:border>
      <x:top style="medium">
        <x:color rgb="FFC62828"/>
      </x:top>
      <x:bottom style="medium">
        <x:color rgb="FFC62828"/>
      </x:bottom>
    </x:border>
    <x:border>
      <x:right style="medium">
        <x:color rgb="FFC62828"/>
      </x:right>
      <x:top style="medium">
        <x:color rgb="FFC62828"/>
      </x:top>
      <x:bottom style="medium">
        <x:color rgb="FFC6282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9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9" fontId="5" fillId="0" borderId="1" xfId="0" applyNumberFormat="1" applyFont="1" applyFill="1" applyBorder="1" applyAlignment="1">
      <x:alignment vertical="center"/>
    </x:xf>
    <x:xf numFmtId="209" fontId="5" fillId="0" borderId="2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C62828"/>
      </x:font>
    </x:dxf>
    <x:dxf>
      <x:font>
        <x:color rgb="FF16724B"/>
      </x:font>
    </x:dxf>
    <x:dxf>
      <x:font>
        <x:color rgb="FFC62828"/>
      </x:font>
    </x:dxf>
    <x:dxf>
      <x:font>
        <x:color rgb="FF16724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5b04993544827" /><Relationship Type="http://schemas.openxmlformats.org/officeDocument/2006/relationships/theme" Target="/xl/theme/theme1.xml" Id="R62d23b8d231c4eeb" /><Relationship Type="http://schemas.openxmlformats.org/officeDocument/2006/relationships/sharedStrings" Target="/xl/sharedStrings.xml" Id="R1cda380ab84f49c9" /><Relationship Type="http://schemas.openxmlformats.org/officeDocument/2006/relationships/worksheet" Target="/xl/worksheets/sheet1.xml" Id="Re2338b7351bf40e7" /><Relationship Type="http://schemas.openxmlformats.org/officeDocument/2006/relationships/worksheet" Target="/xl/worksheets/sheet2.xml" Id="R5e16ecf9fe644262" /><Relationship Type="http://schemas.openxmlformats.org/officeDocument/2006/relationships/worksheet" Target="/xl/worksheets/sheet3.xml" Id="Rcc4178131004482a" /><Relationship Type="http://schemas.openxmlformats.org/officeDocument/2006/relationships/worksheet" Target="/xl/worksheets/sheet4.xml" Id="R3b58b097100c4c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2"/>
      <x:c r="B2" s="3" t="str">
        <x:v>P&amp;G | 24 April forecast vs April–June actual</x:v>
      </x:c>
      <x:c r="C2" s="2"/>
      <x:c r="D2" s="2"/>
      <x:c r="E2" s="2"/>
      <x:c r="F2" s="2"/>
      <x:c r="G2" s="2"/>
    </x:row>
    <x:row r="3" ht="28" customHeight="1">
      <x:c r="A3" s="2"/>
      <x:c r="B3" s="2" t="str">
        <x:v>Forecast cutoff: 24-Apr-2026 · Actual report: 29-Jul-2026 · Variance = actual − forecast</x:v>
      </x:c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46" customHeight="1">
      <x:c r="A5" s="2"/>
      <x:c r="B5" s="7" t="str">
        <x:v>Sales reference ($m)</x:v>
      </x:c>
      <x:c r="C5" s="7" t="str">
        <x:v>Reference</x:v>
      </x:c>
      <x:c r="D5" s="7" t="str">
        <x:v>Actual</x:v>
      </x:c>
      <x:c r="E5" s="7" t="str">
        <x:v>Variance $m</x:v>
      </x:c>
      <x:c r="F5" s="7" t="str">
        <x:v>Variance %</x:v>
      </x:c>
      <x:c r="G5" s="2"/>
    </x:row>
    <x:row r="6" ht="28" customHeight="1">
      <x:c r="A6" s="2"/>
      <x:c r="B6" s="2" t="str">
        <x:v>Guidance midpoint implied quarter</x:v>
      </x:c>
      <x:c r="C6" s="8" t="n">
        <x:f>Sources!C6*(1+Sources!C9)-Sources!C7</x:f>
        <x:v>20983.520000000004</x:v>
      </x:c>
      <x:c r="D6" s="8" t="n">
        <x:f>Sources!C10</x:f>
        <x:v>21203</x:v>
      </x:c>
      <x:c r="E6" s="8" t="n">
        <x:f>D6-C6</x:f>
        <x:v>219.47999999999593</x:v>
      </x:c>
      <x:c r="F6" s="20" t="n">
        <x:f>E6/C6</x:f>
        <x:v>0.010459636896002</x:v>
      </x:c>
      <x:c r="G6" s="2"/>
    </x:row>
    <x:row r="7" ht="28" customHeight="1">
      <x:c r="A7" s="2"/>
      <x:c r="B7" s="2"/>
      <x:c r="C7" s="2"/>
      <x:c r="D7" s="2"/>
      <x:c r="E7" s="2"/>
      <x:c r="F7" s="2"/>
      <x:c r="G7" s="2"/>
    </x:row>
    <x:row r="8" ht="28" customHeight="1">
      <x:c r="A8" s="2"/>
      <x:c r="B8" s="2" t="str">
        <x:v>Reference only: this is not our independent sales forecast or P&amp;G’s internal budget.</x:v>
      </x:c>
      <x:c r="C8" s="2"/>
      <x:c r="D8" s="2"/>
      <x:c r="E8" s="2"/>
      <x:c r="F8" s="2"/>
      <x:c r="G8" s="2"/>
    </x:row>
    <x:row r="9" ht="28" customHeight="1">
      <x:c r="A9" s="2"/>
      <x:c r="B9" s="2"/>
      <x:c r="C9" s="2"/>
      <x:c r="D9" s="2"/>
      <x:c r="E9" s="2"/>
      <x:c r="F9" s="2"/>
      <x:c r="G9" s="2"/>
    </x:row>
    <x:row r="10" ht="46" customHeight="1">
      <x:c r="A10" s="2"/>
      <x:c r="B10" s="7" t="str">
        <x:v>Independent P&amp;G tests</x:v>
      </x:c>
      <x:c r="C10" s="7" t="str">
        <x:v>Forecast</x:v>
      </x:c>
      <x:c r="D10" s="7" t="str">
        <x:v>Actual</x:v>
      </x:c>
      <x:c r="E10" s="7" t="str">
        <x:v>Variance pp</x:v>
      </x:c>
      <x:c r="F10" s="7" t="str">
        <x:v>Method used</x:v>
      </x:c>
      <x:c r="G10" s="2"/>
    </x:row>
    <x:row r="11" ht="42" customHeight="1">
      <x:c r="A11" s="2"/>
      <x:c r="B11" s="19" t="str">
        <x:v>Baby / Feminine / Family / volume</x:v>
      </x:c>
      <x:c r="C11" s="21" t="n">
        <x:f>'Forecast build'!P6</x:f>
        <x:v>-1.6520621687898216</x:v>
      </x:c>
      <x:c r="D11" s="21" t="n">
        <x:f>'Forecast build'!Q6</x:f>
        <x:v>-1</x:v>
      </x:c>
      <x:c r="E11" s="11" t="n">
        <x:f>D11-C11</x:f>
        <x:v>0.6520621687898216</x:v>
      </x:c>
      <x:c r="F11" s="23" t="str">
        <x:v>Market model</x:v>
      </x:c>
      <x:c r="G11" s="2"/>
    </x:row>
    <x:row r="12" ht="42" customHeight="1">
      <x:c r="A12" s="2"/>
      <x:c r="B12" s="19" t="str">
        <x:v>Beauty / organic sales</x:v>
      </x:c>
      <x:c r="C12" s="21" t="n">
        <x:f>'Forecast build'!P7</x:f>
        <x:v>3.2895689673745045</x:v>
      </x:c>
      <x:c r="D12" s="21" t="n">
        <x:f>'Forecast build'!Q7</x:f>
        <x:v>4</x:v>
      </x:c>
      <x:c r="E12" s="11" t="n">
        <x:f>D12-C12</x:f>
        <x:v>0.7104310326254955</x:v>
      </x:c>
      <x:c r="F12" s="23" t="str">
        <x:v>Market model</x:v>
      </x:c>
      <x:c r="G12" s="2"/>
    </x:row>
    <x:row r="13" ht="42" customHeight="1">
      <x:c r="A13" s="2"/>
      <x:c r="B13" s="19" t="str">
        <x:v>Beauty / volume</x:v>
      </x:c>
      <x:c r="C13" s="21" t="n">
        <x:f>'Forecast build'!P8</x:f>
        <x:v>5</x:v>
      </x:c>
      <x:c r="D13" s="21" t="n">
        <x:f>'Forecast build'!Q8</x:f>
        <x:v>3</x:v>
      </x:c>
      <x:c r="E13" s="11" t="n">
        <x:f>D13-C13</x:f>
        <x:v>-2</x:v>
      </x:c>
      <x:c r="F13" s="23" t="str">
        <x:v>Last actual</x:v>
      </x:c>
      <x:c r="G13" s="2"/>
    </x:row>
    <x:row r="14" ht="42" customHeight="1">
      <x:c r="A14" s="2"/>
      <x:c r="B14" s="19" t="str">
        <x:v>Beauty / pricing</x:v>
      </x:c>
      <x:c r="C14" s="26" t="n">
        <x:f>'Forecast build'!P9</x:f>
        <x:v>4.308198652998944</x:v>
      </x:c>
      <x:c r="D14" s="27" t="n">
        <x:f>'Forecast build'!Q9</x:f>
        <x:v>1</x:v>
      </x:c>
      <x:c r="E14" s="28" t="n">
        <x:f>D14-C14</x:f>
        <x:v>-3.308198652998944</x:v>
      </x:c>
      <x:c r="F14" s="23" t="str">
        <x:v>Market model</x:v>
      </x:c>
      <x:c r="G14" s="2"/>
    </x:row>
    <x:row r="15" ht="42" customHeight="1">
      <x:c r="A15" s="2"/>
      <x:c r="B15" s="19" t="str">
        <x:v>Fabric &amp; Home Care / volume</x:v>
      </x:c>
      <x:c r="C15" s="21" t="n">
        <x:f>'Forecast build'!P10</x:f>
        <x:v>0</x:v>
      </x:c>
      <x:c r="D15" s="21" t="n">
        <x:f>'Forecast build'!Q10</x:f>
        <x:v>1</x:v>
      </x:c>
      <x:c r="E15" s="11" t="n">
        <x:f>D15-C15</x:f>
        <x:v>1</x:v>
      </x:c>
      <x:c r="F15" s="23" t="str">
        <x:v>Four-quarter mean</x:v>
      </x:c>
      <x:c r="G15" s="2"/>
    </x:row>
    <x:row r="16" ht="42" customHeight="1">
      <x:c r="A16" s="2"/>
      <x:c r="B16" s="19" t="str">
        <x:v>Health Care / pricing</x:v>
      </x:c>
      <x:c r="C16" s="22" t="n">
        <x:f>'Forecast build'!P11</x:f>
        <x:v>2.6809914443502034</x:v>
      </x:c>
      <x:c r="D16" s="22" t="n">
        <x:f>'Forecast build'!Q11</x:f>
        <x:v>2</x:v>
      </x:c>
      <x:c r="E16" s="11" t="n">
        <x:f>D16-C16</x:f>
        <x:v>-0.6809914443502034</x:v>
      </x:c>
      <x:c r="F16" s="23" t="str">
        <x:v>Market model</x:v>
      </x:c>
      <x:c r="G16" s="2"/>
    </x:row>
    <x:row r="17" ht="28" customHeight="1">
      <x:c r="A17" s="2"/>
      <x:c r="B17" s="2"/>
      <x:c r="C17" s="2"/>
      <x:c r="D17" s="2"/>
      <x:c r="E17" s="2"/>
      <x:c r="F17" s="2"/>
      <x:c r="G17" s="2"/>
    </x:row>
    <x:row r="18" ht="28" customHeight="1">
      <x:c r="A18" s="2"/>
      <x:c r="B18" s="2" t="str">
        <x:v>Pricing = contribution to growth. A positive variance means above forecast, not necessarily better profit.</x:v>
      </x:c>
      <x:c r="C18" s="2"/>
      <x:c r="D18" s="2"/>
      <x:c r="E18" s="2"/>
      <x:c r="F18" s="2"/>
      <x:c r="G18" s="2"/>
    </x:row>
    <x:row r="19" ht="28" customHeight="1">
      <x:c r="A19" s="2"/>
      <x:c r="B19" s="2"/>
      <x:c r="C19" s="2"/>
      <x:c r="D19" s="2"/>
      <x:c r="E19" s="2"/>
      <x:c r="F19" s="2"/>
      <x:c r="G19" s="2"/>
    </x:row>
    <x:row r="20" ht="46" customHeight="1">
      <x:c r="A20" s="2"/>
      <x:c r="B20" s="7" t="str">
        <x:v>Accuracy: six equal-weight tests</x:v>
      </x:c>
      <x:c r="C20" s="7" t="str">
        <x:v>Selected methods</x:v>
      </x:c>
      <x:c r="D20" s="7" t="str">
        <x:v>Last actual</x:v>
      </x:c>
      <x:c r="E20" s="7" t="str">
        <x:v>4-qtr mean</x:v>
      </x:c>
      <x:c r="F20" s="2"/>
      <x:c r="G20" s="2"/>
    </x:row>
    <x:row r="21" ht="28" customHeight="1">
      <x:c r="A21" s="2"/>
      <x:c r="B21" s="2" t="str">
        <x:v>Average absolute error pp</x:v>
      </x:c>
      <x:c r="C21" s="29" t="n">
        <x:f>AVERAGE(ABS(E11),ABS(E12),ABS(E13),ABS(E14),ABS(E15),ABS(E16))</x:f>
        <x:v>1.3919472164607438</x:v>
      </x:c>
      <x:c r="D21" s="30" t="n">
        <x:f>AVERAGE(ABS('Forecast build'!N6-D11),ABS('Forecast build'!N7-D12),ABS('Forecast build'!N8-D13),ABS('Forecast build'!N9-D14),ABS('Forecast build'!N10-D15),ABS('Forecast build'!N11-D16))</x:f>
        <x:v>1.6666666666666667</x:v>
      </x:c>
      <x:c r="E21" s="28" t="n">
        <x:f>AVERAGE(ABS('Forecast build'!O6-D11),ABS('Forecast build'!O7-D12),ABS('Forecast build'!O8-D13),ABS('Forecast build'!O9-D14),ABS('Forecast build'!O10-D15),ABS('Forecast build'!O11-D16))</x:f>
        <x:v>0.5833333333333334</x:v>
      </x:c>
      <x:c r="F21" s="2"/>
      <x:c r="G21" s="2"/>
    </x:row>
    <x:row r="22" ht="28" customHeight="1">
      <x:c r="A22" s="2"/>
      <x:c r="B22" s="2"/>
      <x:c r="C22" s="2"/>
      <x:c r="D22" s="2"/>
      <x:c r="E22" s="2"/>
      <x:c r="F22" s="2"/>
      <x:c r="G22" s="2"/>
    </x:row>
    <x:row r="23" ht="28" customHeight="1">
      <x:c r="A23" s="2"/>
      <x:c r="B23" s="2" t="str">
        <x:v>The four-quarter average wins this quarter. Six measures are not six independent quarters.</x:v>
      </x:c>
      <x:c r="C23" s="2"/>
      <x:c r="D23" s="2"/>
      <x:c r="E23" s="2"/>
      <x:c r="F23" s="2"/>
      <x:c r="G23" s="2"/>
    </x:row>
    <x:row r="24" ht="28" customHeight="1">
      <x:c r="A24" s="2"/>
      <x:c r="B24" s="2"/>
      <x:c r="C24" s="2"/>
      <x:c r="D24" s="2"/>
      <x:c r="E24" s="2"/>
      <x:c r="F24" s="2"/>
      <x:c r="G24" s="2"/>
    </x:row>
    <x:row r="25" ht="28" customHeight="1">
      <x:c r="A25" s="2"/>
      <x:c r="B25" s="2"/>
      <x:c r="C25" s="2"/>
      <x:c r="D25" s="2"/>
      <x:c r="E25" s="2"/>
      <x:c r="F25" s="2"/>
      <x:c r="G25" s="2"/>
    </x:row>
    <x:row r="26" ht="46" customHeight="1">
      <x:c r="A26" s="2"/>
      <x:c r="B26" s="7" t="str">
        <x:v>What needs attention</x:v>
      </x:c>
      <x:c r="C26" s="7" t="str">
        <x:v>Finding</x:v>
      </x:c>
      <x:c r="D26" s="2"/>
      <x:c r="E26" s="2"/>
      <x:c r="F26" s="2"/>
      <x:c r="G26" s="2"/>
    </x:row>
    <x:row r="27" ht="42" customHeight="1">
      <x:c r="A27" s="2"/>
      <x:c r="B27" s="19" t="str">
        <x:v>Beauty pricing</x:v>
      </x:c>
      <x:c r="C27" s="19" t="str">
        <x:v>4.31pp forecast vs 1pp actual</x:v>
      </x:c>
      <x:c r="D27" s="2"/>
      <x:c r="E27" s="2"/>
      <x:c r="F27" s="2"/>
      <x:c r="G27" s="2"/>
    </x:row>
    <x:row r="28" ht="42" customHeight="1">
      <x:c r="A28" s="2"/>
      <x:c r="B28" s="19" t="str">
        <x:v>Market estimate or relationship?</x:v>
      </x:c>
      <x:c r="C28" s="19" t="str">
        <x:v>Later market data still implies 5.41pp</x:v>
      </x:c>
      <x:c r="D28" s="2"/>
      <x:c r="E28" s="2"/>
      <x:c r="F28" s="2"/>
      <x:c r="G28" s="2"/>
    </x:row>
    <x:row r="29" ht="42" customHeight="1">
      <x:c r="A29" s="2"/>
      <x:c r="B29" s="19" t="str">
        <x:v>Interpretation</x:v>
      </x:c>
      <x:c r="C29" s="19" t="str">
        <x:v>The relationship needs review</x:v>
      </x:c>
      <x:c r="D29" s="2"/>
      <x:c r="E29" s="2"/>
      <x:c r="F29" s="2"/>
      <x:c r="G29" s="2"/>
    </x:row>
    <x:row r="30" ht="28" customHeight="1">
      <x:c r="A30" s="2"/>
      <x:c r="B30" s="2"/>
      <x:c r="C30" s="2"/>
      <x:c r="D30" s="2"/>
      <x:c r="E30" s="2"/>
      <x:c r="F30" s="2"/>
      <x:c r="G30" s="2"/>
    </x:row>
    <x:row r="31" ht="28" customHeight="1">
      <x:c r="A31" s="2"/>
      <x:c r="B31" s="2" t="str">
        <x:v>Sales calculation</x:v>
      </x:c>
      <x:c r="C31" s="2"/>
      <x:c r="D31" s="2"/>
      <x:c r="E31" s="2"/>
      <x:c r="F31" s="2"/>
      <x:c r="G31" s="2"/>
    </x:row>
    <x:row r="32" ht="28" customHeight="1">
      <x:c r="A32" s="2"/>
      <x:c r="B32" s="2" t="str">
        <x:v>Prior-year annual sales ($m)</x:v>
      </x:c>
      <x:c r="C32" s="8" t="n">
        <x:f>Sources!C6</x:f>
        <x:v>84284</x:v>
      </x:c>
      <x:c r="D32" s="2"/>
      <x:c r="E32" s="2"/>
      <x:c r="F32" s="2"/>
      <x:c r="G32" s="2"/>
    </x:row>
    <x:row r="33" ht="28" customHeight="1">
      <x:c r="A33" s="2"/>
      <x:c r="B33" s="2" t="str">
        <x:v>Annual growth midpoint</x:v>
      </x:c>
      <x:c r="C33" s="9" t="n">
        <x:f>Sources!C9</x:f>
        <x:v>0.03</x:v>
      </x:c>
      <x:c r="D33" s="2"/>
      <x:c r="E33" s="2"/>
      <x:c r="F33" s="2"/>
      <x:c r="G33" s="2"/>
    </x:row>
    <x:row r="34" ht="28" customHeight="1">
      <x:c r="A34" s="2"/>
      <x:c r="B34" s="2" t="str">
        <x:v>Required annual sales ($m)</x:v>
      </x:c>
      <x:c r="C34" s="8" t="n">
        <x:f>C32*(1+C33)</x:f>
        <x:v>86812.52</x:v>
      </x:c>
      <x:c r="D34" s="2"/>
      <x:c r="E34" s="2"/>
      <x:c r="F34" s="2"/>
      <x:c r="G34" s="2"/>
    </x:row>
    <x:row r="35" ht="28" customHeight="1">
      <x:c r="A35" s="2"/>
      <x:c r="B35" s="2" t="str">
        <x:v>Less: July–March actual sales ($m)</x:v>
      </x:c>
      <x:c r="C35" s="8" t="n">
        <x:f>Sources!C7</x:f>
        <x:v>65829</x:v>
      </x:c>
      <x:c r="D35" s="2"/>
      <x:c r="E35" s="2"/>
      <x:c r="F35" s="2"/>
      <x:c r="G35" s="2"/>
    </x:row>
    <x:row r="36" ht="28" customHeight="1">
      <x:c r="A36" s="2"/>
      <x:c r="B36" s="2" t="str">
        <x:v>Required April–June sales ($m)</x:v>
      </x:c>
      <x:c r="C36" s="8" t="n">
        <x:f>C34-C35</x:f>
        <x:v>20983.520000000004</x:v>
      </x:c>
      <x:c r="D36" s="2"/>
      <x:c r="E36" s="2"/>
      <x:c r="F36" s="2"/>
      <x:c r="G36" s="2"/>
    </x:row>
    <x:row r="37" ht="28" customHeight="1">
      <x:c r="A37" s="2"/>
      <x:c r="B37" s="2"/>
      <x:c r="C37" s="2"/>
      <x:c r="D37" s="2"/>
      <x:c r="E37" s="2"/>
      <x:c r="F37" s="2"/>
      <x:c r="G37" s="2"/>
    </x:row>
    <x:row r="38" ht="28" customHeight="1">
      <x:c r="A38" s="2"/>
      <x:c r="B38" s="2" t="str">
        <x:v>Reconciliation: prior nine months + actual quarter − annual actual</x:v>
      </x:c>
      <x:c r="C38" s="2"/>
      <x:c r="D38" s="2"/>
      <x:c r="E38" s="2"/>
      <x:c r="F38" s="2"/>
      <x:c r="G38" s="2"/>
    </x:row>
    <x:row r="39" ht="28" customHeight="1">
      <x:c r="A39" s="2"/>
      <x:c r="B39" s="2"/>
      <x:c r="C39" s="31" t="n">
        <x:f>Sources!C7+Sources!C10-Sources!C11</x:f>
        <x:v>0</x:v>
      </x:c>
      <x:c r="D39" s="2"/>
      <x:c r="E39" s="2"/>
      <x:c r="F39" s="2"/>
      <x:c r="G39" s="2"/>
    </x:row>
    <x:row r="40" ht="28" customHeight="1">
      <x:c r="A40" s="2"/>
      <x:c r="B40" s="2"/>
      <x:c r="C40" s="2"/>
      <x:c r="D40" s="2"/>
      <x:c r="E40" s="2"/>
      <x:c r="F40" s="2"/>
      <x:c r="G40" s="2"/>
    </x:row>
    <x:row r="41" ht="28" customHeight="1">
      <x:c r="A41" s="2"/>
      <x:c r="B41" s="2"/>
      <x:c r="C41" s="2"/>
      <x:c r="D41" s="2"/>
      <x:c r="E41" s="2"/>
      <x:c r="F41" s="2"/>
      <x:c r="G41" s="2"/>
    </x:row>
    <x:row r="42" ht="28" customHeight="1">
      <x:c r="A42" s="2"/>
      <x:c r="B42" s="2"/>
      <x:c r="C42" s="2"/>
      <x:c r="D42" s="2"/>
      <x:c r="E42" s="2"/>
      <x:c r="F42" s="2"/>
      <x:c r="G42" s="2"/>
    </x:row>
    <x:row r="43" ht="28" customHeight="1">
      <x:c r="A43" s="2"/>
      <x:c r="B43" s="2"/>
      <x:c r="C43" s="2"/>
      <x:c r="D43" s="2"/>
      <x:c r="E43" s="2"/>
      <x:c r="F43" s="2"/>
      <x:c r="G43" s="2"/>
    </x:row>
    <x:row r="44" ht="28" customHeight="1">
      <x:c r="A44" s="2"/>
      <x:c r="B44" s="2"/>
      <x:c r="C44" s="2"/>
      <x:c r="D44" s="2"/>
      <x:c r="E44" s="2"/>
      <x:c r="F44" s="2"/>
      <x:c r="G44" s="2"/>
    </x:row>
    <x:row r="45" ht="28" customHeight="1">
      <x:c r="A45" s="2"/>
      <x:c r="B45" s="2"/>
      <x:c r="C45" s="2"/>
      <x:c r="D45" s="2"/>
      <x:c r="E45" s="2"/>
      <x:c r="F45" s="2"/>
      <x:c r="G45" s="2"/>
    </x:row>
    <x:row r="46" ht="28" customHeight="1">
      <x:c r="A46" s="2"/>
      <x:c r="B46" s="2"/>
      <x:c r="C46" s="2"/>
      <x:c r="D46" s="2"/>
      <x:c r="E46" s="2"/>
      <x:c r="F46" s="2"/>
      <x:c r="G46" s="2"/>
    </x:row>
    <x:row r="47" ht="28" customHeight="1">
      <x:c r="A47" s="2"/>
      <x:c r="B47" s="2"/>
      <x:c r="C47" s="2"/>
      <x:c r="D47" s="2"/>
      <x:c r="E47" s="2"/>
      <x:c r="F47" s="2"/>
      <x:c r="G47" s="2"/>
    </x:row>
    <x:row r="48" ht="28" customHeight="1">
      <x:c r="A48" s="2"/>
      <x:c r="B48" s="2"/>
      <x:c r="C48" s="2"/>
      <x:c r="D48" s="2"/>
      <x:c r="E48" s="2"/>
      <x:c r="F48" s="2"/>
      <x:c r="G48" s="2"/>
    </x:row>
    <x:row r="49" ht="28" customHeight="1">
      <x:c r="A49" s="2"/>
      <x:c r="B49" s="2"/>
      <x:c r="C49" s="2"/>
      <x:c r="D49" s="2"/>
      <x:c r="E49" s="2"/>
      <x:c r="F49" s="2"/>
      <x:c r="G49" s="2"/>
    </x:row>
  </x:sheetData>
  <x:conditionalFormatting sqref="E6:F6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E11:E16">
    <x:cfRule type="cellIs" dxfId="2" priority="3" operator="lessThan">
      <x:formula>0</x:formula>
    </x:cfRule>
    <x:cfRule type="cellIs" dxfId="3" priority="4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7" hidden="0" customWidth="1"/>
    <x:col min="3" max="3" width="25" hidden="0" customWidth="1"/>
    <x:col min="4" max="4" width="18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2"/>
      <x:c r="B2" s="3" t="str">
        <x:v>Six separate forecasts | Model choice fixed before scoring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6" customHeight="1">
      <x:c r="A5" s="2"/>
      <x:c r="B5" s="7" t="str">
        <x:v>P&amp;G measure</x:v>
      </x:c>
      <x:c r="C5" s="7" t="str">
        <x:v>Selected method</x:v>
      </x:c>
      <x:c r="D5" s="7" t="str">
        <x:v>Market series</x:v>
      </x:c>
      <x:c r="E5" s="7" t="str">
        <x:v>n</x:v>
      </x:c>
      <x:c r="F5" s="7" t="str">
        <x:v>Sum x</x:v>
      </x:c>
      <x:c r="G5" s="7" t="str">
        <x:v>Sum y</x:v>
      </x:c>
      <x:c r="H5" s="7" t="str">
        <x:v>Sum xx</x:v>
      </x:c>
      <x:c r="I5" s="7" t="str">
        <x:v>Sum xy</x:v>
      </x:c>
      <x:c r="J5" s="7" t="str">
        <x:v>Slope</x:v>
      </x:c>
      <x:c r="K5" s="7" t="str">
        <x:v>Intercept</x:v>
      </x:c>
      <x:c r="L5" s="7" t="str">
        <x:v>Market growth %</x:v>
      </x:c>
      <x:c r="M5" s="7" t="str">
        <x:v>Model forecast</x:v>
      </x:c>
      <x:c r="N5" s="7" t="str">
        <x:v>Last actual</x:v>
      </x:c>
      <x:c r="O5" s="7" t="str">
        <x:v>4-qtr mean</x:v>
      </x:c>
      <x:c r="P5" s="7" t="str">
        <x:v>Selected forecast</x:v>
      </x:c>
      <x:c r="Q5" s="7" t="str">
        <x:v>Actual (later)</x:v>
      </x:c>
    </x:row>
    <x:row r="6" ht="44" customHeight="1">
      <x:c r="A6" s="2"/>
      <x:c r="B6" s="19" t="str">
        <x:v>Baby / Feminine / Family / volume</x:v>
      </x:c>
      <x:c r="C6" s="19" t="str">
        <x:v>Market model</x:v>
      </x:c>
      <x:c r="D6" s="19" t="str">
        <x:v>PCENDC96</x:v>
      </x:c>
      <x:c r="E6" s="2" t="n">
        <x:f>COUNT(E26:E45)</x:f>
        <x:v>20</x:v>
      </x:c>
      <x:c r="F6" s="11" t="n">
        <x:f>SUM(E26:E45)</x:f>
        <x:v>59.30874981535827</x:v>
      </x:c>
      <x:c r="G6" s="11" t="n">
        <x:f>SUM(F26:F45)</x:f>
        <x:v>-29</x:v>
      </x:c>
      <x:c r="H6" s="11" t="n">
        <x:f>SUMPRODUCT(E26:E45,E26:E45)</x:f>
        <x:v>422.7309375536036</x:v>
      </x:c>
      <x:c r="I6" s="11" t="n">
        <x:f>SUMPRODUCT(E26:E45,F26:F45)</x:f>
        <x:v>-55.97596753210084</x:v>
      </x:c>
      <x:c r="J6" s="11" t="n">
        <x:f>(I6-F6*G6/E6)/(H6-F6^2/E6)</x:f>
        <x:v>0.12161704139556487</x:v>
      </x:c>
      <x:c r="K6" s="11" t="n">
        <x:f>G6/E6-J6*F6/E6</x:f>
        <x:v>-1.8106477340706812</x:v>
      </x:c>
      <x:c r="L6" s="11" t="n">
        <x:f>'Market build'!E19</x:f>
        <x:v>1.3039748661953787</x:v>
      </x:c>
      <x:c r="M6" s="11" t="n">
        <x:f>K6+J6*L6</x:f>
        <x:v>-1.6520621687898216</x:v>
      </x:c>
      <x:c r="N6" s="11" t="n">
        <x:v>3</x:v>
      </x:c>
      <x:c r="O6" s="11" t="n">
        <x:v>-0.5</x:v>
      </x:c>
      <x:c r="P6" s="11" t="n">
        <x:f>IF(C6="Market model",M6,IF(C6="Last actual",N6,O6))</x:f>
        <x:v>-1.6520621687898216</x:v>
      </x:c>
      <x:c r="Q6" s="11" t="n">
        <x:f>Sources!C23</x:f>
        <x:v>-1</x:v>
      </x:c>
    </x:row>
    <x:row r="7" ht="44" customHeight="1">
      <x:c r="A7" s="2"/>
      <x:c r="B7" s="19" t="str">
        <x:v>Beauty / organic sales</x:v>
      </x:c>
      <x:c r="C7" s="19" t="str">
        <x:v>Market model</x:v>
      </x:c>
      <x:c r="D7" s="19" t="str">
        <x:v>RSHPCS</x:v>
      </x:c>
      <x:c r="E7" s="2" t="n">
        <x:f>COUNT(E46:E66)</x:f>
        <x:v>21</x:v>
      </x:c>
      <x:c r="F7" s="11" t="n">
        <x:f>SUM(E46:E66)</x:f>
        <x:v>130.9951020032238</x:v>
      </x:c>
      <x:c r="G7" s="11" t="n">
        <x:f>SUM(F46:F66)</x:f>
        <x:v>77</x:v>
      </x:c>
      <x:c r="H7" s="11" t="n">
        <x:f>SUMPRODUCT(E46:E66,E46:E66)</x:f>
        <x:v>1094.3293045568705</x:v>
      </x:c>
      <x:c r="I7" s="11" t="n">
        <x:f>SUMPRODUCT(E46:E66,F46:F66)</x:f>
        <x:v>503.78416372331924</x:v>
      </x:c>
      <x:c r="J7" s="11" t="n">
        <x:f>(I7-F7*G7/E7)/(H7-F7^2/E7)</x:f>
        <x:v>0.08466376322810731</x:v>
      </x:c>
      <x:c r="K7" s="11" t="n">
        <x:f>G7/E7-J7*F7/E7</x:f>
        <x:v>3.1385457952360616</x:v>
      </x:c>
      <x:c r="L7" s="11" t="n">
        <x:f>'Market build'!E26</x:f>
        <x:v>1.7837994246906463</x:v>
      </x:c>
      <x:c r="M7" s="11" t="n">
        <x:f>K7+J7*L7</x:f>
        <x:v>3.2895689673745045</x:v>
      </x:c>
      <x:c r="N7" s="11" t="n">
        <x:v>7</x:v>
      </x:c>
      <x:c r="O7" s="11" t="n">
        <x:v>4.5</x:v>
      </x:c>
      <x:c r="P7" s="11" t="n">
        <x:f>IF(C7="Market model",M7,IF(C7="Last actual",N7,O7))</x:f>
        <x:v>3.2895689673745045</x:v>
      </x:c>
      <x:c r="Q7" s="11" t="n">
        <x:f>Sources!E19</x:f>
        <x:v>4</x:v>
      </x:c>
    </x:row>
    <x:row r="8" ht="44" customHeight="1">
      <x:c r="A8" s="2"/>
      <x:c r="B8" s="19" t="str">
        <x:v>Beauty / volume</x:v>
      </x:c>
      <x:c r="C8" s="19" t="str">
        <x:v>Last actual</x:v>
      </x:c>
      <x:c r="D8" s="19" t="str">
        <x:v>PCENDC96</x:v>
      </x:c>
      <x:c r="E8" s="2" t="n">
        <x:f>COUNT(E67:E86)</x:f>
        <x:v>20</x:v>
      </x:c>
      <x:c r="F8" s="11" t="n">
        <x:f>SUM(E67:E86)</x:f>
        <x:v>59.30874981535827</x:v>
      </x:c>
      <x:c r="G8" s="11" t="n">
        <x:f>SUM(F67:F86)</x:f>
        <x:v>5</x:v>
      </x:c>
      <x:c r="H8" s="11" t="n">
        <x:f>SUMPRODUCT(E67:E86,E67:E86)</x:f>
        <x:v>422.7309375536036</x:v>
      </x:c>
      <x:c r="I8" s="11" t="n">
        <x:f>SUMPRODUCT(E67:E86,F67:F86)</x:f>
        <x:v>65.7753539119895</x:v>
      </x:c>
      <x:c r="J8" s="11" t="n">
        <x:f>(I8-F8*G8/E8)/(H8-F8^2/E8)</x:f>
        <x:v>0.2063894184294226</x:v>
      </x:c>
      <x:c r="K8" s="11" t="n">
        <x:f>G8/E8-J8*F8/E8</x:f>
        <x:v>-0.3620349191083959</x:v>
      </x:c>
      <x:c r="L8" s="11" t="n">
        <x:f>'Market build'!E19</x:f>
        <x:v>1.3039748661953787</x:v>
      </x:c>
      <x:c r="M8" s="11" t="n">
        <x:f>K8+J8*L8</x:f>
        <x:v>-0.09290830482774753</x:v>
      </x:c>
      <x:c r="N8" s="11" t="n">
        <x:v>5</x:v>
      </x:c>
      <x:c r="O8" s="11" t="n">
        <x:v>3.25</x:v>
      </x:c>
      <x:c r="P8" s="11" t="n">
        <x:f>IF(C8="Market model",M8,IF(C8="Last actual",N8,O8))</x:f>
        <x:v>5</x:v>
      </x:c>
      <x:c r="Q8" s="11" t="n">
        <x:f>Sources!C19</x:f>
        <x:v>3</x:v>
      </x:c>
    </x:row>
    <x:row r="9" ht="44" customHeight="1">
      <x:c r="A9" s="2"/>
      <x:c r="B9" s="19" t="str">
        <x:v>Beauty / pricing</x:v>
      </x:c>
      <x:c r="C9" s="19" t="str">
        <x:v>Market model</x:v>
      </x:c>
      <x:c r="D9" s="19" t="str">
        <x:v>CUUR0000SEGB02</x:v>
      </x:c>
      <x:c r="E9" s="2" t="n">
        <x:f>COUNT(E87:E106)</x:f>
        <x:v>20</x:v>
      </x:c>
      <x:c r="F9" s="11" t="n">
        <x:f>SUM(E87:E106)</x:f>
        <x:v>25.60925163769024</x:v>
      </x:c>
      <x:c r="G9" s="11" t="n">
        <x:f>SUM(F87:F106)</x:f>
        <x:v>80</x:v>
      </x:c>
      <x:c r="H9" s="11" t="n">
        <x:f>SUMPRODUCT(E87:E106,E87:E106)</x:f>
        <x:v>118.90690852019608</x:v>
      </x:c>
      <x:c r="I9" s="11" t="n">
        <x:f>SUMPRODUCT(E87:E106,F87:F106)</x:f>
        <x:v>191.3756234657686</x:v>
      </x:c>
      <x:c r="J9" s="11" t="n">
        <x:f>(I9-F9*G9/E9)/(H9-F9^2/E9)</x:f>
        <x:v>1.0327862701316046</x:v>
      </x:c>
      <x:c r="K9" s="11" t="n">
        <x:f>G9/E9-J9*F9/E9</x:f>
        <x:v>2.6775558260124104</x:v>
      </x:c>
      <x:c r="L9" s="11" t="n">
        <x:f>'Market build'!E33</x:f>
        <x:v>1.578877328393169</x:v>
      </x:c>
      <x:c r="M9" s="11" t="n">
        <x:f>K9+J9*L9</x:f>
        <x:v>4.308198652998944</x:v>
      </x:c>
      <x:c r="N9" s="11" t="n">
        <x:v>1</x:v>
      </x:c>
      <x:c r="O9" s="11" t="n">
        <x:v>1.5</x:v>
      </x:c>
      <x:c r="P9" s="11" t="n">
        <x:f>IF(C9="Market model",M9,IF(C9="Last actual",N9,O9))</x:f>
        <x:v>4.308198652998944</x:v>
      </x:c>
      <x:c r="Q9" s="11" t="n">
        <x:f>Sources!D19</x:f>
        <x:v>1</x:v>
      </x:c>
    </x:row>
    <x:row r="10" ht="44" customHeight="1">
      <x:c r="A10" s="2"/>
      <x:c r="B10" s="19" t="str">
        <x:v>Fabric &amp; Home Care / volume</x:v>
      </x:c>
      <x:c r="C10" s="19" t="str">
        <x:v>Four-quarter mean</x:v>
      </x:c>
      <x:c r="D10" s="19" t="str">
        <x:v>PCENDC96</x:v>
      </x:c>
      <x:c r="E10" s="2" t="n">
        <x:f>COUNT(E107:E114)</x:f>
        <x:v>8</x:v>
      </x:c>
      <x:c r="F10" s="11" t="n">
        <x:f>SUM(E107:E114)</x:f>
        <x:v>21.218309405312574</x:v>
      </x:c>
      <x:c r="G10" s="11" t="n">
        <x:f>SUM(F107:F114)</x:f>
        <x:v>5</x:v>
      </x:c>
      <x:c r="H10" s="11" t="n">
        <x:f>SUMPRODUCT(E107:E114,E107:E114)</x:f>
        <x:v>59.98633783637385</x:v>
      </x:c>
      <x:c r="I10" s="11" t="n">
        <x:f>SUMPRODUCT(E107:E114,F107:F114)</x:f>
        <x:v>10.445631929099841</x:v>
      </x:c>
      <x:c r="J10" s="11" t="n">
        <x:f>(I10-F10*G10/E10)/(H10-F10^2/E10)</x:f>
        <x:v>-0.75913104555443</x:v>
      </x:c>
      <x:c r="K10" s="11" t="n">
        <x:f>G10/E10-J10*F10/E10</x:f>
        <x:v>2.6384346754690413</x:v>
      </x:c>
      <x:c r="L10" s="11" t="n">
        <x:f>'Market build'!E19</x:f>
        <x:v>1.3039748661953787</x:v>
      </x:c>
      <x:c r="M10" s="11" t="n">
        <x:f>K10+J10*L10</x:f>
        <x:v>1.6485468719174454</x:v>
      </x:c>
      <x:c r="N10" s="11" t="n">
        <x:v>2</x:v>
      </x:c>
      <x:c r="O10" s="11" t="n">
        <x:v>0</x:v>
      </x:c>
      <x:c r="P10" s="11" t="n">
        <x:f>IF(C10="Market model",M10,IF(C10="Last actual",N10,O10))</x:f>
        <x:v>0</x:v>
      </x:c>
      <x:c r="Q10" s="11" t="n">
        <x:f>Sources!C22</x:f>
        <x:v>1</x:v>
      </x:c>
    </x:row>
    <x:row r="11" ht="44" customHeight="1">
      <x:c r="A11" s="2"/>
      <x:c r="B11" s="19" t="str">
        <x:v>Health Care / pricing</x:v>
      </x:c>
      <x:c r="C11" s="19" t="str">
        <x:v>Market model</x:v>
      </x:c>
      <x:c r="D11" s="19" t="str">
        <x:v>CUUR0000SEGB</x:v>
      </x:c>
      <x:c r="E11" s="2" t="n">
        <x:f>COUNT(E115:E134)</x:f>
        <x:v>20</x:v>
      </x:c>
      <x:c r="F11" s="11" t="n">
        <x:f>SUM(E115:E134)</x:f>
        <x:v>49.40984977693939</x:v>
      </x:c>
      <x:c r="G11" s="11" t="n">
        <x:f>SUM(F115:F134)</x:f>
        <x:v>58</x:v>
      </x:c>
      <x:c r="H11" s="11" t="n">
        <x:f>SUMPRODUCT(E115:E134,E115:E134)</x:f>
        <x:v>261.6547561412257</x:v>
      </x:c>
      <x:c r="I11" s="11" t="n">
        <x:f>SUMPRODUCT(E115:E134,F115:F134)</x:f>
        <x:v>249.73241823316263</x:v>
      </x:c>
      <x:c r="J11" s="11" t="n">
        <x:f>(I11-F11*G11/E11)/(H11-F11^2/E11)</x:f>
        <x:v>0.7625568291196102</x:v>
      </x:c>
      <x:c r="K11" s="11" t="n">
        <x:f>G11/E11-J11*F11/E11</x:f>
        <x:v>1.016109081341041</x:v>
      </x:c>
      <x:c r="L11" s="11" t="n">
        <x:f>'Market build'!E40</x:f>
        <x:v>2.183289558800894</x:v>
      </x:c>
      <x:c r="M11" s="11" t="n">
        <x:f>K11+J11*L11</x:f>
        <x:v>2.6809914443502034</x:v>
      </x:c>
      <x:c r="N11" s="11" t="n">
        <x:v>2</x:v>
      </x:c>
      <x:c r="O11" s="11" t="n">
        <x:v>1.25</x:v>
      </x:c>
      <x:c r="P11" s="11" t="n">
        <x:f>IF(C11="Market model",M11,IF(C11="Last actual",N11,O11))</x:f>
        <x:v>2.6809914443502034</x:v>
      </x:c>
      <x:c r="Q11" s="11" t="n">
        <x:f>Sources!D21</x:f>
        <x:v>2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8" customHeight="1">
      <x:c r="A13" s="2"/>
      <x:c r="B13" s="2" t="str">
        <x:v>Methods were chosen using the preceding zero-target-month backtest; timing is not identical to 24 April.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8" customHeight="1">
      <x:c r="A14" s="2"/>
      <x:c r="B14" s="2" t="str">
        <x:v>These forecasts are separate tests. They are not additive or a reconciled company revenue forecast.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 t="str">
        <x:v>Later market growth %</x:v>
      </x:c>
      <x:c r="I15" s="2" t="str">
        <x:v>Later-input prediction</x:v>
      </x:c>
      <x:c r="J15" s="2"/>
      <x:c r="K15" s="2"/>
      <x:c r="L15" s="2"/>
      <x:c r="M15" s="2"/>
      <x:c r="N15" s="2"/>
      <x:c r="O15" s="2"/>
      <x:c r="P15" s="2"/>
      <x:c r="Q15" s="2"/>
    </x:row>
    <x:row r="16" ht="46" customHeight="1">
      <x:c r="A16" s="2"/>
      <x:c r="B16" s="7" t="str">
        <x:v>Model check: error pp</x:v>
      </x:c>
      <x:c r="C16" s="7" t="str">
        <x:v>Forecast − actual</x:v>
      </x:c>
      <x:c r="D16" s="7" t="str">
        <x:v>Relationship error</x:v>
      </x:c>
      <x:c r="E16" s="7" t="str">
        <x:v>Market-input error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8" customHeight="1">
      <x:c r="A17" s="2"/>
      <x:c r="B17" s="2" t="str">
        <x:v>Baby / Feminine / Family / volume</x:v>
      </x:c>
      <x:c r="C17" s="11" t="n">
        <x:f>M6-Q6</x:f>
        <x:v>-0.6520621687898216</x:v>
      </x:c>
      <x:c r="D17" s="11" t="n">
        <x:f>I17-Q6</x:f>
        <x:v>-0.53178696314866</x:v>
      </x:c>
      <x:c r="E17" s="11" t="n">
        <x:f>M6-I17</x:f>
        <x:v>-0.12027520564116156</x:v>
      </x:c>
      <x:c r="F17" s="2"/>
      <x:c r="G17" s="2"/>
      <x:c r="H17" s="11" t="n">
        <x:v>2.2929415789273655</x:v>
      </x:c>
      <x:c r="I17" s="11" t="n">
        <x:f>K6+J6*H17</x:f>
        <x:v>-1.53178696314866</x:v>
      </x:c>
      <x:c r="J17" s="2"/>
      <x:c r="K17" s="2"/>
      <x:c r="L17" s="2"/>
      <x:c r="M17" s="2"/>
      <x:c r="N17" s="2"/>
      <x:c r="O17" s="2"/>
      <x:c r="P17" s="2"/>
      <x:c r="Q17" s="2"/>
    </x:row>
    <x:row r="18" ht="28" customHeight="1">
      <x:c r="A18" s="2"/>
      <x:c r="B18" s="2" t="str">
        <x:v>Beauty / organic sales</x:v>
      </x:c>
      <x:c r="C18" s="11" t="n">
        <x:f>M7-Q7</x:f>
        <x:v>-0.7104310326254955</x:v>
      </x:c>
      <x:c r="D18" s="11" t="n">
        <x:f>I18-Q7</x:f>
        <x:v>-0.6638847686935145</x:v>
      </x:c>
      <x:c r="E18" s="11" t="n">
        <x:f>M7-I18</x:f>
        <x:v>-0.046546263931980913</x:v>
      </x:c>
      <x:c r="F18" s="2"/>
      <x:c r="G18" s="2"/>
      <x:c r="H18" s="11" t="n">
        <x:v>2.3335773008118954</x:v>
      </x:c>
      <x:c r="I18" s="11" t="n">
        <x:f>K7+J7*H18</x:f>
        <x:v>3.3361152313064855</x:v>
      </x:c>
      <x:c r="J18" s="2"/>
      <x:c r="K18" s="2"/>
      <x:c r="L18" s="2"/>
      <x:c r="M18" s="2"/>
      <x:c r="N18" s="2"/>
      <x:c r="O18" s="2"/>
      <x:c r="P18" s="2"/>
      <x:c r="Q18" s="2"/>
    </x:row>
    <x:row r="19" ht="28" customHeight="1">
      <x:c r="A19" s="2"/>
      <x:c r="B19" s="2" t="str">
        <x:v>Beauty / volume</x:v>
      </x:c>
      <x:c r="C19" s="11" t="n">
        <x:f>M8-Q8</x:f>
        <x:v>-3.0929083048277475</x:v>
      </x:c>
      <x:c r="D19" s="11" t="n">
        <x:f>I19-Q8</x:f>
        <x:v>-2.888796040140935</x:v>
      </x:c>
      <x:c r="E19" s="11" t="n">
        <x:f>M8-I19</x:f>
        <x:v>-0.2041122646868126</x:v>
      </x:c>
      <x:c r="F19" s="2"/>
      <x:c r="G19" s="2"/>
      <x:c r="H19" s="11" t="n">
        <x:v>2.2929415789273655</x:v>
      </x:c>
      <x:c r="I19" s="11" t="n">
        <x:f>K8+J8*H19</x:f>
        <x:v>0.11120395985906506</x:v>
      </x:c>
      <x:c r="J19" s="2"/>
      <x:c r="K19" s="2"/>
      <x:c r="L19" s="2"/>
      <x:c r="M19" s="2"/>
      <x:c r="N19" s="2"/>
      <x:c r="O19" s="2"/>
      <x:c r="P19" s="2"/>
      <x:c r="Q19" s="2"/>
    </x:row>
    <x:row r="20" ht="28" customHeight="1">
      <x:c r="A20" s="2"/>
      <x:c r="B20" s="2" t="str">
        <x:v>Beauty / pricing</x:v>
      </x:c>
      <x:c r="C20" s="11" t="n">
        <x:f>M9-Q9</x:f>
        <x:v>3.308198652998944</x:v>
      </x:c>
      <x:c r="D20" s="11" t="n">
        <x:f>I20-Q9</x:f>
        <x:v>4.408796661764644</x:v>
      </x:c>
      <x:c r="E20" s="11" t="n">
        <x:f>M9-I20</x:f>
        <x:v>-1.1005980087657</x:v>
      </x:c>
      <x:c r="F20" s="2"/>
      <x:c r="G20" s="2"/>
      <x:c r="H20" s="11" t="n">
        <x:v>2.644536352525484</x:v>
      </x:c>
      <x:c r="I20" s="11" t="n">
        <x:f>K9+J9*H20</x:f>
        <x:v>5.408796661764644</x:v>
      </x:c>
      <x:c r="J20" s="2"/>
      <x:c r="K20" s="2"/>
      <x:c r="L20" s="2"/>
      <x:c r="M20" s="2"/>
      <x:c r="N20" s="2"/>
      <x:c r="O20" s="2"/>
      <x:c r="P20" s="2"/>
      <x:c r="Q20" s="2"/>
    </x:row>
    <x:row r="21" ht="28" customHeight="1">
      <x:c r="A21" s="2"/>
      <x:c r="B21" s="2" t="str">
        <x:v>Fabric &amp; Home Care / volume</x:v>
      </x:c>
      <x:c r="C21" s="11" t="n">
        <x:f>M10-Q10</x:f>
        <x:v>0.6485468719174454</x:v>
      </x:c>
      <x:c r="D21" s="11" t="n">
        <x:f>I21-Q10</x:f>
        <x:v>-0.10220846273731521</x:v>
      </x:c>
      <x:c r="E21" s="11" t="n">
        <x:f>M10-I21</x:f>
        <x:v>0.7507553346547606</x:v>
      </x:c>
      <x:c r="F21" s="2"/>
      <x:c r="G21" s="2"/>
      <x:c r="H21" s="11" t="n">
        <x:v>2.2929415789273655</x:v>
      </x:c>
      <x:c r="I21" s="11" t="n">
        <x:f>K10+J10*H21</x:f>
        <x:v>0.8977915372626848</x:v>
      </x:c>
      <x:c r="J21" s="2"/>
      <x:c r="K21" s="2"/>
      <x:c r="L21" s="2"/>
      <x:c r="M21" s="2"/>
      <x:c r="N21" s="2"/>
      <x:c r="O21" s="2"/>
      <x:c r="P21" s="2"/>
      <x:c r="Q21" s="2"/>
    </x:row>
    <x:row r="22" ht="28" customHeight="1">
      <x:c r="A22" s="2"/>
      <x:c r="B22" s="2" t="str">
        <x:v>Health Care / pricing</x:v>
      </x:c>
      <x:c r="C22" s="11" t="n">
        <x:f>M11-Q11</x:f>
        <x:v>0.6809914443502034</x:v>
      </x:c>
      <x:c r="D22" s="11" t="n">
        <x:f>I22-Q11</x:f>
        <x:v>1.0614875239173003</x:v>
      </x:c>
      <x:c r="E22" s="11" t="n">
        <x:f>M11-I22</x:f>
        <x:v>-0.38049607956709686</x:v>
      </x:c>
      <x:c r="F22" s="2"/>
      <x:c r="G22" s="2"/>
      <x:c r="H22" s="11" t="n">
        <x:v>2.6822636221587537</x:v>
      </x:c>
      <x:c r="I22" s="11" t="n">
        <x:f>K11+J11*H22</x:f>
        <x:v>3.0614875239173003</x:v>
      </x:c>
      <x:c r="J22" s="2"/>
      <x:c r="K22" s="2"/>
      <x:c r="L22" s="2"/>
      <x:c r="M22" s="2"/>
      <x:c r="N22" s="2"/>
      <x:c r="O22" s="2"/>
      <x:c r="P22" s="2"/>
      <x:c r="Q22" s="2"/>
    </x:row>
    <x:row r="23" ht="28" customHeight="1">
      <x:c r="A23" s="2"/>
      <x:c r="B23" s="2"/>
      <x:c r="C23" s="2"/>
      <x:c r="D23" s="2"/>
      <x:c r="E23" s="2"/>
      <x:c r="F23" s="2"/>
      <x:c r="G23" s="2" t="str">
        <x:v>1 August market version: diagnostic only, not a forecast input.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46" customHeight="1">
      <x:c r="A25" s="2"/>
      <x:c r="B25" s="7" t="str">
        <x:v>Historical training pair</x:v>
      </x:c>
      <x:c r="C25" s="7" t="str">
        <x:v>Quarter</x:v>
      </x:c>
      <x:c r="D25" s="7" t="str">
        <x:v>Published</x:v>
      </x:c>
      <x:c r="E25" s="7" t="str">
        <x:v>Market growth</x:v>
      </x:c>
      <x:c r="F25" s="7" t="str">
        <x:v>PG result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8" customHeight="1">
      <x:c r="A26" s="2"/>
      <x:c r="B26" s="2" t="str">
        <x:v>Baby / Feminine / Family / volume</x:v>
      </x:c>
      <x:c r="C26" s="18" t="n">
        <x:v>44286</x:v>
      </x:c>
      <x:c r="D26" s="18" t="n">
        <x:v>44306</x:v>
      </x:c>
      <x:c r="E26" s="11" t="n">
        <x:v>6.575055187637968</x:v>
      </x:c>
      <x:c r="F26" s="11" t="n">
        <x:v>-4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8" customHeight="1">
      <x:c r="A27" s="2"/>
      <x:c r="B27" s="2" t="str">
        <x:v>Baby / Feminine / Family / volume</x:v>
      </x:c>
      <x:c r="C27" s="18" t="n">
        <x:v>44377</x:v>
      </x:c>
      <x:c r="D27" s="18" t="n">
        <x:v>44407</x:v>
      </x:c>
      <x:c r="E27" s="11" t="n">
        <x:v>14.016061969584781</x:v>
      </x:c>
      <x:c r="F27" s="11" t="n">
        <x:v>-3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8" customHeight="1">
      <x:c r="A28" s="2"/>
      <x:c r="B28" s="2" t="str">
        <x:v>Baby / Feminine / Family / volume</x:v>
      </x:c>
      <x:c r="C28" s="18" t="n">
        <x:v>44469</x:v>
      </x:c>
      <x:c r="D28" s="18" t="n">
        <x:v>44488</x:v>
      </x:c>
      <x:c r="E28" s="11" t="n">
        <x:v>7.004214906898576</x:v>
      </x:c>
      <x:c r="F28" s="11" t="n">
        <x:v>1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8" customHeight="1">
      <x:c r="A29" s="2"/>
      <x:c r="B29" s="2" t="str">
        <x:v>Baby / Feminine / Family / volume</x:v>
      </x:c>
      <x:c r="C29" s="18" t="n">
        <x:v>44561</x:v>
      </x:c>
      <x:c r="D29" s="18" t="n">
        <x:v>44580</x:v>
      </x:c>
      <x:c r="E29" s="11" t="n">
        <x:v>7.099598376506089</x:v>
      </x:c>
      <x:c r="F29" s="11" t="n">
        <x:v>1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8" customHeight="1">
      <x:c r="A30" s="2"/>
      <x:c r="B30" s="2" t="str">
        <x:v>Baby / Feminine / Family / volume</x:v>
      </x:c>
      <x:c r="C30" s="18" t="n">
        <x:v>44651</x:v>
      </x:c>
      <x:c r="D30" s="18" t="n">
        <x:v>44671</x:v>
      </x:c>
      <x:c r="E30" s="11" t="n">
        <x:v>3.598910488105478</x:v>
      </x:c>
      <x:c r="F30" s="11" t="n">
        <x:v>2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8" customHeight="1">
      <x:c r="A31" s="2"/>
      <x:c r="B31" s="2" t="str">
        <x:v>Baby / Feminine / Family / volume</x:v>
      </x:c>
      <x:c r="C31" s="18" t="n">
        <x:v>44742</x:v>
      </x:c>
      <x:c r="D31" s="18" t="n">
        <x:v>44771</x:v>
      </x:c>
      <x:c r="E31" s="11" t="n">
        <x:v>-0.03796621007303713</x:v>
      </x:c>
      <x:c r="F31" s="11" t="n">
        <x:v>0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8" customHeight="1">
      <x:c r="A32" s="2"/>
      <x:c r="B32" s="2" t="str">
        <x:v>Baby / Feminine / Family / volume</x:v>
      </x:c>
      <x:c r="C32" s="18" t="n">
        <x:v>44834</x:v>
      </x:c>
      <x:c r="D32" s="18" t="n">
        <x:v>44853</x:v>
      </x:c>
      <x:c r="E32" s="11" t="n">
        <x:v>-0.9742817539066029</x:v>
      </x:c>
      <x:c r="F32" s="11" t="n">
        <x:v>-3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8" customHeight="1">
      <x:c r="A33" s="2"/>
      <x:c r="B33" s="2" t="str">
        <x:v>Baby / Feminine / Family / volume</x:v>
      </x:c>
      <x:c r="C33" s="18" t="n">
        <x:v>44926</x:v>
      </x:c>
      <x:c r="D33" s="18" t="n">
        <x:v>44945</x:v>
      </x:c>
      <x:c r="E33" s="11" t="n">
        <x:v>-1.708333333333334</x:v>
      </x:c>
      <x:c r="F33" s="11" t="n">
        <x:v>-6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8" customHeight="1">
      <x:c r="A34" s="2"/>
      <x:c r="B34" s="2" t="str">
        <x:v>Baby / Feminine / Family / volume</x:v>
      </x:c>
      <x:c r="C34" s="18" t="n">
        <x:v>45016</x:v>
      </x:c>
      <x:c r="D34" s="18" t="n">
        <x:v>45037</x:v>
      </x:c>
      <x:c r="E34" s="11" t="n">
        <x:v>-0.5138355726167609</x:v>
      </x:c>
      <x:c r="F34" s="11" t="n">
        <x:v>-4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8" customHeight="1">
      <x:c r="A35" s="2"/>
      <x:c r="B35" s="2" t="str">
        <x:v>Baby / Feminine / Family / volume</x:v>
      </x:c>
      <x:c r="C35" s="18" t="n">
        <x:v>45107</x:v>
      </x:c>
      <x:c r="D35" s="18" t="n">
        <x:v>45135</x:v>
      </x:c>
      <x:c r="E35" s="11" t="n">
        <x:v>-0.38380425982749156</x:v>
      </x:c>
      <x:c r="F35" s="11" t="n">
        <x:v>0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8" customHeight="1">
      <x:c r="A36" s="2"/>
      <x:c r="B36" s="2" t="str">
        <x:v>Baby / Feminine / Family / volume</x:v>
      </x:c>
      <x:c r="C36" s="18" t="n">
        <x:v>45199</x:v>
      </x:c>
      <x:c r="D36" s="18" t="n">
        <x:v>45217</x:v>
      </x:c>
      <x:c r="E36" s="11" t="n">
        <x:v>1.1893013232362026</x:v>
      </x:c>
      <x:c r="F36" s="11" t="n">
        <x:v>-3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8" customHeight="1">
      <x:c r="A37" s="2"/>
      <x:c r="B37" s="2" t="str">
        <x:v>Baby / Feminine / Family / volume</x:v>
      </x:c>
      <x:c r="C37" s="18" t="n">
        <x:v>45291</x:v>
      </x:c>
      <x:c r="D37" s="18" t="n">
        <x:v>45314</x:v>
      </x:c>
      <x:c r="E37" s="11" t="n">
        <x:v>2.2255192878338326</x:v>
      </x:c>
      <x:c r="F37" s="11" t="n">
        <x:v>-2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8" customHeight="1">
      <x:c r="A38" s="2"/>
      <x:c r="B38" s="2" t="str">
        <x:v>Baby / Feminine / Family / volume</x:v>
      </x:c>
      <x:c r="C38" s="18" t="n">
        <x:v>45382</x:v>
      </x:c>
      <x:c r="D38" s="18" t="n">
        <x:v>45401</x:v>
      </x:c>
      <x:c r="E38" s="11" t="n">
        <x:v>1.3726160091641626</x:v>
      </x:c>
      <x:c r="F38" s="11" t="n">
        <x:v>-3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8" customHeight="1">
      <x:c r="A39" s="2"/>
      <x:c r="B39" s="2" t="str">
        <x:v>Baby / Feminine / Family / volume</x:v>
      </x:c>
      <x:c r="C39" s="18" t="n">
        <x:v>45473</x:v>
      </x:c>
      <x:c r="D39" s="18" t="n">
        <x:v>45503</x:v>
      </x:c>
      <x:c r="E39" s="11" t="n">
        <x:v>2.2805943792830297</x:v>
      </x:c>
      <x:c r="F39" s="11" t="n">
        <x:v>-1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8" customHeight="1">
      <x:c r="A40" s="2"/>
      <x:c r="B40" s="2" t="str">
        <x:v>Baby / Feminine / Family / volume</x:v>
      </x:c>
      <x:c r="C40" s="18" t="n">
        <x:v>45565</x:v>
      </x:c>
      <x:c r="D40" s="18" t="n">
        <x:v>45583</x:v>
      </x:c>
      <x:c r="E40" s="11" t="n">
        <x:v>2.650199536239972</x:v>
      </x:c>
      <x:c r="F40" s="11" t="n">
        <x:v>-1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8" customHeight="1">
      <x:c r="A41" s="2"/>
      <x:c r="B41" s="2" t="str">
        <x:v>Baby / Feminine / Family / volume</x:v>
      </x:c>
      <x:c r="C41" s="18" t="n">
        <x:v>45657</x:v>
      </x:c>
      <x:c r="D41" s="18" t="n">
        <x:v>45679</x:v>
      </x:c>
      <x:c r="E41" s="11" t="n">
        <x:v>2.787239714463441</x:v>
      </x:c>
      <x:c r="F41" s="11" t="n">
        <x:v>4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8" customHeight="1">
      <x:c r="A42" s="2"/>
      <x:c r="B42" s="2" t="str">
        <x:v>Baby / Feminine / Family / volume</x:v>
      </x:c>
      <x:c r="C42" s="18" t="n">
        <x:v>45747</x:v>
      </x:c>
      <x:c r="D42" s="18" t="n">
        <x:v>45771</x:v>
      </x:c>
      <x:c r="E42" s="11" t="n">
        <x:v>3.749851314380881</x:v>
      </x:c>
      <x:c r="F42" s="11" t="n">
        <x:v>-2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8" customHeight="1">
      <x:c r="A43" s="2"/>
      <x:c r="B43" s="2" t="str">
        <x:v>Baby / Feminine / Family / volume</x:v>
      </x:c>
      <x:c r="C43" s="18" t="n">
        <x:v>45838</x:v>
      </x:c>
      <x:c r="D43" s="18" t="n">
        <x:v>45867</x:v>
      </x:c>
      <x:c r="E43" s="11" t="n">
        <x:v>3.2332744751814912</x:v>
      </x:c>
      <x:c r="F43" s="11" t="n">
        <x:v>0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8" customHeight="1">
      <x:c r="A44" s="2"/>
      <x:c r="B44" s="2" t="str">
        <x:v>Baby / Feminine / Family / volume</x:v>
      </x:c>
      <x:c r="C44" s="18" t="n">
        <x:v>45930</x:v>
      </x:c>
      <x:c r="D44" s="18" t="n">
        <x:v>45954</x:v>
      </x:c>
      <x:c r="E44" s="11" t="n">
        <x:v>2.996723091540132</x:v>
      </x:c>
      <x:c r="F44" s="11" t="n">
        <x:v>0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8" customHeight="1">
      <x:c r="A45" s="2"/>
      <x:c r="B45" s="2" t="str">
        <x:v>Baby / Feminine / Family / volume</x:v>
      </x:c>
      <x:c r="C45" s="18" t="n">
        <x:v>46022</x:v>
      </x:c>
      <x:c r="D45" s="18" t="n">
        <x:v>46045</x:v>
      </x:c>
      <x:c r="E45" s="11" t="n">
        <x:v>2.1478108850594646</x:v>
      </x:c>
      <x:c r="F45" s="11" t="n">
        <x:v>-5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8" customHeight="1">
      <x:c r="A46" s="2"/>
      <x:c r="B46" s="2" t="str">
        <x:v>Beauty / organic sales</x:v>
      </x:c>
      <x:c r="C46" s="18" t="n">
        <x:v>44286</x:v>
      </x:c>
      <x:c r="D46" s="18" t="n">
        <x:v>44306</x:v>
      </x:c>
      <x:c r="E46" s="11" t="n">
        <x:v>3.006774244367927</x:v>
      </x:c>
      <x:c r="F46" s="11" t="n">
        <x:v>7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8" customHeight="1">
      <x:c r="A47" s="2"/>
      <x:c r="B47" s="2" t="str">
        <x:v>Beauty / organic sales</x:v>
      </x:c>
      <x:c r="C47" s="18" t="n">
        <x:v>44377</x:v>
      </x:c>
      <x:c r="D47" s="18" t="n">
        <x:v>44407</x:v>
      </x:c>
      <x:c r="E47" s="11" t="n">
        <x:v>17.71687473837138</x:v>
      </x:c>
      <x:c r="F47" s="11" t="n">
        <x:v>6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8" customHeight="1">
      <x:c r="A48" s="2"/>
      <x:c r="B48" s="2" t="str">
        <x:v>Beauty / organic sales</x:v>
      </x:c>
      <x:c r="C48" s="18" t="n">
        <x:v>44469</x:v>
      </x:c>
      <x:c r="D48" s="18" t="n">
        <x:v>44488</x:v>
      </x:c>
      <x:c r="E48" s="11" t="n">
        <x:v>8.056507135922875</x:v>
      </x:c>
      <x:c r="F48" s="11" t="n">
        <x:v>2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8" customHeight="1">
      <x:c r="A49" s="2"/>
      <x:c r="B49" s="2" t="str">
        <x:v>Beauty / organic sales</x:v>
      </x:c>
      <x:c r="C49" s="18" t="n">
        <x:v>44561</x:v>
      </x:c>
      <x:c r="D49" s="18" t="n">
        <x:v>44580</x:v>
      </x:c>
      <x:c r="E49" s="11" t="n">
        <x:v>8.614915945210399</x:v>
      </x:c>
      <x:c r="F49" s="11" t="n">
        <x:v>2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8" customHeight="1">
      <x:c r="A50" s="2"/>
      <x:c r="B50" s="2" t="str">
        <x:v>Beauty / organic sales</x:v>
      </x:c>
      <x:c r="C50" s="18" t="n">
        <x:v>44651</x:v>
      </x:c>
      <x:c r="D50" s="18" t="n">
        <x:v>44671</x:v>
      </x:c>
      <x:c r="E50" s="11" t="n">
        <x:v>6.658436933295464</x:v>
      </x:c>
      <x:c r="F50" s="11" t="n">
        <x:v>3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8" customHeight="1">
      <x:c r="A51" s="2"/>
      <x:c r="B51" s="2" t="str">
        <x:v>Beauty / organic sales</x:v>
      </x:c>
      <x:c r="C51" s="18" t="n">
        <x:v>44742</x:v>
      </x:c>
      <x:c r="D51" s="18" t="n">
        <x:v>44771</x:v>
      </x:c>
      <x:c r="E51" s="11" t="n">
        <x:v>3.235995481738696</x:v>
      </x:c>
      <x:c r="F51" s="11" t="n">
        <x:v>0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8" customHeight="1">
      <x:c r="A52" s="2"/>
      <x:c r="B52" s="2" t="str">
        <x:v>Beauty / organic sales</x:v>
      </x:c>
      <x:c r="C52" s="18" t="n">
        <x:v>44834</x:v>
      </x:c>
      <x:c r="D52" s="18" t="n">
        <x:v>44853</x:v>
      </x:c>
      <x:c r="E52" s="11" t="n">
        <x:v>3.553393847393038</x:v>
      </x:c>
      <x:c r="F52" s="11" t="n">
        <x:v>4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8" customHeight="1">
      <x:c r="A53" s="2"/>
      <x:c r="B53" s="2" t="str">
        <x:v>Beauty / organic sales</x:v>
      </x:c>
      <x:c r="C53" s="18" t="n">
        <x:v>44926</x:v>
      </x:c>
      <x:c r="D53" s="18" t="n">
        <x:v>44945</x:v>
      </x:c>
      <x:c r="E53" s="11" t="n">
        <x:v>3.8028851607049052</x:v>
      </x:c>
      <x:c r="F53" s="11" t="n">
        <x:v>3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8" customHeight="1">
      <x:c r="A54" s="2"/>
      <x:c r="B54" s="2" t="str">
        <x:v>Beauty / organic sales</x:v>
      </x:c>
      <x:c r="C54" s="18" t="n">
        <x:v>45016</x:v>
      </x:c>
      <x:c r="D54" s="18" t="n">
        <x:v>45037</x:v>
      </x:c>
      <x:c r="E54" s="11" t="n">
        <x:v>7.4226951952721</x:v>
      </x:c>
      <x:c r="F54" s="11" t="n">
        <x:v>7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8" customHeight="1">
      <x:c r="A55" s="2"/>
      <x:c r="B55" s="2" t="str">
        <x:v>Beauty / organic sales</x:v>
      </x:c>
      <x:c r="C55" s="18" t="n">
        <x:v>45107</x:v>
      </x:c>
      <x:c r="D55" s="18" t="n">
        <x:v>45135</x:v>
      </x:c>
      <x:c r="E55" s="11" t="n">
        <x:v>8.374364273701707</x:v>
      </x:c>
      <x:c r="F55" s="11" t="n">
        <x:v>11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8" customHeight="1">
      <x:c r="A56" s="2"/>
      <x:c r="B56" s="2" t="str">
        <x:v>Beauty / organic sales</x:v>
      </x:c>
      <x:c r="C56" s="18" t="n">
        <x:v>45199</x:v>
      </x:c>
      <x:c r="D56" s="18" t="n">
        <x:v>45217</x:v>
      </x:c>
      <x:c r="E56" s="11" t="n">
        <x:v>7.2648038453100305</x:v>
      </x:c>
      <x:c r="F56" s="11" t="n">
        <x:v>5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8" customHeight="1">
      <x:c r="A57" s="2"/>
      <x:c r="B57" s="2" t="str">
        <x:v>Beauty / organic sales</x:v>
      </x:c>
      <x:c r="C57" s="18" t="n">
        <x:v>45291</x:v>
      </x:c>
      <x:c r="D57" s="18" t="n">
        <x:v>45314</x:v>
      </x:c>
      <x:c r="E57" s="11" t="n">
        <x:v>9.924801573504727</x:v>
      </x:c>
      <x:c r="F57" s="11" t="n">
        <x:v>1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8" customHeight="1">
      <x:c r="A58" s="2"/>
      <x:c r="B58" s="2" t="str">
        <x:v>Beauty / organic sales</x:v>
      </x:c>
      <x:c r="C58" s="18" t="n">
        <x:v>45382</x:v>
      </x:c>
      <x:c r="D58" s="18" t="n">
        <x:v>45401</x:v>
      </x:c>
      <x:c r="E58" s="11" t="n">
        <x:v>2.22730739893211</x:v>
      </x:c>
      <x:c r="F58" s="11" t="n">
        <x:v>3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8" customHeight="1">
      <x:c r="A59" s="2"/>
      <x:c r="B59" s="2" t="str">
        <x:v>Beauty / organic sales</x:v>
      </x:c>
      <x:c r="C59" s="18" t="n">
        <x:v>45473</x:v>
      </x:c>
      <x:c r="D59" s="18" t="n">
        <x:v>45503</x:v>
      </x:c>
      <x:c r="E59" s="11" t="n">
        <x:v>0.7992745765246889</x:v>
      </x:c>
      <x:c r="F59" s="11" t="n">
        <x:v>3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8" customHeight="1">
      <x:c r="A60" s="2"/>
      <x:c r="B60" s="2" t="str">
        <x:v>Beauty / organic sales</x:v>
      </x:c>
      <x:c r="C60" s="18" t="n">
        <x:v>45565</x:v>
      </x:c>
      <x:c r="D60" s="18" t="n">
        <x:v>45583</x:v>
      </x:c>
      <x:c r="E60" s="11" t="n">
        <x:v>5.587423184552298</x:v>
      </x:c>
      <x:c r="F60" s="11" t="n">
        <x:v>-2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8" customHeight="1">
      <x:c r="A61" s="2"/>
      <x:c r="B61" s="2" t="str">
        <x:v>Beauty / organic sales</x:v>
      </x:c>
      <x:c r="C61" s="18" t="n">
        <x:v>45657</x:v>
      </x:c>
      <x:c r="D61" s="18" t="n">
        <x:v>45679</x:v>
      </x:c>
      <x:c r="E61" s="11" t="n">
        <x:v>3.121328778759791</x:v>
      </x:c>
      <x:c r="F61" s="11" t="n">
        <x:v>2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8" customHeight="1">
      <x:c r="A62" s="2"/>
      <x:c r="B62" s="2" t="str">
        <x:v>Beauty / organic sales</x:v>
      </x:c>
      <x:c r="C62" s="18" t="n">
        <x:v>45747</x:v>
      </x:c>
      <x:c r="D62" s="18" t="n">
        <x:v>45771</x:v>
      </x:c>
      <x:c r="E62" s="11" t="n">
        <x:v>8.094873899417987</x:v>
      </x:c>
      <x:c r="F62" s="11" t="n">
        <x:v>2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8" customHeight="1">
      <x:c r="A63" s="2"/>
      <x:c r="B63" s="2" t="str">
        <x:v>Beauty / organic sales</x:v>
      </x:c>
      <x:c r="C63" s="18" t="n">
        <x:v>45838</x:v>
      </x:c>
      <x:c r="D63" s="18" t="n">
        <x:v>45867</x:v>
      </x:c>
      <x:c r="E63" s="11" t="n">
        <x:v>8.972706279503285</x:v>
      </x:c>
      <x:c r="F63" s="11" t="n">
        <x:v>1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8" customHeight="1">
      <x:c r="A64" s="2"/>
      <x:c r="B64" s="2" t="str">
        <x:v>Beauty / organic sales</x:v>
      </x:c>
      <x:c r="C64" s="18" t="n">
        <x:v>45930</x:v>
      </x:c>
      <x:c r="D64" s="18" t="n">
        <x:v>45954</x:v>
      </x:c>
      <x:c r="E64" s="11" t="n">
        <x:v>6.4839354424026885</x:v>
      </x:c>
      <x:c r="F64" s="11" t="n">
        <x:v>6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8" customHeight="1">
      <x:c r="A65" s="2"/>
      <x:c r="B65" s="2" t="str">
        <x:v>Beauty / organic sales</x:v>
      </x:c>
      <x:c r="C65" s="18" t="n">
        <x:v>46022</x:v>
      </x:c>
      <x:c r="D65" s="18" t="n">
        <x:v>46045</x:v>
      </x:c>
      <x:c r="E65" s="11" t="n">
        <x:v>5.858279584969162</x:v>
      </x:c>
      <x:c r="F65" s="11" t="n">
        <x:v>4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8" customHeight="1">
      <x:c r="A66" s="2"/>
      <x:c r="B66" s="2" t="str">
        <x:v>Beauty / organic sales</x:v>
      </x:c>
      <x:c r="C66" s="18" t="n">
        <x:v>46112</x:v>
      </x:c>
      <x:c r="D66" s="18" t="n">
        <x:v>46136</x:v>
      </x:c>
      <x:c r="E66" s="11" t="n">
        <x:v>2.2175244833685603</x:v>
      </x:c>
      <x:c r="F66" s="11" t="n">
        <x:v>7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8" customHeight="1">
      <x:c r="A67" s="2"/>
      <x:c r="B67" s="2" t="str">
        <x:v>Beauty / volume</x:v>
      </x:c>
      <x:c r="C67" s="18" t="n">
        <x:v>44286</x:v>
      </x:c>
      <x:c r="D67" s="18" t="n">
        <x:v>44306</x:v>
      </x:c>
      <x:c r="E67" s="11" t="n">
        <x:v>6.575055187637968</x:v>
      </x:c>
      <x:c r="F67" s="11" t="n">
        <x:v>2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8" customHeight="1">
      <x:c r="A68" s="2"/>
      <x:c r="B68" s="2" t="str">
        <x:v>Beauty / volume</x:v>
      </x:c>
      <x:c r="C68" s="18" t="n">
        <x:v>44377</x:v>
      </x:c>
      <x:c r="D68" s="18" t="n">
        <x:v>44407</x:v>
      </x:c>
      <x:c r="E68" s="11" t="n">
        <x:v>14.016061969584781</x:v>
      </x:c>
      <x:c r="F68" s="11" t="n">
        <x:v>1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8" customHeight="1">
      <x:c r="A69" s="2"/>
      <x:c r="B69" s="2" t="str">
        <x:v>Beauty / volume</x:v>
      </x:c>
      <x:c r="C69" s="18" t="n">
        <x:v>44469</x:v>
      </x:c>
      <x:c r="D69" s="18" t="n">
        <x:v>44488</x:v>
      </x:c>
      <x:c r="E69" s="11" t="n">
        <x:v>7.004214906898576</x:v>
      </x:c>
      <x:c r="F69" s="11" t="n">
        <x:v>0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8" customHeight="1">
      <x:c r="A70" s="2"/>
      <x:c r="B70" s="2" t="str">
        <x:v>Beauty / volume</x:v>
      </x:c>
      <x:c r="C70" s="18" t="n">
        <x:v>44561</x:v>
      </x:c>
      <x:c r="D70" s="18" t="n">
        <x:v>44580</x:v>
      </x:c>
      <x:c r="E70" s="11" t="n">
        <x:v>7.099598376506089</x:v>
      </x:c>
      <x:c r="F70" s="11" t="n">
        <x:v>1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8" customHeight="1">
      <x:c r="A71" s="2"/>
      <x:c r="B71" s="2" t="str">
        <x:v>Beauty / volume</x:v>
      </x:c>
      <x:c r="C71" s="18" t="n">
        <x:v>44651</x:v>
      </x:c>
      <x:c r="D71" s="18" t="n">
        <x:v>44671</x:v>
      </x:c>
      <x:c r="E71" s="11" t="n">
        <x:v>3.598910488105478</x:v>
      </x:c>
      <x:c r="F71" s="11" t="n">
        <x:v>-1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8" customHeight="1">
      <x:c r="A72" s="2"/>
      <x:c r="B72" s="2" t="str">
        <x:v>Beauty / volume</x:v>
      </x:c>
      <x:c r="C72" s="18" t="n">
        <x:v>44742</x:v>
      </x:c>
      <x:c r="D72" s="18" t="n">
        <x:v>44771</x:v>
      </x:c>
      <x:c r="E72" s="11" t="n">
        <x:v>-0.03796621007303713</x:v>
      </x:c>
      <x:c r="F72" s="11" t="n">
        <x:v>-2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8" customHeight="1">
      <x:c r="A73" s="2"/>
      <x:c r="B73" s="2" t="str">
        <x:v>Beauty / volume</x:v>
      </x:c>
      <x:c r="C73" s="18" t="n">
        <x:v>44834</x:v>
      </x:c>
      <x:c r="D73" s="18" t="n">
        <x:v>44853</x:v>
      </x:c>
      <x:c r="E73" s="11" t="n">
        <x:v>-0.9742817539066029</x:v>
      </x:c>
      <x:c r="F73" s="11" t="n">
        <x:v>-1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8" customHeight="1">
      <x:c r="A74" s="2"/>
      <x:c r="B74" s="2" t="str">
        <x:v>Beauty / volume</x:v>
      </x:c>
      <x:c r="C74" s="18" t="n">
        <x:v>44926</x:v>
      </x:c>
      <x:c r="D74" s="18" t="n">
        <x:v>44945</x:v>
      </x:c>
      <x:c r="E74" s="11" t="n">
        <x:v>-1.708333333333334</x:v>
      </x:c>
      <x:c r="F74" s="11" t="n">
        <x:v>-4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8" customHeight="1">
      <x:c r="A75" s="2"/>
      <x:c r="B75" s="2" t="str">
        <x:v>Beauty / volume</x:v>
      </x:c>
      <x:c r="C75" s="18" t="n">
        <x:v>45016</x:v>
      </x:c>
      <x:c r="D75" s="18" t="n">
        <x:v>45037</x:v>
      </x:c>
      <x:c r="E75" s="11" t="n">
        <x:v>-0.5138355726167609</x:v>
      </x:c>
      <x:c r="F75" s="11" t="n">
        <x:v>0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8" customHeight="1">
      <x:c r="A76" s="2"/>
      <x:c r="B76" s="2" t="str">
        <x:v>Beauty / volume</x:v>
      </x:c>
      <x:c r="C76" s="18" t="n">
        <x:v>45107</x:v>
      </x:c>
      <x:c r="D76" s="18" t="n">
        <x:v>45135</x:v>
      </x:c>
      <x:c r="E76" s="11" t="n">
        <x:v>-0.38380425982749156</x:v>
      </x:c>
      <x:c r="F76" s="11" t="n">
        <x:v>-1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8" customHeight="1">
      <x:c r="A77" s="2"/>
      <x:c r="B77" s="2" t="str">
        <x:v>Beauty / volume</x:v>
      </x:c>
      <x:c r="C77" s="18" t="n">
        <x:v>45199</x:v>
      </x:c>
      <x:c r="D77" s="18" t="n">
        <x:v>45217</x:v>
      </x:c>
      <x:c r="E77" s="11" t="n">
        <x:v>1.1893013232362026</x:v>
      </x:c>
      <x:c r="F77" s="11" t="n">
        <x:v>0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8" customHeight="1">
      <x:c r="A78" s="2"/>
      <x:c r="B78" s="2" t="str">
        <x:v>Beauty / volume</x:v>
      </x:c>
      <x:c r="C78" s="18" t="n">
        <x:v>45291</x:v>
      </x:c>
      <x:c r="D78" s="18" t="n">
        <x:v>45314</x:v>
      </x:c>
      <x:c r="E78" s="11" t="n">
        <x:v>2.2255192878338326</x:v>
      </x:c>
      <x:c r="F78" s="11" t="n">
        <x:v>-1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8" customHeight="1">
      <x:c r="A79" s="2"/>
      <x:c r="B79" s="2" t="str">
        <x:v>Beauty / volume</x:v>
      </x:c>
      <x:c r="C79" s="18" t="n">
        <x:v>45382</x:v>
      </x:c>
      <x:c r="D79" s="18" t="n">
        <x:v>45401</x:v>
      </x:c>
      <x:c r="E79" s="11" t="n">
        <x:v>1.3726160091641626</x:v>
      </x:c>
      <x:c r="F79" s="11" t="n">
        <x:v>1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8" customHeight="1">
      <x:c r="A80" s="2"/>
      <x:c r="B80" s="2" t="str">
        <x:v>Beauty / volume</x:v>
      </x:c>
      <x:c r="C80" s="18" t="n">
        <x:v>45473</x:v>
      </x:c>
      <x:c r="D80" s="18" t="n">
        <x:v>45503</x:v>
      </x:c>
      <x:c r="E80" s="11" t="n">
        <x:v>2.2805943792830297</x:v>
      </x:c>
      <x:c r="F80" s="11" t="n">
        <x:v>1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8" customHeight="1">
      <x:c r="A81" s="2"/>
      <x:c r="B81" s="2" t="str">
        <x:v>Beauty / volume</x:v>
      </x:c>
      <x:c r="C81" s="18" t="n">
        <x:v>45565</x:v>
      </x:c>
      <x:c r="D81" s="18" t="n">
        <x:v>45583</x:v>
      </x:c>
      <x:c r="E81" s="11" t="n">
        <x:v>2.650199536239972</x:v>
      </x:c>
      <x:c r="F81" s="11" t="n">
        <x:v>0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8" customHeight="1">
      <x:c r="A82" s="2"/>
      <x:c r="B82" s="2" t="str">
        <x:v>Beauty / volume</x:v>
      </x:c>
      <x:c r="C82" s="18" t="n">
        <x:v>45657</x:v>
      </x:c>
      <x:c r="D82" s="18" t="n">
        <x:v>45679</x:v>
      </x:c>
      <x:c r="E82" s="11" t="n">
        <x:v>2.787239714463441</x:v>
      </x:c>
      <x:c r="F82" s="11" t="n">
        <x:v>0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8" customHeight="1">
      <x:c r="A83" s="2"/>
      <x:c r="B83" s="2" t="str">
        <x:v>Beauty / volume</x:v>
      </x:c>
      <x:c r="C83" s="18" t="n">
        <x:v>45747</x:v>
      </x:c>
      <x:c r="D83" s="18" t="n">
        <x:v>45771</x:v>
      </x:c>
      <x:c r="E83" s="11" t="n">
        <x:v>3.749851314380881</x:v>
      </x:c>
      <x:c r="F83" s="11" t="n">
        <x:v>1</x:v>
      </x:c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8" customHeight="1">
      <x:c r="A84" s="2"/>
      <x:c r="B84" s="2" t="str">
        <x:v>Beauty / volume</x:v>
      </x:c>
      <x:c r="C84" s="18" t="n">
        <x:v>45838</x:v>
      </x:c>
      <x:c r="D84" s="18" t="n">
        <x:v>45867</x:v>
      </x:c>
      <x:c r="E84" s="11" t="n">
        <x:v>3.2332744751814912</x:v>
      </x:c>
      <x:c r="F84" s="11" t="n">
        <x:v>1</x:v>
      </x:c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8" customHeight="1">
      <x:c r="A85" s="2"/>
      <x:c r="B85" s="2" t="str">
        <x:v>Beauty / volume</x:v>
      </x:c>
      <x:c r="C85" s="18" t="n">
        <x:v>45930</x:v>
      </x:c>
      <x:c r="D85" s="18" t="n">
        <x:v>45954</x:v>
      </x:c>
      <x:c r="E85" s="11" t="n">
        <x:v>2.996723091540132</x:v>
      </x:c>
      <x:c r="F85" s="11" t="n">
        <x:v>4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8" customHeight="1">
      <x:c r="A86" s="2"/>
      <x:c r="B86" s="2" t="str">
        <x:v>Beauty / volume</x:v>
      </x:c>
      <x:c r="C86" s="18" t="n">
        <x:v>46022</x:v>
      </x:c>
      <x:c r="D86" s="18" t="n">
        <x:v>46045</x:v>
      </x:c>
      <x:c r="E86" s="11" t="n">
        <x:v>2.1478108850594646</x:v>
      </x:c>
      <x:c r="F86" s="11" t="n">
        <x:v>3</x:v>
      </x:c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8" customHeight="1">
      <x:c r="A87" s="2"/>
      <x:c r="B87" s="2" t="str">
        <x:v>Beauty / pricing</x:v>
      </x:c>
      <x:c r="C87" s="18" t="n">
        <x:v>44286</x:v>
      </x:c>
      <x:c r="D87" s="18" t="n">
        <x:v>44306</x:v>
      </x:c>
      <x:c r="E87" s="11" t="n">
        <x:v>-0.41477337637689793</x:v>
      </x:c>
      <x:c r="F87" s="11" t="n">
        <x:v>2</x:v>
      </x:c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8" customHeight="1">
      <x:c r="A88" s="2"/>
      <x:c r="B88" s="2" t="str">
        <x:v>Beauty / pricing</x:v>
      </x:c>
      <x:c r="C88" s="18" t="n">
        <x:v>44377</x:v>
      </x:c>
      <x:c r="D88" s="18" t="n">
        <x:v>44407</x:v>
      </x:c>
      <x:c r="E88" s="11" t="n">
        <x:v>-0.43530780492421206</x:v>
      </x:c>
      <x:c r="F88" s="11" t="n">
        <x:v>4</x:v>
      </x:c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8" customHeight="1">
      <x:c r="A89" s="2"/>
      <x:c r="B89" s="2" t="str">
        <x:v>Beauty / pricing</x:v>
      </x:c>
      <x:c r="C89" s="18" t="n">
        <x:v>44469</x:v>
      </x:c>
      <x:c r="D89" s="18" t="n">
        <x:v>44488</x:v>
      </x:c>
      <x:c r="E89" s="11" t="n">
        <x:v>-0.5009614505874005</x:v>
      </x:c>
      <x:c r="F89" s="11" t="n">
        <x:v>2</x:v>
      </x:c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8" customHeight="1">
      <x:c r="A90" s="2"/>
      <x:c r="B90" s="2" t="str">
        <x:v>Beauty / pricing</x:v>
      </x:c>
      <x:c r="C90" s="18" t="n">
        <x:v>44561</x:v>
      </x:c>
      <x:c r="D90" s="18" t="n">
        <x:v>44580</x:v>
      </x:c>
      <x:c r="E90" s="11" t="n">
        <x:v>-0.7911991921891626</x:v>
      </x:c>
      <x:c r="F90" s="11" t="n">
        <x:v>2</x:v>
      </x:c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28" customHeight="1">
      <x:c r="A91" s="2"/>
      <x:c r="B91" s="2" t="str">
        <x:v>Beauty / pricing</x:v>
      </x:c>
      <x:c r="C91" s="18" t="n">
        <x:v>44651</x:v>
      </x:c>
      <x:c r="D91" s="18" t="n">
        <x:v>44671</x:v>
      </x:c>
      <x:c r="E91" s="11" t="n">
        <x:v>-0.7595451980275891</x:v>
      </x:c>
      <x:c r="F91" s="11" t="n">
        <x:v>4</x:v>
      </x:c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 ht="28" customHeight="1">
      <x:c r="A92" s="2"/>
      <x:c r="B92" s="2" t="str">
        <x:v>Beauty / pricing</x:v>
      </x:c>
      <x:c r="C92" s="18" t="n">
        <x:v>44742</x:v>
      </x:c>
      <x:c r="D92" s="18" t="n">
        <x:v>44771</x:v>
      </x:c>
      <x:c r="E92" s="11" t="n">
        <x:v>0.6338255218670819</x:v>
      </x:c>
      <x:c r="F92" s="11" t="n">
        <x:v>6</x:v>
      </x:c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28" customHeight="1">
      <x:c r="A93" s="2"/>
      <x:c r="B93" s="2" t="str">
        <x:v>Beauty / pricing</x:v>
      </x:c>
      <x:c r="C93" s="18" t="n">
        <x:v>44834</x:v>
      </x:c>
      <x:c r="D93" s="18" t="n">
        <x:v>44853</x:v>
      </x:c>
      <x:c r="E93" s="11" t="n">
        <x:v>3.970323328016079</x:v>
      </x:c>
      <x:c r="F93" s="11" t="n">
        <x:v>7</x:v>
      </x:c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 ht="28" customHeight="1">
      <x:c r="A94" s="2"/>
      <x:c r="B94" s="2" t="str">
        <x:v>Beauty / pricing</x:v>
      </x:c>
      <x:c r="C94" s="18" t="n">
        <x:v>44926</x:v>
      </x:c>
      <x:c r="D94" s="18" t="n">
        <x:v>44945</x:v>
      </x:c>
      <x:c r="E94" s="11" t="n">
        <x:v>5.055970500253992</x:v>
      </x:c>
      <x:c r="F94" s="11" t="n">
        <x:v>9</x:v>
      </x:c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28" customHeight="1">
      <x:c r="A95" s="2"/>
      <x:c r="B95" s="2" t="str">
        <x:v>Beauty / pricing</x:v>
      </x:c>
      <x:c r="C95" s="18" t="n">
        <x:v>45016</x:v>
      </x:c>
      <x:c r="D95" s="18" t="n">
        <x:v>45037</x:v>
      </x:c>
      <x:c r="E95" s="11" t="n">
        <x:v>4.891768434790711</x:v>
      </x:c>
      <x:c r="F95" s="11" t="n">
        <x:v>8</x:v>
      </x:c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 ht="28" customHeight="1">
      <x:c r="A96" s="2"/>
      <x:c r="B96" s="2" t="str">
        <x:v>Beauty / pricing</x:v>
      </x:c>
      <x:c r="C96" s="18" t="n">
        <x:v>45107</x:v>
      </x:c>
      <x:c r="D96" s="18" t="n">
        <x:v>45135</x:v>
      </x:c>
      <x:c r="E96" s="11" t="n">
        <x:v>5.2129322350291885</x:v>
      </x:c>
      <x:c r="F96" s="11" t="n">
        <x:v>8</x:v>
      </x:c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 ht="28" customHeight="1">
      <x:c r="A97" s="2"/>
      <x:c r="B97" s="2" t="str">
        <x:v>Beauty / pricing</x:v>
      </x:c>
      <x:c r="C97" s="18" t="n">
        <x:v>45199</x:v>
      </x:c>
      <x:c r="D97" s="18" t="n">
        <x:v>45217</x:v>
      </x:c>
      <x:c r="E97" s="11" t="n">
        <x:v>3.4916634214587683</x:v>
      </x:c>
      <x:c r="F97" s="11" t="n">
        <x:v>7</x:v>
      </x:c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 ht="28" customHeight="1">
      <x:c r="A98" s="2"/>
      <x:c r="B98" s="2" t="str">
        <x:v>Beauty / pricing</x:v>
      </x:c>
      <x:c r="C98" s="18" t="n">
        <x:v>45291</x:v>
      </x:c>
      <x:c r="D98" s="18" t="n">
        <x:v>45314</x:v>
      </x:c>
      <x:c r="E98" s="11" t="n">
        <x:v>2.5297096725668045</x:v>
      </x:c>
      <x:c r="F98" s="11" t="n">
        <x:v>4</x:v>
      </x:c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 ht="28" customHeight="1">
      <x:c r="A99" s="2"/>
      <x:c r="B99" s="2" t="str">
        <x:v>Beauty / pricing</x:v>
      </x:c>
      <x:c r="C99" s="18" t="n">
        <x:v>45382</x:v>
      </x:c>
      <x:c r="D99" s="18" t="n">
        <x:v>45401</x:v>
      </x:c>
      <x:c r="E99" s="11" t="n">
        <x:v>1.4458208241569626</x:v>
      </x:c>
      <x:c r="F99" s="11" t="n">
        <x:v>4</x:v>
      </x:c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 ht="28" customHeight="1">
      <x:c r="A100" s="2"/>
      <x:c r="B100" s="2" t="str">
        <x:v>Beauty / pricing</x:v>
      </x:c>
      <x:c r="C100" s="18" t="n">
        <x:v>45473</x:v>
      </x:c>
      <x:c r="D100" s="18" t="n">
        <x:v>45503</x:v>
      </x:c>
      <x:c r="E100" s="11" t="n">
        <x:v>0.4560551842614391</x:v>
      </x:c>
      <x:c r="F100" s="11" t="n">
        <x:v>3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 ht="28" customHeight="1">
      <x:c r="A101" s="2"/>
      <x:c r="B101" s="2" t="str">
        <x:v>Beauty / pricing</x:v>
      </x:c>
      <x:c r="C101" s="18" t="n">
        <x:v>45565</x:v>
      </x:c>
      <x:c r="D101" s="18" t="n">
        <x:v>45583</x:v>
      </x:c>
      <x:c r="E101" s="11" t="n">
        <x:v>-0.3714085127806688</x:v>
      </x:c>
      <x:c r="F101" s="11" t="n">
        <x:v>1</x:v>
      </x:c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 ht="28" customHeight="1">
      <x:c r="A102" s="2"/>
      <x:c r="B102" s="2" t="str">
        <x:v>Beauty / pricing</x:v>
      </x:c>
      <x:c r="C102" s="18" t="n">
        <x:v>45657</x:v>
      </x:c>
      <x:c r="D102" s="18" t="n">
        <x:v>45679</x:v>
      </x:c>
      <x:c r="E102" s="11" t="n">
        <x:v>-0.5082703089794416</x:v>
      </x:c>
      <x:c r="F102" s="11" t="n">
        <x:v>2</x:v>
      </x:c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 ht="28" customHeight="1">
      <x:c r="A103" s="2"/>
      <x:c r="B103" s="2" t="str">
        <x:v>Beauty / pricing</x:v>
      </x:c>
      <x:c r="C103" s="18" t="n">
        <x:v>45747</x:v>
      </x:c>
      <x:c r="D103" s="18" t="n">
        <x:v>45771</x:v>
      </x:c>
      <x:c r="E103" s="11" t="n">
        <x:v>-0.42034549280647315</x:v>
      </x:c>
      <x:c r="F103" s="11" t="n">
        <x:v>3</x:v>
      </x:c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 ht="28" customHeight="1">
      <x:c r="A104" s="2"/>
      <x:c r="B104" s="2" t="str">
        <x:v>Beauty / pricing</x:v>
      </x:c>
      <x:c r="C104" s="18" t="n">
        <x:v>45838</x:v>
      </x:c>
      <x:c r="D104" s="18" t="n">
        <x:v>45867</x:v>
      </x:c>
      <x:c r="E104" s="11" t="n">
        <x:v>0.06623166364128075</x:v>
      </x:c>
      <x:c r="F104" s="11" t="n">
        <x:v>1</x:v>
      </x:c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 ht="28" customHeight="1">
      <x:c r="A105" s="2"/>
      <x:c r="B105" s="2" t="str">
        <x:v>Beauty / pricing</x:v>
      </x:c>
      <x:c r="C105" s="18" t="n">
        <x:v>45930</x:v>
      </x:c>
      <x:c r="D105" s="18" t="n">
        <x:v>45954</x:v>
      </x:c>
      <x:c r="E105" s="11" t="n">
        <x:v>0.44640749502971033</x:v>
      </x:c>
      <x:c r="F105" s="11" t="n">
        <x:v>2</x:v>
      </x:c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 ht="28" customHeight="1">
      <x:c r="A106" s="2"/>
      <x:c r="B106" s="2" t="str">
        <x:v>Beauty / pricing</x:v>
      </x:c>
      <x:c r="C106" s="18" t="n">
        <x:v>46112</x:v>
      </x:c>
      <x:c r="D106" s="18" t="n">
        <x:v>46136</x:v>
      </x:c>
      <x:c r="E106" s="11" t="n">
        <x:v>1.6103546932900725</x:v>
      </x:c>
      <x:c r="F106" s="11" t="n">
        <x:v>1</x:v>
      </x:c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 ht="28" customHeight="1">
      <x:c r="A107" s="2"/>
      <x:c r="B107" s="2" t="str">
        <x:v>Fabric &amp; Home Care / volume</x:v>
      </x:c>
      <x:c r="C107" s="18" t="n">
        <x:v>45382</x:v>
      </x:c>
      <x:c r="D107" s="18" t="n">
        <x:v>45401</x:v>
      </x:c>
      <x:c r="E107" s="11" t="n">
        <x:v>1.3726160091641626</x:v>
      </x:c>
      <x:c r="F107" s="11" t="n">
        <x:v>1</x:v>
      </x:c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 ht="28" customHeight="1">
      <x:c r="A108" s="2"/>
      <x:c r="B108" s="2" t="str">
        <x:v>Fabric &amp; Home Care / volume</x:v>
      </x:c>
      <x:c r="C108" s="18" t="n">
        <x:v>45473</x:v>
      </x:c>
      <x:c r="D108" s="18" t="n">
        <x:v>45503</x:v>
      </x:c>
      <x:c r="E108" s="11" t="n">
        <x:v>2.2805943792830297</x:v>
      </x:c>
      <x:c r="F108" s="11" t="n">
        <x:v>3</x:v>
      </x:c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 ht="28" customHeight="1">
      <x:c r="A109" s="2"/>
      <x:c r="B109" s="2" t="str">
        <x:v>Fabric &amp; Home Care / volume</x:v>
      </x:c>
      <x:c r="C109" s="18" t="n">
        <x:v>45565</x:v>
      </x:c>
      <x:c r="D109" s="18" t="n">
        <x:v>45583</x:v>
      </x:c>
      <x:c r="E109" s="11" t="n">
        <x:v>2.650199536239972</x:v>
      </x:c>
      <x:c r="F109" s="11" t="n">
        <x:v>1</x:v>
      </x:c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 ht="28" customHeight="1">
      <x:c r="A110" s="2"/>
      <x:c r="B110" s="2" t="str">
        <x:v>Fabric &amp; Home Care / volume</x:v>
      </x:c>
      <x:c r="C110" s="18" t="n">
        <x:v>45657</x:v>
      </x:c>
      <x:c r="D110" s="18" t="n">
        <x:v>45679</x:v>
      </x:c>
      <x:c r="E110" s="11" t="n">
        <x:v>2.787239714463441</x:v>
      </x:c>
      <x:c r="F110" s="11" t="n">
        <x:v>2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 ht="28" customHeight="1">
      <x:c r="A111" s="2"/>
      <x:c r="B111" s="2" t="str">
        <x:v>Fabric &amp; Home Care / volume</x:v>
      </x:c>
      <x:c r="C111" s="18" t="n">
        <x:v>45747</x:v>
      </x:c>
      <x:c r="D111" s="18" t="n">
        <x:v>45771</x:v>
      </x:c>
      <x:c r="E111" s="11" t="n">
        <x:v>3.749851314380881</x:v>
      </x:c>
      <x:c r="F111" s="11" t="n">
        <x:v>0</x:v>
      </x:c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8" customHeight="1">
      <x:c r="A112" s="2"/>
      <x:c r="B112" s="2" t="str">
        <x:v>Fabric &amp; Home Care / volume</x:v>
      </x:c>
      <x:c r="C112" s="18" t="n">
        <x:v>45838</x:v>
      </x:c>
      <x:c r="D112" s="18" t="n">
        <x:v>45867</x:v>
      </x:c>
      <x:c r="E112" s="11" t="n">
        <x:v>3.2332744751814912</x:v>
      </x:c>
      <x:c r="F112" s="11" t="n">
        <x:v>0</x:v>
      </x:c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8" customHeight="1">
      <x:c r="A113" s="2"/>
      <x:c r="B113" s="2" t="str">
        <x:v>Fabric &amp; Home Care / volume</x:v>
      </x:c>
      <x:c r="C113" s="18" t="n">
        <x:v>45930</x:v>
      </x:c>
      <x:c r="D113" s="18" t="n">
        <x:v>45954</x:v>
      </x:c>
      <x:c r="E113" s="11" t="n">
        <x:v>2.996723091540132</x:v>
      </x:c>
      <x:c r="F113" s="11" t="n">
        <x:v>-2</x:v>
      </x:c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28" customHeight="1">
      <x:c r="A114" s="2"/>
      <x:c r="B114" s="2" t="str">
        <x:v>Fabric &amp; Home Care / volume</x:v>
      </x:c>
      <x:c r="C114" s="18" t="n">
        <x:v>46022</x:v>
      </x:c>
      <x:c r="D114" s="18" t="n">
        <x:v>46045</x:v>
      </x:c>
      <x:c r="E114" s="11" t="n">
        <x:v>2.1478108850594646</x:v>
      </x:c>
      <x:c r="F114" s="11" t="n">
        <x:v>0</x:v>
      </x:c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8" customHeight="1">
      <x:c r="A115" s="2"/>
      <x:c r="B115" s="2" t="str">
        <x:v>Health Care / pricing</x:v>
      </x:c>
      <x:c r="C115" s="18" t="n">
        <x:v>44286</x:v>
      </x:c>
      <x:c r="D115" s="18" t="n">
        <x:v>44306</x:v>
      </x:c>
      <x:c r="E115" s="11" t="n">
        <x:v>-0.3577033906046245</x:v>
      </x:c>
      <x:c r="F115" s="11" t="n">
        <x:v>0</x:v>
      </x:c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8" customHeight="1">
      <x:c r="A116" s="2"/>
      <x:c r="B116" s="2" t="str">
        <x:v>Health Care / pricing</x:v>
      </x:c>
      <x:c r="C116" s="18" t="n">
        <x:v>44377</x:v>
      </x:c>
      <x:c r="D116" s="18" t="n">
        <x:v>44407</x:v>
      </x:c>
      <x:c r="E116" s="11" t="n">
        <x:v>-0.2202606487071601</x:v>
      </x:c>
      <x:c r="F116" s="11" t="n">
        <x:v>1</x:v>
      </x:c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8" customHeight="1">
      <x:c r="A117" s="2"/>
      <x:c r="B117" s="2" t="str">
        <x:v>Health Care / pricing</x:v>
      </x:c>
      <x:c r="C117" s="18" t="n">
        <x:v>44469</x:v>
      </x:c>
      <x:c r="D117" s="18" t="n">
        <x:v>44488</x:v>
      </x:c>
      <x:c r="E117" s="11" t="n">
        <x:v>-0.33137395300817385</x:v>
      </x:c>
      <x:c r="F117" s="11" t="n">
        <x:v>1</x:v>
      </x:c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8" customHeight="1">
      <x:c r="A118" s="2"/>
      <x:c r="B118" s="2" t="str">
        <x:v>Health Care / pricing</x:v>
      </x:c>
      <x:c r="C118" s="18" t="n">
        <x:v>44561</x:v>
      </x:c>
      <x:c r="D118" s="18" t="n">
        <x:v>44580</x:v>
      </x:c>
      <x:c r="E118" s="11" t="n">
        <x:v>0.031151475618229618</x:v>
      </x:c>
      <x:c r="F118" s="11" t="n">
        <x:v>1</x:v>
      </x:c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8" customHeight="1">
      <x:c r="A119" s="2"/>
      <x:c r="B119" s="2" t="str">
        <x:v>Health Care / pricing</x:v>
      </x:c>
      <x:c r="C119" s="18" t="n">
        <x:v>44651</x:v>
      </x:c>
      <x:c r="D119" s="18" t="n">
        <x:v>44671</x:v>
      </x:c>
      <x:c r="E119" s="11" t="n">
        <x:v>1.0280001916822323</x:v>
      </x:c>
      <x:c r="F119" s="11" t="n">
        <x:v>3</x:v>
      </x:c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8" customHeight="1">
      <x:c r="A120" s="2"/>
      <x:c r="B120" s="2" t="str">
        <x:v>Health Care / pricing</x:v>
      </x:c>
      <x:c r="C120" s="18" t="n">
        <x:v>44742</x:v>
      </x:c>
      <x:c r="D120" s="18" t="n">
        <x:v>44771</x:v>
      </x:c>
      <x:c r="E120" s="11" t="n">
        <x:v>2.912272941608496</x:v>
      </x:c>
      <x:c r="F120" s="11" t="n">
        <x:v>5</x:v>
      </x:c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 ht="28" customHeight="1">
      <x:c r="A121" s="2"/>
      <x:c r="B121" s="2" t="str">
        <x:v>Health Care / pricing</x:v>
      </x:c>
      <x:c r="C121" s="18" t="n">
        <x:v>44834</x:v>
      </x:c>
      <x:c r="D121" s="18" t="n">
        <x:v>44853</x:v>
      </x:c>
      <x:c r="E121" s="11" t="n">
        <x:v>5.850277341531052</x:v>
      </x:c>
      <x:c r="F121" s="11" t="n">
        <x:v>6</x:v>
      </x:c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 ht="28" customHeight="1">
      <x:c r="A122" s="2"/>
      <x:c r="B122" s="2" t="str">
        <x:v>Health Care / pricing</x:v>
      </x:c>
      <x:c r="C122" s="18" t="n">
        <x:v>44926</x:v>
      </x:c>
      <x:c r="D122" s="18" t="n">
        <x:v>44945</x:v>
      </x:c>
      <x:c r="E122" s="11" t="n">
        <x:v>7.25603345755208</x:v>
      </x:c>
      <x:c r="F122" s="11" t="n">
        <x:v>5</x:v>
      </x:c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 ht="28" customHeight="1">
      <x:c r="A123" s="2"/>
      <x:c r="B123" s="2" t="str">
        <x:v>Health Care / pricing</x:v>
      </x:c>
      <x:c r="C123" s="18" t="n">
        <x:v>45016</x:v>
      </x:c>
      <x:c r="D123" s="18" t="n">
        <x:v>45037</x:v>
      </x:c>
      <x:c r="E123" s="11" t="n">
        <x:v>6.77239402344838</x:v>
      </x:c>
      <x:c r="F123" s="11" t="n">
        <x:v>6</x:v>
      </x:c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 ht="28" customHeight="1">
      <x:c r="A124" s="2"/>
      <x:c r="B124" s="2" t="str">
        <x:v>Health Care / pricing</x:v>
      </x:c>
      <x:c r="C124" s="18" t="n">
        <x:v>45107</x:v>
      </x:c>
      <x:c r="D124" s="18" t="n">
        <x:v>45135</x:v>
      </x:c>
      <x:c r="E124" s="11" t="n">
        <x:v>7.05822723217906</x:v>
      </x:c>
      <x:c r="F124" s="11" t="n">
        <x:v>6</x:v>
      </x:c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 ht="28" customHeight="1">
      <x:c r="A125" s="2"/>
      <x:c r="B125" s="2" t="str">
        <x:v>Health Care / pricing</x:v>
      </x:c>
      <x:c r="C125" s="18" t="n">
        <x:v>45199</x:v>
      </x:c>
      <x:c r="D125" s="18" t="n">
        <x:v>45217</x:v>
      </x:c>
      <x:c r="E125" s="11" t="n">
        <x:v>5.4935927157217845</x:v>
      </x:c>
      <x:c r="F125" s="11" t="n">
        <x:v>6</x:v>
      </x:c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 ht="28" customHeight="1">
      <x:c r="A126" s="2"/>
      <x:c r="B126" s="2" t="str">
        <x:v>Health Care / pricing</x:v>
      </x:c>
      <x:c r="C126" s="18" t="n">
        <x:v>45291</x:v>
      </x:c>
      <x:c r="D126" s="18" t="n">
        <x:v>45314</x:v>
      </x:c>
      <x:c r="E126" s="11" t="n">
        <x:v>4.212216519153356</x:v>
      </x:c>
      <x:c r="F126" s="11" t="n">
        <x:v>5</x:v>
      </x:c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 ht="28" customHeight="1">
      <x:c r="A127" s="2"/>
      <x:c r="B127" s="2" t="str">
        <x:v>Health Care / pricing</x:v>
      </x:c>
      <x:c r="C127" s="18" t="n">
        <x:v>45382</x:v>
      </x:c>
      <x:c r="D127" s="18" t="n">
        <x:v>45401</x:v>
      </x:c>
      <x:c r="E127" s="11" t="n">
        <x:v>3.636809635836169</x:v>
      </x:c>
      <x:c r="F127" s="11" t="n">
        <x:v>4</x:v>
      </x:c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 ht="28" customHeight="1">
      <x:c r="A128" s="2"/>
      <x:c r="B128" s="2" t="str">
        <x:v>Health Care / pricing</x:v>
      </x:c>
      <x:c r="C128" s="18" t="n">
        <x:v>45473</x:v>
      </x:c>
      <x:c r="D128" s="18" t="n">
        <x:v>45503</x:v>
      </x:c>
      <x:c r="E128" s="11" t="n">
        <x:v>1.6547550061168037</x:v>
      </x:c>
      <x:c r="F128" s="11" t="n">
        <x:v>2</x:v>
      </x:c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 ht="28" customHeight="1">
      <x:c r="A129" s="2"/>
      <x:c r="B129" s="2" t="str">
        <x:v>Health Care / pricing</x:v>
      </x:c>
      <x:c r="C129" s="18" t="n">
        <x:v>45565</x:v>
      </x:c>
      <x:c r="D129" s="18" t="n">
        <x:v>45583</x:v>
      </x:c>
      <x:c r="E129" s="11" t="n">
        <x:v>0.373301115227731</x:v>
      </x:c>
      <x:c r="F129" s="11" t="n">
        <x:v>1</x:v>
      </x:c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 ht="28" customHeight="1">
      <x:c r="A130" s="2"/>
      <x:c r="B130" s="2" t="str">
        <x:v>Health Care / pricing</x:v>
      </x:c>
      <x:c r="C130" s="18" t="n">
        <x:v>45657</x:v>
      </x:c>
      <x:c r="D130" s="18" t="n">
        <x:v>45679</x:v>
      </x:c>
      <x:c r="E130" s="11" t="n">
        <x:v>0.341068456777438</x:v>
      </x:c>
      <x:c r="F130" s="11" t="n">
        <x:v>1</x:v>
      </x:c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 ht="28" customHeight="1">
      <x:c r="A131" s="2"/>
      <x:c r="B131" s="2" t="str">
        <x:v>Health Care / pricing</x:v>
      </x:c>
      <x:c r="C131" s="18" t="n">
        <x:v>45747</x:v>
      </x:c>
      <x:c r="D131" s="18" t="n">
        <x:v>45771</x:v>
      </x:c>
      <x:c r="E131" s="11" t="n">
        <x:v>0.23594619830289432</x:v>
      </x:c>
      <x:c r="F131" s="11" t="n">
        <x:v>1</x:v>
      </x:c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 ht="28" customHeight="1">
      <x:c r="A132" s="2"/>
      <x:c r="B132" s="2" t="str">
        <x:v>Health Care / pricing</x:v>
      </x:c>
      <x:c r="C132" s="18" t="n">
        <x:v>45838</x:v>
      </x:c>
      <x:c r="D132" s="18" t="n">
        <x:v>45867</x:v>
      </x:c>
      <x:c r="E132" s="11" t="n">
        <x:v>0.5057825004843641</x:v>
      </x:c>
      <x:c r="F132" s="11" t="n">
        <x:v>1</x:v>
      </x:c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 ht="28" customHeight="1">
      <x:c r="A133" s="2"/>
      <x:c r="B133" s="2" t="str">
        <x:v>Health Care / pricing</x:v>
      </x:c>
      <x:c r="C133" s="18" t="n">
        <x:v>45930</x:v>
      </x:c>
      <x:c r="D133" s="18" t="n">
        <x:v>45954</x:v>
      </x:c>
      <x:c r="E133" s="11" t="n">
        <x:v>1.0082264270475205</x:v>
      </x:c>
      <x:c r="F133" s="11" t="n">
        <x:v>1</x:v>
      </x:c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 ht="28" customHeight="1">
      <x:c r="A134" s="2"/>
      <x:c r="B134" s="2" t="str">
        <x:v>Health Care / pricing</x:v>
      </x:c>
      <x:c r="C134" s="18" t="n">
        <x:v>46112</x:v>
      </x:c>
      <x:c r="D134" s="18" t="n">
        <x:v>46136</x:v>
      </x:c>
      <x:c r="E134" s="11" t="n">
        <x:v>1.9491325309717533</x:v>
      </x:c>
      <x:c r="F134" s="11" t="n">
        <x:v>2</x:v>
      </x:c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 ht="28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 ht="28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 ht="28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 ht="28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 ht="28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20" hidden="0" customWidth="1"/>
    <x:col min="4" max="4" width="21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2"/>
      <x:c r="B2" s="3" t="str">
        <x:v>Estimate April–June with data available on 24 April</x:v>
      </x:c>
      <x:c r="C2" s="2"/>
      <x:c r="D2" s="2"/>
      <x:c r="E2" s="2"/>
      <x:c r="F2" s="2"/>
      <x:c r="G2" s="2"/>
    </x:row>
    <x:row r="3" ht="28" customHeight="1">
      <x:c r="A3" s="2"/>
      <x:c r="B3" s="2"/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46" customHeight="1">
      <x:c r="A5" s="2"/>
      <x:c r="B5" s="7" t="str">
        <x:v>Market series</x:v>
      </x:c>
      <x:c r="C5" s="7" t="str">
        <x:v>Method</x:v>
      </x:c>
      <x:c r="D5" s="7" t="str">
        <x:v>Latest month</x:v>
      </x:c>
      <x:c r="E5" s="7" t="str">
        <x:v>Quarter growth %</x:v>
      </x:c>
      <x:c r="F5" s="2"/>
      <x:c r="G5" s="2"/>
      <x:c r="H5" t="str">
        <x:v>Recent YoY average %</x:v>
      </x:c>
    </x:row>
    <x:row r="6" ht="28" customHeight="1">
      <x:c r="A6" s="2"/>
      <x:c r="B6" s="2" t="str">
        <x:v>PCENDC96</x:v>
      </x:c>
      <x:c r="C6" s="2" t="str">
        <x:v>YoY carry</x:v>
      </x:c>
      <x:c r="D6" s="12" t="n">
        <x:v>46054</x:v>
      </x:c>
      <x:c r="E6" s="11" t="n">
        <x:f>E19</x:f>
        <x:v>1.3039748661953787</x:v>
      </x:c>
      <x:c r="F6" s="2"/>
      <x:c r="G6" s="2"/>
      <x:c r="H6" s="17" t="n">
        <x:f>AVERAGE((Sources!D98/Sources!D86-1)*100,(Sources!D99/Sources!D87-1)*100,(Sources!D100/Sources!D88-1)*100)</x:f>
        <x:v>1.3039748661953714</x:v>
      </x:c>
    </x:row>
    <x:row r="7" ht="28" customHeight="1">
      <x:c r="A7" s="2"/>
      <x:c r="B7" s="2" t="str">
        <x:v>RSHPCS</x:v>
      </x:c>
      <x:c r="C7" s="2" t="str">
        <x:v>Flat level</x:v>
      </x:c>
      <x:c r="D7" s="12" t="n">
        <x:v>46082</x:v>
      </x:c>
      <x:c r="E7" s="11" t="n">
        <x:f>E26</x:f>
        <x:v>1.7837994246906463</x:v>
      </x:c>
      <x:c r="F7" s="2"/>
      <x:c r="G7" s="2"/>
      <x:c r="H7" s="17" t="n">
        <x:f>AVERAGE((Sources!D173/Sources!D161-1)*100,(Sources!D174/Sources!D162-1)*100,(Sources!D175/Sources!D163-1)*100)</x:f>
        <x:v>2.225766719088044</x:v>
      </x:c>
    </x:row>
    <x:row r="8" ht="28" customHeight="1">
      <x:c r="A8" s="2"/>
      <x:c r="B8" s="2" t="str">
        <x:v>CUUR0000SEGB02</x:v>
      </x:c>
      <x:c r="C8" s="2" t="str">
        <x:v>Flat level</x:v>
      </x:c>
      <x:c r="D8" s="12" t="n">
        <x:v>46082</x:v>
      </x:c>
      <x:c r="E8" s="11" t="n">
        <x:f>E33</x:f>
        <x:v>1.578877328393169</x:v>
      </x:c>
      <x:c r="F8" s="2"/>
      <x:c r="G8" s="2"/>
      <x:c r="H8" s="17" t="n">
        <x:f>AVERAGE((Sources!D247/Sources!D236-1)*100,(Sources!D248/Sources!D237-1)*100,(Sources!D249/Sources!D238-1)*100)</x:f>
        <x:v>1.610121987359155</x:v>
      </x:c>
    </x:row>
    <x:row r="9" ht="28" customHeight="1">
      <x:c r="A9" s="2"/>
      <x:c r="B9" s="2" t="str">
        <x:v>CUUR0000SEGB</x:v>
      </x:c>
      <x:c r="C9" s="2" t="str">
        <x:v>Flat level</x:v>
      </x:c>
      <x:c r="D9" s="12" t="n">
        <x:v>46082</x:v>
      </x:c>
      <x:c r="E9" s="11" t="n">
        <x:f>E40</x:f>
        <x:v>2.183289558800894</x:v>
      </x:c>
      <x:c r="F9" s="2"/>
      <x:c r="G9" s="2"/>
      <x:c r="H9" s="17" t="n">
        <x:f>AVERAGE((Sources!D321/Sources!D310-1)*100,(Sources!D322/Sources!D311-1)*100,(Sources!D323/Sources!D312-1)*100)</x:f>
        <x:v>1.9489516102333182</x:v>
      </x:c>
    </x:row>
    <x:row r="10" ht="28" customHeight="1">
      <x:c r="A10" s="2"/>
      <x:c r="B10" s="2"/>
      <x:c r="C10" s="2"/>
      <x:c r="D10" s="2"/>
      <x:c r="E10" s="2"/>
      <x:c r="F10" s="2"/>
      <x:c r="G10" s="2"/>
    </x:row>
    <x:row r="11" ht="28" customHeight="1">
      <x:c r="A11" s="2"/>
      <x:c r="B11" s="2" t="str">
        <x:v>No April, May or June market actual is used. Consumption was available only through February.</x:v>
      </x:c>
      <x:c r="C11" s="2"/>
      <x:c r="D11" s="2"/>
      <x:c r="E11" s="2"/>
      <x:c r="F11" s="2"/>
      <x:c r="G11" s="2"/>
    </x:row>
    <x:row r="12" ht="28" customHeight="1">
      <x:c r="A12" s="2"/>
      <x:c r="B12" s="2"/>
      <x:c r="C12" s="2"/>
      <x:c r="D12" s="2"/>
      <x:c r="E12" s="2"/>
      <x:c r="F12" s="2"/>
      <x:c r="G12" s="2"/>
    </x:row>
    <x:row r="13" ht="28" customHeight="1">
      <x:c r="A13" s="2"/>
      <x:c r="B13" s="2"/>
      <x:c r="C13" s="2"/>
      <x:c r="D13" s="2"/>
      <x:c r="E13" s="2"/>
      <x:c r="F13" s="2"/>
      <x:c r="G13" s="2"/>
    </x:row>
    <x:row r="14" ht="28" customHeight="1">
      <x:c r="A14" s="2"/>
      <x:c r="B14" s="2" t="str">
        <x:v>PCENDC96</x:v>
      </x:c>
      <x:c r="C14" s="2"/>
      <x:c r="D14" s="2"/>
      <x:c r="E14" s="2"/>
      <x:c r="F14" s="2"/>
      <x:c r="G14" s="2"/>
    </x:row>
    <x:row r="15" ht="46" customHeight="1">
      <x:c r="A15" s="2"/>
      <x:c r="B15" s="7" t="str">
        <x:v>Target month</x:v>
      </x:c>
      <x:c r="C15" s="7" t="str">
        <x:v>Prior-year level</x:v>
      </x:c>
      <x:c r="D15" s="7" t="str">
        <x:v>Latest actual level</x:v>
      </x:c>
      <x:c r="E15" s="7" t="str">
        <x:v>Forecast level</x:v>
      </x:c>
      <x:c r="F15" s="7" t="str">
        <x:v>Growth vs prior year</x:v>
      </x:c>
      <x:c r="G15" s="2"/>
    </x:row>
    <x:row r="16" ht="28" customHeight="1">
      <x:c r="A16" s="2"/>
      <x:c r="B16" s="12" t="n">
        <x:v>46113</x:v>
      </x:c>
      <x:c r="C16" s="11" t="n">
        <x:f>Sources!D90</x:f>
        <x:v>3502.5</x:v>
      </x:c>
      <x:c r="D16" s="11" t="n">
        <x:f>Sources!D100</x:f>
        <x:v>3521.4</x:v>
      </x:c>
      <x:c r="E16" s="11" t="n">
        <x:f>C16*(1+$H$6/100)</x:f>
        <x:v>3548.1717196884933</x:v>
      </x:c>
      <x:c r="F16" s="11" t="n">
        <x:f>100*(E16/C16-1)</x:f>
        <x:v>1.3039748661953787</x:v>
      </x:c>
      <x:c r="G16" s="2"/>
    </x:row>
    <x:row r="17" ht="28" customHeight="1">
      <x:c r="A17" s="2"/>
      <x:c r="B17" s="12" t="n">
        <x:v>46143</x:v>
      </x:c>
      <x:c r="C17" s="11" t="n">
        <x:f>Sources!D91</x:f>
        <x:v>3498.3</x:v>
      </x:c>
      <x:c r="D17" s="11" t="n">
        <x:f>Sources!D100</x:f>
        <x:v>3521.4</x:v>
      </x:c>
      <x:c r="E17" s="11" t="n">
        <x:f>C17*(1+$H$6/100)</x:f>
        <x:v>3543.916952744113</x:v>
      </x:c>
      <x:c r="F17" s="11" t="n">
        <x:f>100*(E17/C17-1)</x:f>
        <x:v>1.3039748661953787</x:v>
      </x:c>
      <x:c r="G17" s="2"/>
    </x:row>
    <x:row r="18" ht="28" customHeight="1">
      <x:c r="A18" s="2"/>
      <x:c r="B18" s="12" t="n">
        <x:v>46174</x:v>
      </x:c>
      <x:c r="C18" s="11" t="n">
        <x:f>Sources!D92</x:f>
        <x:v>3522.8</x:v>
      </x:c>
      <x:c r="D18" s="11" t="n">
        <x:f>Sources!D100</x:f>
        <x:v>3521.4</x:v>
      </x:c>
      <x:c r="E18" s="11" t="n">
        <x:f>C18*(1+$H$6/100)</x:f>
        <x:v>3568.736426586331</x:v>
      </x:c>
      <x:c r="F18" s="11" t="n">
        <x:f>100*(E18/C18-1)</x:f>
        <x:v>1.3039748661953787</x:v>
      </x:c>
      <x:c r="G18" s="2"/>
    </x:row>
    <x:row r="19" ht="28" customHeight="1">
      <x:c r="A19" s="2"/>
      <x:c r="B19" s="2" t="str">
        <x:v>Quarter YoY %</x:v>
      </x:c>
      <x:c r="C19" s="11"/>
      <x:c r="D19" s="11"/>
      <x:c r="E19" s="11" t="n">
        <x:f>100*(SUM(E16:E18)/SUM(C16:C18)-1)</x:f>
        <x:v>1.3039748661953787</x:v>
      </x:c>
      <x:c r="F19" s="11"/>
      <x:c r="G19" s="2"/>
    </x:row>
    <x:row r="20" ht="28" customHeight="1">
      <x:c r="A20" s="2"/>
      <x:c r="B20" s="2"/>
      <x:c r="C20" s="2"/>
      <x:c r="D20" s="2"/>
      <x:c r="E20" s="2"/>
      <x:c r="F20" s="2"/>
      <x:c r="G20" s="2"/>
    </x:row>
    <x:row r="21" ht="28" customHeight="1">
      <x:c r="A21" s="2"/>
      <x:c r="B21" s="2" t="str">
        <x:v>RSHPCS</x:v>
      </x:c>
      <x:c r="C21" s="2"/>
      <x:c r="D21" s="2"/>
      <x:c r="E21" s="2"/>
      <x:c r="F21" s="2"/>
      <x:c r="G21" s="2"/>
    </x:row>
    <x:row r="22" ht="46" customHeight="1">
      <x:c r="A22" s="2"/>
      <x:c r="B22" s="7" t="str">
        <x:v>Target month</x:v>
      </x:c>
      <x:c r="C22" s="7" t="str">
        <x:v>Prior-year level</x:v>
      </x:c>
      <x:c r="D22" s="7" t="str">
        <x:v>Latest actual level</x:v>
      </x:c>
      <x:c r="E22" s="7" t="str">
        <x:v>Forecast level</x:v>
      </x:c>
      <x:c r="F22" s="7" t="str">
        <x:v>Growth vs prior year</x:v>
      </x:c>
      <x:c r="G22" s="2"/>
    </x:row>
    <x:row r="23" ht="28" customHeight="1">
      <x:c r="A23" s="2"/>
      <x:c r="B23" s="12" t="n">
        <x:v>46113</x:v>
      </x:c>
      <x:c r="C23" s="11" t="n">
        <x:f>Sources!D164</x:f>
        <x:v>38881</x:v>
      </x:c>
      <x:c r="D23" s="11" t="n">
        <x:f>Sources!D175</x:f>
        <x:v>39866</x:v>
      </x:c>
      <x:c r="E23" s="11" t="n">
        <x:f>D23</x:f>
        <x:v>39866</x:v>
      </x:c>
      <x:c r="F23" s="11" t="n">
        <x:f>100*(E23/C23-1)</x:f>
        <x:v>2.533371055271205</x:v>
      </x:c>
      <x:c r="G23" s="2"/>
    </x:row>
    <x:row r="24" ht="28" customHeight="1">
      <x:c r="A24" s="2"/>
      <x:c r="B24" s="12" t="n">
        <x:v>46143</x:v>
      </x:c>
      <x:c r="C24" s="11" t="n">
        <x:f>Sources!D165</x:f>
        <x:v>39104</x:v>
      </x:c>
      <x:c r="D24" s="11" t="n">
        <x:f>Sources!D175</x:f>
        <x:v>39866</x:v>
      </x:c>
      <x:c r="E24" s="11" t="n">
        <x:f>D24</x:f>
        <x:v>39866</x:v>
      </x:c>
      <x:c r="F24" s="11" t="n">
        <x:f>100*(E24/C24-1)</x:f>
        <x:v>1.9486497545008197</x:v>
      </x:c>
      <x:c r="G24" s="2"/>
    </x:row>
    <x:row r="25" ht="28" customHeight="1">
      <x:c r="A25" s="2"/>
      <x:c r="B25" s="12" t="n">
        <x:v>46174</x:v>
      </x:c>
      <x:c r="C25" s="11" t="n">
        <x:f>Sources!D166</x:f>
        <x:v>39517</x:v>
      </x:c>
      <x:c r="D25" s="11" t="n">
        <x:f>Sources!D175</x:f>
        <x:v>39866</x:v>
      </x:c>
      <x:c r="E25" s="11" t="n">
        <x:f>D25</x:f>
        <x:v>39866</x:v>
      </x:c>
      <x:c r="F25" s="11" t="n">
        <x:f>100*(E25/C25-1)</x:f>
        <x:v>0.8831642078092949</x:v>
      </x:c>
      <x:c r="G25" s="2"/>
    </x:row>
    <x:row r="26" ht="28" customHeight="1">
      <x:c r="A26" s="2"/>
      <x:c r="B26" s="2" t="str">
        <x:v>Quarter YoY %</x:v>
      </x:c>
      <x:c r="C26" s="11"/>
      <x:c r="D26" s="11"/>
      <x:c r="E26" s="11" t="n">
        <x:f>100*(SUM(E23:E25)/SUM(C23:C25)-1)</x:f>
        <x:v>1.7837994246906463</x:v>
      </x:c>
      <x:c r="F26" s="11"/>
      <x:c r="G26" s="2"/>
    </x:row>
    <x:row r="27" ht="28" customHeight="1">
      <x:c r="A27" s="2"/>
      <x:c r="B27" s="2"/>
      <x:c r="C27" s="2"/>
      <x:c r="D27" s="2"/>
      <x:c r="E27" s="2"/>
      <x:c r="F27" s="2"/>
      <x:c r="G27" s="2"/>
    </x:row>
    <x:row r="28" ht="28" customHeight="1">
      <x:c r="A28" s="2"/>
      <x:c r="B28" s="2" t="str">
        <x:v>CUUR0000SEGB02</x:v>
      </x:c>
      <x:c r="C28" s="2"/>
      <x:c r="D28" s="2"/>
      <x:c r="E28" s="2"/>
      <x:c r="F28" s="2"/>
      <x:c r="G28" s="2"/>
    </x:row>
    <x:row r="29" ht="46" customHeight="1">
      <x:c r="A29" s="2"/>
      <x:c r="B29" s="7" t="str">
        <x:v>Target month</x:v>
      </x:c>
      <x:c r="C29" s="7" t="str">
        <x:v>Prior-year level</x:v>
      </x:c>
      <x:c r="D29" s="7" t="str">
        <x:v>Latest actual level</x:v>
      </x:c>
      <x:c r="E29" s="7" t="str">
        <x:v>Forecast level</x:v>
      </x:c>
      <x:c r="F29" s="7" t="str">
        <x:v>Growth vs prior year</x:v>
      </x:c>
      <x:c r="G29" s="2"/>
    </x:row>
    <x:row r="30" ht="28" customHeight="1">
      <x:c r="A30" s="2"/>
      <x:c r="B30" s="12" t="n">
        <x:v>46113</x:v>
      </x:c>
      <x:c r="C30" s="11" t="n">
        <x:f>Sources!D239</x:f>
        <x:v>190.631</x:v>
      </x:c>
      <x:c r="D30" s="11" t="n">
        <x:f>Sources!D249</x:f>
        <x:v>193.373</x:v>
      </x:c>
      <x:c r="E30" s="11" t="n">
        <x:f>D30</x:f>
        <x:v>193.373</x:v>
      </x:c>
      <x:c r="F30" s="11" t="n">
        <x:f>100*(E30/C30-1)</x:f>
        <x:v>1.4383809558781158</x:v>
      </x:c>
      <x:c r="G30" s="2"/>
    </x:row>
    <x:row r="31" ht="28" customHeight="1">
      <x:c r="A31" s="2"/>
      <x:c r="B31" s="12" t="n">
        <x:v>46143</x:v>
      </x:c>
      <x:c r="C31" s="11" t="n">
        <x:f>Sources!D240</x:f>
        <x:v>189.399</x:v>
      </x:c>
      <x:c r="D31" s="11" t="n">
        <x:f>Sources!D249</x:f>
        <x:v>193.373</x:v>
      </x:c>
      <x:c r="E31" s="11" t="n">
        <x:f>D31</x:f>
        <x:v>193.373</x:v>
      </x:c>
      <x:c r="F31" s="11" t="n">
        <x:f>100*(E31/C31-1)</x:f>
        <x:v>2.098215935670189</x:v>
      </x:c>
      <x:c r="G31" s="2"/>
    </x:row>
    <x:row r="32" ht="28" customHeight="1">
      <x:c r="A32" s="2"/>
      <x:c r="B32" s="12" t="n">
        <x:v>46174</x:v>
      </x:c>
      <x:c r="C32" s="11" t="n">
        <x:f>Sources!D241</x:f>
        <x:v>191.072</x:v>
      </x:c>
      <x:c r="D32" s="11" t="n">
        <x:f>Sources!D249</x:f>
        <x:v>193.373</x:v>
      </x:c>
      <x:c r="E32" s="11" t="n">
        <x:f>D32</x:f>
        <x:v>193.373</x:v>
      </x:c>
      <x:c r="F32" s="11" t="n">
        <x:f>100*(E32/C32-1)</x:f>
        <x:v>1.204258080723486</x:v>
      </x:c>
      <x:c r="G32" s="2"/>
    </x:row>
    <x:row r="33" ht="28" customHeight="1">
      <x:c r="A33" s="2"/>
      <x:c r="B33" s="2" t="str">
        <x:v>Quarter YoY %</x:v>
      </x:c>
      <x:c r="C33" s="11"/>
      <x:c r="D33" s="11"/>
      <x:c r="E33" s="11" t="n">
        <x:f>100*(SUM(E30:E32)/SUM(C30:C32)-1)</x:f>
        <x:v>1.578877328393169</x:v>
      </x:c>
      <x:c r="F33" s="11"/>
      <x:c r="G33" s="2"/>
    </x:row>
    <x:row r="34" ht="28" customHeight="1">
      <x:c r="A34" s="2"/>
      <x:c r="B34" s="2"/>
      <x:c r="C34" s="2"/>
      <x:c r="D34" s="2"/>
      <x:c r="E34" s="2"/>
      <x:c r="F34" s="2"/>
      <x:c r="G34" s="2"/>
    </x:row>
    <x:row r="35" ht="28" customHeight="1">
      <x:c r="A35" s="2"/>
      <x:c r="B35" s="2" t="str">
        <x:v>CUUR0000SEGB</x:v>
      </x:c>
      <x:c r="C35" s="2"/>
      <x:c r="D35" s="2"/>
      <x:c r="E35" s="2"/>
      <x:c r="F35" s="2"/>
      <x:c r="G35" s="2"/>
    </x:row>
    <x:row r="36" ht="46" customHeight="1">
      <x:c r="A36" s="2"/>
      <x:c r="B36" s="7" t="str">
        <x:v>Target month</x:v>
      </x:c>
      <x:c r="C36" s="7" t="str">
        <x:v>Prior-year level</x:v>
      </x:c>
      <x:c r="D36" s="7" t="str">
        <x:v>Latest actual level</x:v>
      </x:c>
      <x:c r="E36" s="7" t="str">
        <x:v>Forecast level</x:v>
      </x:c>
      <x:c r="F36" s="7" t="str">
        <x:v>Growth vs prior year</x:v>
      </x:c>
      <x:c r="G36" s="2"/>
    </x:row>
    <x:row r="37" ht="28" customHeight="1">
      <x:c r="A37" s="2"/>
      <x:c r="B37" s="12" t="n">
        <x:v>46113</x:v>
      </x:c>
      <x:c r="C37" s="11" t="n">
        <x:f>Sources!D313</x:f>
        <x:v>180.004</x:v>
      </x:c>
      <x:c r="D37" s="11" t="n">
        <x:f>Sources!D323</x:f>
        <x:v>183.762</x:v>
      </x:c>
      <x:c r="E37" s="11" t="n">
        <x:f>D37</x:f>
        <x:v>183.762</x:v>
      </x:c>
      <x:c r="F37" s="11" t="n">
        <x:f>100*(E37/C37-1)</x:f>
        <x:v>2.087731383747027</x:v>
      </x:c>
      <x:c r="G37" s="2"/>
    </x:row>
    <x:row r="38" ht="28" customHeight="1">
      <x:c r="A38" s="2"/>
      <x:c r="B38" s="12" t="n">
        <x:v>46143</x:v>
      </x:c>
      <x:c r="C38" s="11" t="n">
        <x:f>Sources!D314</x:f>
        <x:v>179.673</x:v>
      </x:c>
      <x:c r="D38" s="11" t="n">
        <x:f>Sources!D323</x:f>
        <x:v>183.762</x:v>
      </x:c>
      <x:c r="E38" s="11" t="n">
        <x:f>D38</x:f>
        <x:v>183.762</x:v>
      </x:c>
      <x:c r="F38" s="11" t="n">
        <x:f>100*(E38/C38-1)</x:f>
        <x:v>2.2758010385533822</x:v>
      </x:c>
      <x:c r="G38" s="2"/>
    </x:row>
    <x:row r="39" ht="28" customHeight="1">
      <x:c r="A39" s="2"/>
      <x:c r="B39" s="12" t="n">
        <x:v>46174</x:v>
      </x:c>
      <x:c r="C39" s="11" t="n">
        <x:f>Sources!D315</x:f>
        <x:v>179.83</x:v>
      </x:c>
      <x:c r="D39" s="11" t="n">
        <x:f>Sources!D323</x:f>
        <x:v>183.762</x:v>
      </x:c>
      <x:c r="E39" s="11" t="n">
        <x:f>D39</x:f>
        <x:v>183.762</x:v>
      </x:c>
      <x:c r="F39" s="11" t="n">
        <x:f>100*(E39/C39-1)</x:f>
        <x:v>2.1865094811766683</x:v>
      </x:c>
      <x:c r="G39" s="2"/>
    </x:row>
    <x:row r="40" ht="28" customHeight="1">
      <x:c r="A40" s="2"/>
      <x:c r="B40" s="2" t="str">
        <x:v>Quarter YoY %</x:v>
      </x:c>
      <x:c r="C40" s="11"/>
      <x:c r="D40" s="11"/>
      <x:c r="E40" s="11" t="n">
        <x:f>100*(SUM(E37:E39)/SUM(C37:C39)-1)</x:f>
        <x:v>2.183289558800894</x:v>
      </x:c>
      <x:c r="F40" s="11"/>
      <x:c r="G40" s="2"/>
    </x:row>
    <x:row r="41" ht="28" customHeight="1">
      <x:c r="A41" s="2"/>
      <x:c r="B41" s="2"/>
      <x:c r="C41" s="2"/>
      <x:c r="D41" s="2"/>
      <x:c r="E41" s="2"/>
      <x:c r="F41" s="2"/>
      <x:c r="G41" s="2"/>
    </x:row>
    <x:row r="42" ht="28" customHeight="1">
      <x:c r="A42" s="2"/>
      <x:c r="B42" s="2"/>
      <x:c r="C42" s="2"/>
      <x:c r="D42" s="2"/>
      <x:c r="E42" s="2"/>
      <x:c r="F42" s="2"/>
      <x:c r="G42" s="2"/>
    </x:row>
    <x:row r="43" ht="28" customHeight="1">
      <x:c r="A43" s="2"/>
      <x:c r="B43" s="2"/>
      <x:c r="C43" s="2"/>
      <x:c r="D43" s="2"/>
      <x:c r="E43" s="2"/>
      <x:c r="F43" s="2"/>
      <x:c r="G4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5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28" customHeight="1">
      <x:c r="A2" s="2"/>
      <x:c r="B2" s="3" t="str">
        <x:v>Published values | Forecast inputs and later actuals</x:v>
      </x:c>
      <x:c r="C2" s="2"/>
      <x:c r="D2" s="2"/>
      <x:c r="E2" s="2"/>
      <x:c r="F2" s="2"/>
    </x:row>
    <x:row r="3" ht="28" customHeight="1">
      <x:c r="A3" s="2"/>
      <x:c r="B3" s="2"/>
      <x:c r="C3" s="2"/>
      <x:c r="D3" s="2"/>
      <x:c r="E3" s="2"/>
      <x:c r="F3" s="2"/>
    </x:row>
    <x:row r="4" ht="28" customHeight="1">
      <x:c r="A4" s="2"/>
      <x:c r="B4" s="2"/>
      <x:c r="C4" s="2"/>
      <x:c r="D4" s="2"/>
      <x:c r="E4" s="2"/>
      <x:c r="F4" s="2"/>
    </x:row>
    <x:row r="5" ht="46" customHeight="1">
      <x:c r="A5" s="2"/>
      <x:c r="B5" s="7" t="str">
        <x:v>Financial input</x:v>
      </x:c>
      <x:c r="C5" s="7" t="str">
        <x:v>Value</x:v>
      </x:c>
      <x:c r="D5" s="7" t="str">
        <x:v>Period / published</x:v>
      </x:c>
      <x:c r="E5" s="2"/>
      <x:c r="F5" s="2"/>
    </x:row>
    <x:row r="6" ht="28" customHeight="1">
      <x:c r="A6" s="2"/>
      <x:c r="B6" s="2" t="str">
        <x:v>Prior-year sales ($m)</x:v>
      </x:c>
      <x:c r="C6" s="14" t="n">
        <x:v>84284</x:v>
      </x:c>
      <x:c r="D6" s="2" t="str">
        <x:v>FY ended Jun 2025</x:v>
      </x:c>
      <x:c r="E6" s="2"/>
      <x:c r="F6" s="2"/>
    </x:row>
    <x:row r="7" ht="28" customHeight="1">
      <x:c r="A7" s="2"/>
      <x:c r="B7" s="2" t="str">
        <x:v>Nine-month sales ($m)</x:v>
      </x:c>
      <x:c r="C7" s="14" t="n">
        <x:v>65829</x:v>
      </x:c>
      <x:c r="D7" s="2" t="str">
        <x:v>Jul 2025–Mar 2026</x:v>
      </x:c>
      <x:c r="E7" s="2"/>
      <x:c r="F7" s="2"/>
    </x:row>
    <x:row r="8" ht="28" customHeight="1">
      <x:c r="A8" s="2"/>
      <x:c r="B8" s="2" t="str">
        <x:v>Prior-year quarter sales ($m)</x:v>
      </x:c>
      <x:c r="C8" s="14" t="n">
        <x:v>20889</x:v>
      </x:c>
      <x:c r="D8" s="2" t="str">
        <x:v>Apr–Jun 2025</x:v>
      </x:c>
      <x:c r="E8" s="2"/>
      <x:c r="F8" s="2"/>
    </x:row>
    <x:row r="9" ht="28" customHeight="1">
      <x:c r="A9" s="2"/>
      <x:c r="B9" s="2" t="str">
        <x:v>Annual guidance midpoint</x:v>
      </x:c>
      <x:c r="C9" s="15" t="n">
        <x:v>0.03</x:v>
      </x:c>
      <x:c r="D9" s="2" t="str">
        <x:v>Available 24-Apr-2026</x:v>
      </x:c>
      <x:c r="E9" s="2"/>
      <x:c r="F9" s="2"/>
    </x:row>
    <x:row r="10" ht="28" customHeight="1">
      <x:c r="A10" s="2"/>
      <x:c r="B10" s="2" t="str">
        <x:v>Actual quarter sales ($m)</x:v>
      </x:c>
      <x:c r="C10" s="14" t="n">
        <x:v>21203</x:v>
      </x:c>
      <x:c r="D10" s="2" t="str">
        <x:v>Released 29-Jul-2026</x:v>
      </x:c>
      <x:c r="E10" s="2"/>
      <x:c r="F10" s="2"/>
    </x:row>
    <x:row r="11" ht="28" customHeight="1">
      <x:c r="A11" s="2"/>
      <x:c r="B11" s="2" t="str">
        <x:v>Actual annual sales ($m)</x:v>
      </x:c>
      <x:c r="C11" s="14" t="n">
        <x:v>87032</x:v>
      </x:c>
      <x:c r="D11" s="2" t="str">
        <x:v>Released 29-Jul-2026</x:v>
      </x:c>
      <x:c r="E11" s="2"/>
      <x:c r="F11" s="2"/>
    </x:row>
    <x:row r="12" ht="28" customHeight="1">
      <x:c r="A12" s="2"/>
      <x:c r="B12" s="2" t="str">
        <x:v>Forecast cutoff</x:v>
      </x:c>
      <x:c r="C12" s="16" t="n">
        <x:v>46136</x:v>
      </x:c>
      <x:c r="D12" s="2" t="str">
        <x:v>End of day</x:v>
      </x:c>
      <x:c r="E12" s="2"/>
      <x:c r="F12" s="2"/>
    </x:row>
    <x:row r="13" ht="28" customHeight="1">
      <x:c r="A13" s="2"/>
      <x:c r="B13" s="2"/>
      <x:c r="C13" s="2"/>
      <x:c r="D13" s="2"/>
      <x:c r="E13" s="2"/>
      <x:c r="F13" s="2"/>
    </x:row>
    <x:row r="14" ht="28" customHeight="1">
      <x:c r="A14" s="2"/>
      <x:c r="B14" s="2" t="str">
        <x:v>Prior figures: PG_2_Quarter_Sales_Target.xlsx / analysis question 2.</x:v>
      </x:c>
      <x:c r="C14" s="2"/>
      <x:c r="D14" s="2"/>
      <x:c r="E14" s="2"/>
      <x:c r="F14" s="2"/>
    </x:row>
    <x:row r="15" ht="28" customHeight="1">
      <x:c r="A15" s="2"/>
      <x:c r="B15" s="2" t="str">
        <x:v>https://www.pginvestor.com/news/news-details/2026/PG-Announces-Fiscal-Year-2026-Third-Quarter-Results/default.aspx</x:v>
      </x:c>
      <x:c r="C15" s="2"/>
      <x:c r="D15" s="2"/>
      <x:c r="E15" s="2"/>
      <x:c r="F15" s="2"/>
    </x:row>
    <x:row r="16" ht="28" customHeight="1">
      <x:c r="A16" s="2"/>
      <x:c r="B16" s="2" t="str">
        <x:v>https://us.pg.com/newsroom/news-releases/PG-Announces-Fourth-Quarter-and-Fiscal-Year-2026-Results/</x:v>
      </x:c>
      <x:c r="C16" s="2"/>
      <x:c r="D16" s="2"/>
      <x:c r="E16" s="2"/>
      <x:c r="F16" s="2"/>
    </x:row>
    <x:row r="17" ht="28" customHeight="1">
      <x:c r="A17" s="2"/>
      <x:c r="B17" s="2"/>
      <x:c r="C17" s="2"/>
      <x:c r="D17" s="2"/>
      <x:c r="E17" s="2"/>
      <x:c r="F17" s="2"/>
    </x:row>
    <x:row r="18" ht="46" customHeight="1">
      <x:c r="A18" s="2"/>
      <x:c r="B18" s="7" t="str">
        <x:v>Later actual: Apr–Jun 2026</x:v>
      </x:c>
      <x:c r="C18" s="7" t="str">
        <x:v>Volume growth %</x:v>
      </x:c>
      <x:c r="D18" s="7" t="str">
        <x:v>Pricing pp</x:v>
      </x:c>
      <x:c r="E18" s="7" t="str">
        <x:v>Organic sales %</x:v>
      </x:c>
      <x:c r="F18" s="2"/>
    </x:row>
    <x:row r="19" ht="28" customHeight="1">
      <x:c r="A19" s="2"/>
      <x:c r="B19" s="2" t="str">
        <x:v>Beauty</x:v>
      </x:c>
      <x:c r="C19" s="11" t="n">
        <x:v>3</x:v>
      </x:c>
      <x:c r="D19" s="11" t="n">
        <x:v>1</x:v>
      </x:c>
      <x:c r="E19" s="11" t="n">
        <x:v>4</x:v>
      </x:c>
      <x:c r="F19" s="2"/>
    </x:row>
    <x:row r="20" ht="28" customHeight="1">
      <x:c r="A20" s="2"/>
      <x:c r="B20" s="2" t="str">
        <x:v>Grooming</x:v>
      </x:c>
      <x:c r="C20" s="11" t="n">
        <x:v>-1</x:v>
      </x:c>
      <x:c r="D20" s="11" t="n">
        <x:v>1</x:v>
      </x:c>
      <x:c r="E20" s="11" t="n">
        <x:v>0</x:v>
      </x:c>
      <x:c r="F20" s="2"/>
    </x:row>
    <x:row r="21" ht="28" customHeight="1">
      <x:c r="A21" s="2"/>
      <x:c r="B21" s="2" t="str">
        <x:v>Health Care</x:v>
      </x:c>
      <x:c r="C21" s="11" t="n">
        <x:v>-3</x:v>
      </x:c>
      <x:c r="D21" s="11" t="n">
        <x:v>2</x:v>
      </x:c>
      <x:c r="E21" s="11" t="n">
        <x:v>-1</x:v>
      </x:c>
      <x:c r="F21" s="2"/>
    </x:row>
    <x:row r="22" ht="28" customHeight="1">
      <x:c r="A22" s="2"/>
      <x:c r="B22" s="2" t="str">
        <x:v>Fabric &amp; Home Care</x:v>
      </x:c>
      <x:c r="C22" s="11" t="n">
        <x:v>1</x:v>
      </x:c>
      <x:c r="D22" s="11" t="n">
        <x:v>0</x:v>
      </x:c>
      <x:c r="E22" s="11" t="n">
        <x:v>0</x:v>
      </x:c>
      <x:c r="F22" s="2"/>
    </x:row>
    <x:row r="23" ht="28" customHeight="1">
      <x:c r="A23" s="2"/>
      <x:c r="B23" s="2" t="str">
        <x:v>Baby, Feminine &amp; Family Care</x:v>
      </x:c>
      <x:c r="C23" s="11" t="n">
        <x:v>-1</x:v>
      </x:c>
      <x:c r="D23" s="11" t="n">
        <x:v>-1</x:v>
      </x:c>
      <x:c r="E23" s="11" t="n">
        <x:v>-2</x:v>
      </x:c>
      <x:c r="F23" s="2"/>
    </x:row>
    <x:row r="24" ht="28" customHeight="1">
      <x:c r="A24" s="2"/>
      <x:c r="B24" s="2"/>
      <x:c r="C24" s="2"/>
      <x:c r="D24" s="2"/>
      <x:c r="E24" s="2"/>
      <x:c r="F24" s="2"/>
    </x:row>
    <x:row r="25" ht="28" customHeight="1">
      <x:c r="A25" s="2"/>
      <x:c r="B25" s="2"/>
      <x:c r="C25" s="2"/>
      <x:c r="D25" s="2"/>
      <x:c r="E25" s="2"/>
      <x:c r="F25" s="2"/>
    </x:row>
    <x:row r="26" ht="46" customHeight="1">
      <x:c r="A26" s="2"/>
      <x:c r="B26" s="7" t="str">
        <x:v>Original market series</x:v>
      </x:c>
      <x:c r="C26" s="7" t="str">
        <x:v>Observation month</x:v>
      </x:c>
      <x:c r="D26" s="7" t="str">
        <x:v>Level (24-Apr vintage)</x:v>
      </x:c>
      <x:c r="E26" s="2"/>
      <x:c r="F26" s="2"/>
    </x:row>
    <x:row r="27" ht="28" customHeight="1">
      <x:c r="A27" s="2"/>
      <x:c r="B27" s="2" t="str">
        <x:v>PCENDC96</x:v>
      </x:c>
      <x:c r="C27" s="12" t="n">
        <x:v>43831</x:v>
      </x:c>
      <x:c r="D27" s="13" t="n">
        <x:v>2976.3</x:v>
      </x:c>
      <x:c r="E27" s="2"/>
      <x:c r="F27" s="2"/>
    </x:row>
    <x:row r="28" ht="28" customHeight="1">
      <x:c r="A28" s="2"/>
      <x:c r="B28" s="2" t="str">
        <x:v>PCENDC96</x:v>
      </x:c>
      <x:c r="C28" s="12" t="n">
        <x:v>43862</x:v>
      </x:c>
      <x:c r="D28" s="13" t="n">
        <x:v>2986.4</x:v>
      </x:c>
      <x:c r="E28" s="2"/>
      <x:c r="F28" s="2"/>
    </x:row>
    <x:row r="29" ht="28" customHeight="1">
      <x:c r="A29" s="2"/>
      <x:c r="B29" s="2" t="str">
        <x:v>PCENDC96</x:v>
      </x:c>
      <x:c r="C29" s="12" t="n">
        <x:v>43891</x:v>
      </x:c>
      <x:c r="D29" s="13" t="n">
        <x:v>3097.3</x:v>
      </x:c>
      <x:c r="E29" s="2"/>
      <x:c r="F29" s="2"/>
    </x:row>
    <x:row r="30" ht="28" customHeight="1">
      <x:c r="A30" s="2"/>
      <x:c r="B30" s="2" t="str">
        <x:v>PCENDC96</x:v>
      </x:c>
      <x:c r="C30" s="12" t="n">
        <x:v>43922</x:v>
      </x:c>
      <x:c r="D30" s="13" t="n">
        <x:v>2729.8</x:v>
      </x:c>
      <x:c r="E30" s="2"/>
      <x:c r="F30" s="2"/>
    </x:row>
    <x:row r="31" ht="28" customHeight="1">
      <x:c r="A31" s="2"/>
      <x:c r="B31" s="2" t="str">
        <x:v>PCENDC96</x:v>
      </x:c>
      <x:c r="C31" s="12" t="n">
        <x:v>43952</x:v>
      </x:c>
      <x:c r="D31" s="13" t="n">
        <x:v>2966.4</x:v>
      </x:c>
      <x:c r="E31" s="2"/>
      <x:c r="F31" s="2"/>
    </x:row>
    <x:row r="32" ht="28" customHeight="1">
      <x:c r="A32" s="2"/>
      <x:c r="B32" s="2" t="str">
        <x:v>PCENDC96</x:v>
      </x:c>
      <x:c r="C32" s="12" t="n">
        <x:v>43983</x:v>
      </x:c>
      <x:c r="D32" s="13" t="n">
        <x:v>3082.3</x:v>
      </x:c>
      <x:c r="E32" s="2"/>
      <x:c r="F32" s="2"/>
    </x:row>
    <x:row r="33" ht="28" customHeight="1">
      <x:c r="A33" s="2"/>
      <x:c r="B33" s="2" t="str">
        <x:v>PCENDC96</x:v>
      </x:c>
      <x:c r="C33" s="12" t="n">
        <x:v>44013</x:v>
      </x:c>
      <x:c r="D33" s="13" t="n">
        <x:v>3114.3</x:v>
      </x:c>
      <x:c r="E33" s="2"/>
      <x:c r="F33" s="2"/>
    </x:row>
    <x:row r="34" ht="28" customHeight="1">
      <x:c r="A34" s="2"/>
      <x:c r="B34" s="2" t="str">
        <x:v>PCENDC96</x:v>
      </x:c>
      <x:c r="C34" s="12" t="n">
        <x:v>44044</x:v>
      </x:c>
      <x:c r="D34" s="13" t="n">
        <x:v>3099.2</x:v>
      </x:c>
      <x:c r="E34" s="2"/>
      <x:c r="F34" s="2"/>
    </x:row>
    <x:row r="35" ht="28" customHeight="1">
      <x:c r="A35" s="2"/>
      <x:c r="B35" s="2" t="str">
        <x:v>PCENDC96</x:v>
      </x:c>
      <x:c r="C35" s="12" t="n">
        <x:v>44075</x:v>
      </x:c>
      <x:c r="D35" s="13" t="n">
        <x:v>3158</x:v>
      </x:c>
      <x:c r="E35" s="2"/>
      <x:c r="F35" s="2"/>
    </x:row>
    <x:row r="36" ht="28" customHeight="1">
      <x:c r="A36" s="2"/>
      <x:c r="B36" s="2" t="str">
        <x:v>PCENDC96</x:v>
      </x:c>
      <x:c r="C36" s="12" t="n">
        <x:v>44105</x:v>
      </x:c>
      <x:c r="D36" s="13" t="n">
        <x:v>3140.5</x:v>
      </x:c>
      <x:c r="E36" s="2"/>
      <x:c r="F36" s="2"/>
    </x:row>
    <x:row r="37" ht="28" customHeight="1">
      <x:c r="A37" s="2"/>
      <x:c r="B37" s="2" t="str">
        <x:v>PCENDC96</x:v>
      </x:c>
      <x:c r="C37" s="12" t="n">
        <x:v>44136</x:v>
      </x:c>
      <x:c r="D37" s="13" t="n">
        <x:v>3129.7</x:v>
      </x:c>
      <x:c r="E37" s="2"/>
      <x:c r="F37" s="2"/>
    </x:row>
    <x:row r="38" ht="28" customHeight="1">
      <x:c r="A38" s="2"/>
      <x:c r="B38" s="2" t="str">
        <x:v>PCENDC96</x:v>
      </x:c>
      <x:c r="C38" s="12" t="n">
        <x:v>44166</x:v>
      </x:c>
      <x:c r="D38" s="13" t="n">
        <x:v>3141.6</x:v>
      </x:c>
      <x:c r="E38" s="2"/>
      <x:c r="F38" s="2"/>
    </x:row>
    <x:row r="39" ht="28" customHeight="1">
      <x:c r="A39" s="2"/>
      <x:c r="B39" s="2" t="str">
        <x:v>PCENDC96</x:v>
      </x:c>
      <x:c r="C39" s="12" t="n">
        <x:v>44197</x:v>
      </x:c>
      <x:c r="D39" s="13" t="n">
        <x:v>3196.8</x:v>
      </x:c>
      <x:c r="E39" s="2"/>
      <x:c r="F39" s="2"/>
    </x:row>
    <x:row r="40" ht="28" customHeight="1">
      <x:c r="A40" s="2"/>
      <x:c r="B40" s="2" t="str">
        <x:v>PCENDC96</x:v>
      </x:c>
      <x:c r="C40" s="12" t="n">
        <x:v>44228</x:v>
      </x:c>
      <x:c r="D40" s="13" t="n">
        <x:v>3136.7</x:v>
      </x:c>
      <x:c r="E40" s="2"/>
      <x:c r="F40" s="2"/>
    </x:row>
    <x:row r="41" ht="28" customHeight="1">
      <x:c r="A41" s="2"/>
      <x:c r="B41" s="2" t="str">
        <x:v>PCENDC96</x:v>
      </x:c>
      <x:c r="C41" s="12" t="n">
        <x:v>44256</x:v>
      </x:c>
      <x:c r="D41" s="13" t="n">
        <x:v>3322.2</x:v>
      </x:c>
      <x:c r="E41" s="2"/>
      <x:c r="F41" s="2"/>
    </x:row>
    <x:row r="42" ht="28" customHeight="1">
      <x:c r="A42" s="2"/>
      <x:c r="B42" s="2" t="str">
        <x:v>PCENDC96</x:v>
      </x:c>
      <x:c r="C42" s="12" t="n">
        <x:v>44287</x:v>
      </x:c>
      <x:c r="D42" s="13" t="n">
        <x:v>3323.4</x:v>
      </x:c>
      <x:c r="E42" s="2"/>
      <x:c r="F42" s="2"/>
    </x:row>
    <x:row r="43" ht="28" customHeight="1">
      <x:c r="A43" s="2"/>
      <x:c r="B43" s="2" t="str">
        <x:v>PCENDC96</x:v>
      </x:c>
      <x:c r="C43" s="12" t="n">
        <x:v>44317</x:v>
      </x:c>
      <x:c r="D43" s="13" t="n">
        <x:v>3315</x:v>
      </x:c>
      <x:c r="E43" s="2"/>
      <x:c r="F43" s="2"/>
    </x:row>
    <x:row r="44" ht="28" customHeight="1">
      <x:c r="A44" s="2"/>
      <x:c r="B44" s="2" t="str">
        <x:v>PCENDC96</x:v>
      </x:c>
      <x:c r="C44" s="12" t="n">
        <x:v>44348</x:v>
      </x:c>
      <x:c r="D44" s="13" t="n">
        <x:v>3370.5</x:v>
      </x:c>
      <x:c r="E44" s="2"/>
      <x:c r="F44" s="2"/>
    </x:row>
    <x:row r="45" ht="28" customHeight="1">
      <x:c r="A45" s="2"/>
      <x:c r="B45" s="2" t="str">
        <x:v>PCENDC96</x:v>
      </x:c>
      <x:c r="C45" s="12" t="n">
        <x:v>44378</x:v>
      </x:c>
      <x:c r="D45" s="13" t="n">
        <x:v>3316</x:v>
      </x:c>
      <x:c r="E45" s="2"/>
      <x:c r="F45" s="2"/>
    </x:row>
    <x:row r="46" ht="28" customHeight="1">
      <x:c r="A46" s="2"/>
      <x:c r="B46" s="2" t="str">
        <x:v>PCENDC96</x:v>
      </x:c>
      <x:c r="C46" s="12" t="n">
        <x:v>44409</x:v>
      </x:c>
      <x:c r="D46" s="13" t="n">
        <x:v>3358.1</x:v>
      </x:c>
      <x:c r="E46" s="2"/>
      <x:c r="F46" s="2"/>
    </x:row>
    <x:row r="47" ht="28" customHeight="1">
      <x:c r="A47" s="2"/>
      <x:c r="B47" s="2" t="str">
        <x:v>PCENDC96</x:v>
      </x:c>
      <x:c r="C47" s="12" t="n">
        <x:v>44440</x:v>
      </x:c>
      <x:c r="D47" s="13" t="n">
        <x:v>3353.8</x:v>
      </x:c>
      <x:c r="E47" s="2"/>
      <x:c r="F47" s="2"/>
    </x:row>
    <x:row r="48" ht="28" customHeight="1">
      <x:c r="A48" s="2"/>
      <x:c r="B48" s="2" t="str">
        <x:v>PCENDC96</x:v>
      </x:c>
      <x:c r="C48" s="12" t="n">
        <x:v>44470</x:v>
      </x:c>
      <x:c r="D48" s="13" t="n">
        <x:v>3364.3</x:v>
      </x:c>
      <x:c r="E48" s="2"/>
      <x:c r="F48" s="2"/>
    </x:row>
    <x:row r="49" ht="28" customHeight="1">
      <x:c r="A49" s="2"/>
      <x:c r="B49" s="2" t="str">
        <x:v>PCENDC96</x:v>
      </x:c>
      <x:c r="C49" s="12" t="n">
        <x:v>44501</x:v>
      </x:c>
      <x:c r="D49" s="13" t="n">
        <x:v>3370.8</x:v>
      </x:c>
      <x:c r="E49" s="2"/>
      <x:c r="F49" s="2"/>
    </x:row>
    <x:row r="50" ht="28" customHeight="1">
      <x:c r="A50" s="2"/>
      <x:c r="B50" s="2" t="str">
        <x:v>PCENDC96</x:v>
      </x:c>
      <x:c r="C50" s="12" t="n">
        <x:v>44531</x:v>
      </x:c>
      <x:c r="D50" s="13" t="n">
        <x:v>3344.9</x:v>
      </x:c>
      <x:c r="E50" s="2"/>
      <x:c r="F50" s="2"/>
    </x:row>
    <x:row r="51" ht="28" customHeight="1">
      <x:c r="A51" s="2"/>
      <x:c r="B51" s="2" t="str">
        <x:v>PCENDC96</x:v>
      </x:c>
      <x:c r="C51" s="12" t="n">
        <x:v>44562</x:v>
      </x:c>
      <x:c r="D51" s="13" t="n">
        <x:v>3340.6</x:v>
      </x:c>
      <x:c r="E51" s="2"/>
      <x:c r="F51" s="2"/>
    </x:row>
    <x:row r="52" ht="28" customHeight="1">
      <x:c r="A52" s="2"/>
      <x:c r="B52" s="2" t="str">
        <x:v>PCENDC96</x:v>
      </x:c>
      <x:c r="C52" s="12" t="n">
        <x:v>44593</x:v>
      </x:c>
      <x:c r="D52" s="13" t="n">
        <x:v>3328.9</x:v>
      </x:c>
      <x:c r="E52" s="2"/>
      <x:c r="F52" s="2"/>
    </x:row>
    <x:row r="53" ht="28" customHeight="1">
      <x:c r="A53" s="2"/>
      <x:c r="B53" s="2" t="str">
        <x:v>PCENDC96</x:v>
      </x:c>
      <x:c r="C53" s="12" t="n">
        <x:v>44621</x:v>
      </x:c>
      <x:c r="D53" s="13" t="n">
        <x:v>3333.7</x:v>
      </x:c>
      <x:c r="E53" s="2"/>
      <x:c r="F53" s="2"/>
    </x:row>
    <x:row r="54" ht="28" customHeight="1">
      <x:c r="A54" s="2"/>
      <x:c r="B54" s="2" t="str">
        <x:v>PCENDC96</x:v>
      </x:c>
      <x:c r="C54" s="12" t="n">
        <x:v>44652</x:v>
      </x:c>
      <x:c r="D54" s="13" t="n">
        <x:v>3334.7</x:v>
      </x:c>
      <x:c r="E54" s="2"/>
      <x:c r="F54" s="2"/>
    </x:row>
    <x:row r="55" ht="28" customHeight="1">
      <x:c r="A55" s="2"/>
      <x:c r="B55" s="2" t="str">
        <x:v>PCENDC96</x:v>
      </x:c>
      <x:c r="C55" s="12" t="n">
        <x:v>44682</x:v>
      </x:c>
      <x:c r="D55" s="13" t="n">
        <x:v>3339.6</x:v>
      </x:c>
      <x:c r="E55" s="2"/>
      <x:c r="F55" s="2"/>
    </x:row>
    <x:row r="56" ht="28" customHeight="1">
      <x:c r="A56" s="2"/>
      <x:c r="B56" s="2" t="str">
        <x:v>PCENDC96</x:v>
      </x:c>
      <x:c r="C56" s="12" t="n">
        <x:v>44713</x:v>
      </x:c>
      <x:c r="D56" s="13" t="n">
        <x:v>3330.8</x:v>
      </x:c>
      <x:c r="E56" s="2"/>
      <x:c r="F56" s="2"/>
    </x:row>
    <x:row r="57" ht="28" customHeight="1">
      <x:c r="A57" s="2"/>
      <x:c r="B57" s="2" t="str">
        <x:v>PCENDC96</x:v>
      </x:c>
      <x:c r="C57" s="12" t="n">
        <x:v>44743</x:v>
      </x:c>
      <x:c r="D57" s="13" t="n">
        <x:v>3293.4</x:v>
      </x:c>
      <x:c r="E57" s="2"/>
      <x:c r="F57" s="2"/>
    </x:row>
    <x:row r="58" ht="28" customHeight="1">
      <x:c r="A58" s="2"/>
      <x:c r="B58" s="2" t="str">
        <x:v>PCENDC96</x:v>
      </x:c>
      <x:c r="C58" s="12" t="n">
        <x:v>44774</x:v>
      </x:c>
      <x:c r="D58" s="13" t="n">
        <x:v>3313.4</x:v>
      </x:c>
      <x:c r="E58" s="2"/>
      <x:c r="F58" s="2"/>
    </x:row>
    <x:row r="59" ht="28" customHeight="1">
      <x:c r="A59" s="2"/>
      <x:c r="B59" s="2" t="str">
        <x:v>PCENDC96</x:v>
      </x:c>
      <x:c r="C59" s="12" t="n">
        <x:v>44805</x:v>
      </x:c>
      <x:c r="D59" s="13" t="n">
        <x:v>3323.4</x:v>
      </x:c>
      <x:c r="E59" s="2"/>
      <x:c r="F59" s="2"/>
    </x:row>
    <x:row r="60" ht="28" customHeight="1">
      <x:c r="A60" s="2"/>
      <x:c r="B60" s="2" t="str">
        <x:v>PCENDC96</x:v>
      </x:c>
      <x:c r="C60" s="12" t="n">
        <x:v>44835</x:v>
      </x:c>
      <x:c r="D60" s="13" t="n">
        <x:v>3319.6</x:v>
      </x:c>
      <x:c r="E60" s="2"/>
      <x:c r="F60" s="2"/>
    </x:row>
    <x:row r="61" ht="28" customHeight="1">
      <x:c r="A61" s="2"/>
      <x:c r="B61" s="2" t="str">
        <x:v>PCENDC96</x:v>
      </x:c>
      <x:c r="C61" s="12" t="n">
        <x:v>44866</x:v>
      </x:c>
      <x:c r="D61" s="13" t="n">
        <x:v>3300.9</x:v>
      </x:c>
      <x:c r="E61" s="2"/>
      <x:c r="F61" s="2"/>
    </x:row>
    <x:row r="62" ht="28" customHeight="1">
      <x:c r="A62" s="2"/>
      <x:c r="B62" s="2" t="str">
        <x:v>PCENDC96</x:v>
      </x:c>
      <x:c r="C62" s="12" t="n">
        <x:v>44896</x:v>
      </x:c>
      <x:c r="D62" s="13" t="n">
        <x:v>3287.3</x:v>
      </x:c>
      <x:c r="E62" s="2"/>
      <x:c r="F62" s="2"/>
    </x:row>
    <x:row r="63" ht="28" customHeight="1">
      <x:c r="A63" s="2"/>
      <x:c r="B63" s="2" t="str">
        <x:v>PCENDC96</x:v>
      </x:c>
      <x:c r="C63" s="12" t="n">
        <x:v>44927</x:v>
      </x:c>
      <x:c r="D63" s="13" t="n">
        <x:v>3320.4</x:v>
      </x:c>
      <x:c r="E63" s="2"/>
      <x:c r="F63" s="2"/>
    </x:row>
    <x:row r="64" ht="28" customHeight="1">
      <x:c r="A64" s="2"/>
      <x:c r="B64" s="2" t="str">
        <x:v>PCENDC96</x:v>
      </x:c>
      <x:c r="C64" s="12" t="n">
        <x:v>44958</x:v>
      </x:c>
      <x:c r="D64" s="13" t="n">
        <x:v>3332.3</x:v>
      </x:c>
      <x:c r="E64" s="2"/>
      <x:c r="F64" s="2"/>
    </x:row>
    <x:row r="65" ht="28" customHeight="1">
      <x:c r="A65" s="2"/>
      <x:c r="B65" s="2" t="str">
        <x:v>PCENDC96</x:v>
      </x:c>
      <x:c r="C65" s="12" t="n">
        <x:v>44986</x:v>
      </x:c>
      <x:c r="D65" s="13" t="n">
        <x:v>3299.1</x:v>
      </x:c>
      <x:c r="E65" s="2"/>
      <x:c r="F65" s="2"/>
    </x:row>
    <x:row r="66" ht="28" customHeight="1">
      <x:c r="A66" s="2"/>
      <x:c r="B66" s="2" t="str">
        <x:v>PCENDC96</x:v>
      </x:c>
      <x:c r="C66" s="12" t="n">
        <x:v>45017</x:v>
      </x:c>
      <x:c r="D66" s="13" t="n">
        <x:v>3323</x:v>
      </x:c>
      <x:c r="E66" s="2"/>
      <x:c r="F66" s="2"/>
    </x:row>
    <x:row r="67" ht="28" customHeight="1">
      <x:c r="A67" s="2"/>
      <x:c r="B67" s="2" t="str">
        <x:v>PCENDC96</x:v>
      </x:c>
      <x:c r="C67" s="12" t="n">
        <x:v>45047</x:v>
      </x:c>
      <x:c r="D67" s="13" t="n">
        <x:v>3314.1</x:v>
      </x:c>
      <x:c r="E67" s="2"/>
      <x:c r="F67" s="2"/>
    </x:row>
    <x:row r="68" ht="28" customHeight="1">
      <x:c r="A68" s="2"/>
      <x:c r="B68" s="2" t="str">
        <x:v>PCENDC96</x:v>
      </x:c>
      <x:c r="C68" s="12" t="n">
        <x:v>45078</x:v>
      </x:c>
      <x:c r="D68" s="13" t="n">
        <x:v>3329.6</x:v>
      </x:c>
      <x:c r="E68" s="2"/>
      <x:c r="F68" s="2"/>
    </x:row>
    <x:row r="69" ht="28" customHeight="1">
      <x:c r="A69" s="2"/>
      <x:c r="B69" s="2" t="str">
        <x:v>PCENDC96</x:v>
      </x:c>
      <x:c r="C69" s="12" t="n">
        <x:v>45108</x:v>
      </x:c>
      <x:c r="D69" s="13" t="n">
        <x:v>3342.7</x:v>
      </x:c>
      <x:c r="E69" s="2"/>
      <x:c r="F69" s="2"/>
    </x:row>
    <x:row r="70" ht="28" customHeight="1">
      <x:c r="A70" s="2"/>
      <x:c r="B70" s="2" t="str">
        <x:v>PCENDC96</x:v>
      </x:c>
      <x:c r="C70" s="12" t="n">
        <x:v>45139</x:v>
      </x:c>
      <x:c r="D70" s="13" t="n">
        <x:v>3349.1</x:v>
      </x:c>
      <x:c r="E70" s="2"/>
      <x:c r="F70" s="2"/>
    </x:row>
    <x:row r="71" ht="28" customHeight="1">
      <x:c r="A71" s="2"/>
      <x:c r="B71" s="2" t="str">
        <x:v>PCENDC96</x:v>
      </x:c>
      <x:c r="C71" s="12" t="n">
        <x:v>45170</x:v>
      </x:c>
      <x:c r="D71" s="13" t="n">
        <x:v>3356.5</x:v>
      </x:c>
      <x:c r="E71" s="2"/>
      <x:c r="F71" s="2"/>
    </x:row>
    <x:row r="72" ht="28" customHeight="1">
      <x:c r="A72" s="2"/>
      <x:c r="B72" s="2" t="str">
        <x:v>PCENDC96</x:v>
      </x:c>
      <x:c r="C72" s="12" t="n">
        <x:v>45200</x:v>
      </x:c>
      <x:c r="D72" s="13" t="n">
        <x:v>3366.7</x:v>
      </x:c>
      <x:c r="E72" s="2"/>
      <x:c r="F72" s="2"/>
    </x:row>
    <x:row r="73" ht="28" customHeight="1">
      <x:c r="A73" s="2"/>
      <x:c r="B73" s="2" t="str">
        <x:v>PCENDC96</x:v>
      </x:c>
      <x:c r="C73" s="12" t="n">
        <x:v>45231</x:v>
      </x:c>
      <x:c r="D73" s="13" t="n">
        <x:v>3375.4</x:v>
      </x:c>
      <x:c r="E73" s="2"/>
      <x:c r="F73" s="2"/>
    </x:row>
    <x:row r="74" ht="28" customHeight="1">
      <x:c r="A74" s="2"/>
      <x:c r="B74" s="2" t="str">
        <x:v>PCENDC96</x:v>
      </x:c>
      <x:c r="C74" s="12" t="n">
        <x:v>45261</x:v>
      </x:c>
      <x:c r="D74" s="13" t="n">
        <x:v>3386.2</x:v>
      </x:c>
      <x:c r="E74" s="2"/>
      <x:c r="F74" s="2"/>
    </x:row>
    <x:row r="75" ht="28" customHeight="1">
      <x:c r="A75" s="2"/>
      <x:c r="B75" s="2" t="str">
        <x:v>PCENDC96</x:v>
      </x:c>
      <x:c r="C75" s="12" t="n">
        <x:v>45292</x:v>
      </x:c>
      <x:c r="D75" s="13" t="n">
        <x:v>3356.8</x:v>
      </x:c>
      <x:c r="E75" s="2"/>
      <x:c r="F75" s="2"/>
    </x:row>
    <x:row r="76" ht="28" customHeight="1">
      <x:c r="A76" s="2"/>
      <x:c r="B76" s="2" t="str">
        <x:v>PCENDC96</x:v>
      </x:c>
      <x:c r="C76" s="12" t="n">
        <x:v>45323</x:v>
      </x:c>
      <x:c r="D76" s="13" t="n">
        <x:v>3348.5</x:v>
      </x:c>
      <x:c r="E76" s="2"/>
      <x:c r="F76" s="2"/>
    </x:row>
    <x:row r="77" ht="28" customHeight="1">
      <x:c r="A77" s="2"/>
      <x:c r="B77" s="2" t="str">
        <x:v>PCENDC96</x:v>
      </x:c>
      <x:c r="C77" s="12" t="n">
        <x:v>45352</x:v>
      </x:c>
      <x:c r="D77" s="13" t="n">
        <x:v>3383.1</x:v>
      </x:c>
      <x:c r="E77" s="2"/>
      <x:c r="F77" s="2"/>
    </x:row>
    <x:row r="78" ht="28" customHeight="1">
      <x:c r="A78" s="2"/>
      <x:c r="B78" s="2" t="str">
        <x:v>PCENDC96</x:v>
      </x:c>
      <x:c r="C78" s="12" t="n">
        <x:v>45383</x:v>
      </x:c>
      <x:c r="D78" s="13" t="n">
        <x:v>3384.9</x:v>
      </x:c>
      <x:c r="E78" s="2"/>
      <x:c r="F78" s="2"/>
    </x:row>
    <x:row r="79" ht="28" customHeight="1">
      <x:c r="A79" s="2"/>
      <x:c r="B79" s="2" t="str">
        <x:v>PCENDC96</x:v>
      </x:c>
      <x:c r="C79" s="12" t="n">
        <x:v>45413</x:v>
      </x:c>
      <x:c r="D79" s="13" t="n">
        <x:v>3399.9</x:v>
      </x:c>
      <x:c r="E79" s="2"/>
      <x:c r="F79" s="2"/>
    </x:row>
    <x:row r="80" ht="28" customHeight="1">
      <x:c r="A80" s="2"/>
      <x:c r="B80" s="2" t="str">
        <x:v>PCENDC96</x:v>
      </x:c>
      <x:c r="C80" s="12" t="n">
        <x:v>45444</x:v>
      </x:c>
      <x:c r="D80" s="13" t="n">
        <x:v>3409.2</x:v>
      </x:c>
      <x:c r="E80" s="2"/>
      <x:c r="F80" s="2"/>
    </x:row>
    <x:row r="81" ht="28" customHeight="1">
      <x:c r="A81" s="2"/>
      <x:c r="B81" s="2" t="str">
        <x:v>PCENDC96</x:v>
      </x:c>
      <x:c r="C81" s="12" t="n">
        <x:v>45474</x:v>
      </x:c>
      <x:c r="D81" s="13" t="n">
        <x:v>3428.5</x:v>
      </x:c>
      <x:c r="E81" s="2"/>
      <x:c r="F81" s="2"/>
    </x:row>
    <x:row r="82" ht="28" customHeight="1">
      <x:c r="A82" s="2"/>
      <x:c r="B82" s="2" t="str">
        <x:v>PCENDC96</x:v>
      </x:c>
      <x:c r="C82" s="12" t="n">
        <x:v>45505</x:v>
      </x:c>
      <x:c r="D82" s="13" t="n">
        <x:v>3421.8</x:v>
      </x:c>
      <x:c r="E82" s="2"/>
      <x:c r="F82" s="2"/>
    </x:row>
    <x:row r="83" ht="28" customHeight="1">
      <x:c r="A83" s="2"/>
      <x:c r="B83" s="2" t="str">
        <x:v>PCENDC96</x:v>
      </x:c>
      <x:c r="C83" s="12" t="n">
        <x:v>45536</x:v>
      </x:c>
      <x:c r="D83" s="13" t="n">
        <x:v>3464.3</x:v>
      </x:c>
      <x:c r="E83" s="2"/>
      <x:c r="F83" s="2"/>
    </x:row>
    <x:row r="84" ht="28" customHeight="1">
      <x:c r="A84" s="2"/>
      <x:c r="B84" s="2" t="str">
        <x:v>PCENDC96</x:v>
      </x:c>
      <x:c r="C84" s="12" t="n">
        <x:v>45566</x:v>
      </x:c>
      <x:c r="D84" s="13" t="n">
        <x:v>3459.5</x:v>
      </x:c>
      <x:c r="E84" s="2"/>
      <x:c r="F84" s="2"/>
    </x:row>
    <x:row r="85" ht="28" customHeight="1">
      <x:c r="A85" s="2"/>
      <x:c r="B85" s="2" t="str">
        <x:v>PCENDC96</x:v>
      </x:c>
      <x:c r="C85" s="12" t="n">
        <x:v>45597</x:v>
      </x:c>
      <x:c r="D85" s="13" t="n">
        <x:v>3458.9</x:v>
      </x:c>
      <x:c r="E85" s="2"/>
      <x:c r="F85" s="2"/>
    </x:row>
    <x:row r="86" ht="28" customHeight="1">
      <x:c r="A86" s="2"/>
      <x:c r="B86" s="2" t="str">
        <x:v>PCENDC96</x:v>
      </x:c>
      <x:c r="C86" s="12" t="n">
        <x:v>45627</x:v>
      </x:c>
      <x:c r="D86" s="13" t="n">
        <x:v>3492.2</x:v>
      </x:c>
      <x:c r="E86" s="2"/>
      <x:c r="F86" s="2"/>
    </x:row>
    <x:row r="87" ht="28" customHeight="1">
      <x:c r="A87" s="2"/>
      <x:c r="B87" s="2" t="str">
        <x:v>PCENDC96</x:v>
      </x:c>
      <x:c r="C87" s="12" t="n">
        <x:v>45658</x:v>
      </x:c>
      <x:c r="D87" s="13" t="n">
        <x:v>3474.2</x:v>
      </x:c>
      <x:c r="E87" s="2"/>
      <x:c r="F87" s="2"/>
    </x:row>
    <x:row r="88" ht="28" customHeight="1">
      <x:c r="A88" s="2"/>
      <x:c r="B88" s="2" t="str">
        <x:v>PCENDC96</x:v>
      </x:c>
      <x:c r="C88" s="12" t="n">
        <x:v>45689</x:v>
      </x:c>
      <x:c r="D88" s="13" t="n">
        <x:v>3489.5</x:v>
      </x:c>
      <x:c r="E88" s="2"/>
      <x:c r="F88" s="2"/>
    </x:row>
    <x:row r="89" ht="28" customHeight="1">
      <x:c r="A89" s="2"/>
      <x:c r="B89" s="2" t="str">
        <x:v>PCENDC96</x:v>
      </x:c>
      <x:c r="C89" s="12" t="n">
        <x:v>45717</x:v>
      </x:c>
      <x:c r="D89" s="13" t="n">
        <x:v>3503</x:v>
      </x:c>
      <x:c r="E89" s="2"/>
      <x:c r="F89" s="2"/>
    </x:row>
    <x:row r="90" ht="28" customHeight="1">
      <x:c r="A90" s="2"/>
      <x:c r="B90" s="2" t="str">
        <x:v>PCENDC96</x:v>
      </x:c>
      <x:c r="C90" s="12" t="n">
        <x:v>45748</x:v>
      </x:c>
      <x:c r="D90" s="13" t="n">
        <x:v>3502.5</x:v>
      </x:c>
      <x:c r="E90" s="2"/>
      <x:c r="F90" s="2"/>
    </x:row>
    <x:row r="91" ht="28" customHeight="1">
      <x:c r="A91" s="2"/>
      <x:c r="B91" s="2" t="str">
        <x:v>PCENDC96</x:v>
      </x:c>
      <x:c r="C91" s="12" t="n">
        <x:v>45778</x:v>
      </x:c>
      <x:c r="D91" s="13" t="n">
        <x:v>3498.3</x:v>
      </x:c>
      <x:c r="E91" s="2"/>
      <x:c r="F91" s="2"/>
    </x:row>
    <x:row r="92" ht="28" customHeight="1">
      <x:c r="A92" s="2"/>
      <x:c r="B92" s="2" t="str">
        <x:v>PCENDC96</x:v>
      </x:c>
      <x:c r="C92" s="12" t="n">
        <x:v>45809</x:v>
      </x:c>
      <x:c r="D92" s="13" t="n">
        <x:v>3522.8</x:v>
      </x:c>
      <x:c r="E92" s="2"/>
      <x:c r="F92" s="2"/>
    </x:row>
    <x:row r="93" ht="28" customHeight="1">
      <x:c r="A93" s="2"/>
      <x:c r="B93" s="2" t="str">
        <x:v>PCENDC96</x:v>
      </x:c>
      <x:c r="C93" s="12" t="n">
        <x:v>45839</x:v>
      </x:c>
      <x:c r="D93" s="13" t="n">
        <x:v>3533.2</x:v>
      </x:c>
      <x:c r="E93" s="2"/>
      <x:c r="F93" s="2"/>
    </x:row>
    <x:row r="94" ht="28" customHeight="1">
      <x:c r="A94" s="2"/>
      <x:c r="B94" s="2" t="str">
        <x:v>PCENDC96</x:v>
      </x:c>
      <x:c r="C94" s="12" t="n">
        <x:v>45870</x:v>
      </x:c>
      <x:c r="D94" s="13" t="n">
        <x:v>3551.6</x:v>
      </x:c>
      <x:c r="E94" s="2"/>
      <x:c r="F94" s="2"/>
    </x:row>
    <x:row r="95" ht="28" customHeight="1">
      <x:c r="A95" s="2"/>
      <x:c r="B95" s="2" t="str">
        <x:v>PCENDC96</x:v>
      </x:c>
      <x:c r="C95" s="12" t="n">
        <x:v>45901</x:v>
      </x:c>
      <x:c r="D95" s="13" t="n">
        <x:v>3538.9</x:v>
      </x:c>
      <x:c r="E95" s="2"/>
      <x:c r="F95" s="2"/>
    </x:row>
    <x:row r="96" ht="28" customHeight="1">
      <x:c r="A96" s="2"/>
      <x:c r="B96" s="2" t="str">
        <x:v>PCENDC96</x:v>
      </x:c>
      <x:c r="C96" s="12" t="n">
        <x:v>45931</x:v>
      </x:c>
      <x:c r="D96" s="13" t="n">
        <x:v>3544.2</x:v>
      </x:c>
      <x:c r="E96" s="2"/>
      <x:c r="F96" s="2"/>
    </x:row>
    <x:row r="97" ht="28" customHeight="1">
      <x:c r="A97" s="2"/>
      <x:c r="B97" s="2" t="str">
        <x:v>PCENDC96</x:v>
      </x:c>
      <x:c r="C97" s="12" t="n">
        <x:v>45962</x:v>
      </x:c>
      <x:c r="D97" s="13" t="n">
        <x:v>3548.9</x:v>
      </x:c>
      <x:c r="E97" s="2"/>
      <x:c r="F97" s="2"/>
    </x:row>
    <x:row r="98" ht="28" customHeight="1">
      <x:c r="A98" s="2"/>
      <x:c r="B98" s="2" t="str">
        <x:v>PCENDC96</x:v>
      </x:c>
      <x:c r="C98" s="12" t="n">
        <x:v>45992</x:v>
      </x:c>
      <x:c r="D98" s="13" t="n">
        <x:v>3541.1</x:v>
      </x:c>
      <x:c r="E98" s="2"/>
      <x:c r="F98" s="2"/>
    </x:row>
    <x:row r="99" ht="28" customHeight="1">
      <x:c r="A99" s="2"/>
      <x:c r="B99" s="2" t="str">
        <x:v>PCENDC96</x:v>
      </x:c>
      <x:c r="C99" s="12" t="n">
        <x:v>46023</x:v>
      </x:c>
      <x:c r="D99" s="13" t="n">
        <x:v>3529.7</x:v>
      </x:c>
      <x:c r="E99" s="2"/>
      <x:c r="F99" s="2"/>
    </x:row>
    <x:row r="100" ht="28" customHeight="1">
      <x:c r="A100" s="2"/>
      <x:c r="B100" s="2" t="str">
        <x:v>PCENDC96</x:v>
      </x:c>
      <x:c r="C100" s="12" t="n">
        <x:v>46054</x:v>
      </x:c>
      <x:c r="D100" s="13" t="n">
        <x:v>3521.4</x:v>
      </x:c>
      <x:c r="E100" s="2"/>
      <x:c r="F100" s="2"/>
    </x:row>
    <x:row r="101" ht="28" customHeight="1">
      <x:c r="A101" s="2"/>
      <x:c r="B101" s="2" t="str">
        <x:v>RSHPCS</x:v>
      </x:c>
      <x:c r="C101" s="12" t="n">
        <x:v>43831</x:v>
      </x:c>
      <x:c r="D101" s="13" t="n">
        <x:v>28935</x:v>
      </x:c>
      <x:c r="E101" s="2"/>
      <x:c r="F101" s="2"/>
    </x:row>
    <x:row r="102" ht="28" customHeight="1">
      <x:c r="A102" s="2"/>
      <x:c r="B102" s="2" t="str">
        <x:v>RSHPCS</x:v>
      </x:c>
      <x:c r="C102" s="12" t="n">
        <x:v>43862</x:v>
      </x:c>
      <x:c r="D102" s="13" t="n">
        <x:v>29230</x:v>
      </x:c>
      <x:c r="E102" s="2"/>
      <x:c r="F102" s="2"/>
    </x:row>
    <x:row r="103" ht="28" customHeight="1">
      <x:c r="A103" s="2"/>
      <x:c r="B103" s="2" t="str">
        <x:v>RSHPCS</x:v>
      </x:c>
      <x:c r="C103" s="12" t="n">
        <x:v>43891</x:v>
      </x:c>
      <x:c r="D103" s="13" t="n">
        <x:v>30701</x:v>
      </x:c>
      <x:c r="E103" s="2"/>
      <x:c r="F103" s="2"/>
    </x:row>
    <x:row r="104" ht="28" customHeight="1">
      <x:c r="A104" s="2"/>
      <x:c r="B104" s="2" t="str">
        <x:v>RSHPCS</x:v>
      </x:c>
      <x:c r="C104" s="12" t="n">
        <x:v>43922</x:v>
      </x:c>
      <x:c r="D104" s="13" t="n">
        <x:v>26149</x:v>
      </x:c>
      <x:c r="E104" s="2"/>
      <x:c r="F104" s="2"/>
    </x:row>
    <x:row r="105" ht="28" customHeight="1">
      <x:c r="A105" s="2"/>
      <x:c r="B105" s="2" t="str">
        <x:v>RSHPCS</x:v>
      </x:c>
      <x:c r="C105" s="12" t="n">
        <x:v>43952</x:v>
      </x:c>
      <x:c r="D105" s="13" t="n">
        <x:v>26601</x:v>
      </x:c>
      <x:c r="E105" s="2"/>
      <x:c r="F105" s="2"/>
    </x:row>
    <x:row r="106" ht="28" customHeight="1">
      <x:c r="A106" s="2"/>
      <x:c r="B106" s="2" t="str">
        <x:v>RSHPCS</x:v>
      </x:c>
      <x:c r="C106" s="12" t="n">
        <x:v>43983</x:v>
      </x:c>
      <x:c r="D106" s="13" t="n">
        <x:v>28472</x:v>
      </x:c>
      <x:c r="E106" s="2"/>
      <x:c r="F106" s="2"/>
    </x:row>
    <x:row r="107" ht="28" customHeight="1">
      <x:c r="A107" s="2"/>
      <x:c r="B107" s="2" t="str">
        <x:v>RSHPCS</x:v>
      </x:c>
      <x:c r="C107" s="12" t="n">
        <x:v>44013</x:v>
      </x:c>
      <x:c r="D107" s="13" t="n">
        <x:v>30081</x:v>
      </x:c>
      <x:c r="E107" s="2"/>
      <x:c r="F107" s="2"/>
    </x:row>
    <x:row r="108" ht="28" customHeight="1">
      <x:c r="A108" s="2"/>
      <x:c r="B108" s="2" t="str">
        <x:v>RSHPCS</x:v>
      </x:c>
      <x:c r="C108" s="12" t="n">
        <x:v>44044</x:v>
      </x:c>
      <x:c r="D108" s="13" t="n">
        <x:v>29524</x:v>
      </x:c>
      <x:c r="E108" s="2"/>
      <x:c r="F108" s="2"/>
    </x:row>
    <x:row r="109" ht="28" customHeight="1">
      <x:c r="A109" s="2"/>
      <x:c r="B109" s="2" t="str">
        <x:v>RSHPCS</x:v>
      </x:c>
      <x:c r="C109" s="12" t="n">
        <x:v>44075</x:v>
      </x:c>
      <x:c r="D109" s="13" t="n">
        <x:v>30012</x:v>
      </x:c>
      <x:c r="E109" s="2"/>
      <x:c r="F109" s="2"/>
    </x:row>
    <x:row r="110" ht="28" customHeight="1">
      <x:c r="A110" s="2"/>
      <x:c r="B110" s="2" t="str">
        <x:v>RSHPCS</x:v>
      </x:c>
      <x:c r="C110" s="12" t="n">
        <x:v>44105</x:v>
      </x:c>
      <x:c r="D110" s="13" t="n">
        <x:v>29987</x:v>
      </x:c>
      <x:c r="E110" s="2"/>
      <x:c r="F110" s="2"/>
    </x:row>
    <x:row r="111" ht="28" customHeight="1">
      <x:c r="A111" s="2"/>
      <x:c r="B111" s="2" t="str">
        <x:v>RSHPCS</x:v>
      </x:c>
      <x:c r="C111" s="12" t="n">
        <x:v>44136</x:v>
      </x:c>
      <x:c r="D111" s="13" t="n">
        <x:v>29583</x:v>
      </x:c>
      <x:c r="E111" s="2"/>
      <x:c r="F111" s="2"/>
    </x:row>
    <x:row r="112" ht="28" customHeight="1">
      <x:c r="A112" s="2"/>
      <x:c r="B112" s="2" t="str">
        <x:v>RSHPCS</x:v>
      </x:c>
      <x:c r="C112" s="12" t="n">
        <x:v>44166</x:v>
      </x:c>
      <x:c r="D112" s="13" t="n">
        <x:v>29717</x:v>
      </x:c>
      <x:c r="E112" s="2"/>
      <x:c r="F112" s="2"/>
    </x:row>
    <x:row r="113" ht="28" customHeight="1">
      <x:c r="A113" s="2"/>
      <x:c r="B113" s="2" t="str">
        <x:v>RSHPCS</x:v>
      </x:c>
      <x:c r="C113" s="12" t="n">
        <x:v>44197</x:v>
      </x:c>
      <x:c r="D113" s="13" t="n">
        <x:v>29812</x:v>
      </x:c>
      <x:c r="E113" s="2"/>
      <x:c r="F113" s="2"/>
    </x:row>
    <x:row r="114" ht="28" customHeight="1">
      <x:c r="A114" s="2"/>
      <x:c r="B114" s="2" t="str">
        <x:v>RSHPCS</x:v>
      </x:c>
      <x:c r="C114" s="12" t="n">
        <x:v>44228</x:v>
      </x:c>
      <x:c r="D114" s="13" t="n">
        <x:v>29636</x:v>
      </x:c>
      <x:c r="E114" s="2"/>
      <x:c r="F114" s="2"/>
    </x:row>
    <x:row r="115" ht="28" customHeight="1">
      <x:c r="A115" s="2"/>
      <x:c r="B115" s="2" t="str">
        <x:v>RSHPCS</x:v>
      </x:c>
      <x:c r="C115" s="12" t="n">
        <x:v>44256</x:v>
      </x:c>
      <x:c r="D115" s="13" t="n">
        <x:v>32090</x:v>
      </x:c>
      <x:c r="E115" s="2"/>
      <x:c r="F115" s="2"/>
    </x:row>
    <x:row r="116" ht="28" customHeight="1">
      <x:c r="A116" s="2"/>
      <x:c r="B116" s="2" t="str">
        <x:v>RSHPCS</x:v>
      </x:c>
      <x:c r="C116" s="12" t="n">
        <x:v>44287</x:v>
      </x:c>
      <x:c r="D116" s="13" t="n">
        <x:v>31957</x:v>
      </x:c>
      <x:c r="E116" s="2"/>
      <x:c r="F116" s="2"/>
    </x:row>
    <x:row r="117" ht="28" customHeight="1">
      <x:c r="A117" s="2"/>
      <x:c r="B117" s="2" t="str">
        <x:v>RSHPCS</x:v>
      </x:c>
      <x:c r="C117" s="12" t="n">
        <x:v>44317</x:v>
      </x:c>
      <x:c r="D117" s="13" t="n">
        <x:v>31321</x:v>
      </x:c>
      <x:c r="E117" s="2"/>
      <x:c r="F117" s="2"/>
    </x:row>
    <x:row r="118" ht="28" customHeight="1">
      <x:c r="A118" s="2"/>
      <x:c r="B118" s="2" t="str">
        <x:v>RSHPCS</x:v>
      </x:c>
      <x:c r="C118" s="12" t="n">
        <x:v>44348</x:v>
      </x:c>
      <x:c r="D118" s="13" t="n">
        <x:v>32334</x:v>
      </x:c>
      <x:c r="E118" s="2"/>
      <x:c r="F118" s="2"/>
    </x:row>
    <x:row r="119" ht="28" customHeight="1">
      <x:c r="A119" s="2"/>
      <x:c r="B119" s="2" t="str">
        <x:v>RSHPCS</x:v>
      </x:c>
      <x:c r="C119" s="12" t="n">
        <x:v>44378</x:v>
      </x:c>
      <x:c r="D119" s="13" t="n">
        <x:v>32225</x:v>
      </x:c>
      <x:c r="E119" s="2"/>
      <x:c r="F119" s="2"/>
    </x:row>
    <x:row r="120" ht="28" customHeight="1">
      <x:c r="A120" s="2"/>
      <x:c r="B120" s="2" t="str">
        <x:v>RSHPCS</x:v>
      </x:c>
      <x:c r="C120" s="12" t="n">
        <x:v>44409</x:v>
      </x:c>
      <x:c r="D120" s="13" t="n">
        <x:v>32429</x:v>
      </x:c>
      <x:c r="E120" s="2"/>
      <x:c r="F120" s="2"/>
    </x:row>
    <x:row r="121" ht="28" customHeight="1">
      <x:c r="A121" s="2"/>
      <x:c r="B121" s="2" t="str">
        <x:v>RSHPCS</x:v>
      </x:c>
      <x:c r="C121" s="12" t="n">
        <x:v>44440</x:v>
      </x:c>
      <x:c r="D121" s="13" t="n">
        <x:v>32183</x:v>
      </x:c>
      <x:c r="E121" s="2"/>
      <x:c r="F121" s="2"/>
    </x:row>
    <x:row r="122" ht="28" customHeight="1">
      <x:c r="A122" s="2"/>
      <x:c r="B122" s="2" t="str">
        <x:v>RSHPCS</x:v>
      </x:c>
      <x:c r="C122" s="12" t="n">
        <x:v>44470</x:v>
      </x:c>
      <x:c r="D122" s="13" t="n">
        <x:v>32099</x:v>
      </x:c>
      <x:c r="E122" s="2"/>
      <x:c r="F122" s="2"/>
    </x:row>
    <x:row r="123" ht="28" customHeight="1">
      <x:c r="A123" s="2"/>
      <x:c r="B123" s="2" t="str">
        <x:v>RSHPCS</x:v>
      </x:c>
      <x:c r="C123" s="12" t="n">
        <x:v>44501</x:v>
      </x:c>
      <x:c r="D123" s="13" t="n">
        <x:v>32490</x:v>
      </x:c>
      <x:c r="E123" s="2"/>
      <x:c r="F123" s="2"/>
    </x:row>
    <x:row r="124" ht="28" customHeight="1">
      <x:c r="A124" s="2"/>
      <x:c r="B124" s="2" t="str">
        <x:v>RSHPCS</x:v>
      </x:c>
      <x:c r="C124" s="12" t="n">
        <x:v>44531</x:v>
      </x:c>
      <x:c r="D124" s="13" t="n">
        <x:v>32390</x:v>
      </x:c>
      <x:c r="E124" s="2"/>
      <x:c r="F124" s="2"/>
    </x:row>
    <x:row r="125" ht="28" customHeight="1">
      <x:c r="A125" s="2"/>
      <x:c r="B125" s="2" t="str">
        <x:v>RSHPCS</x:v>
      </x:c>
      <x:c r="C125" s="12" t="n">
        <x:v>44562</x:v>
      </x:c>
      <x:c r="D125" s="13" t="n">
        <x:v>32664</x:v>
      </x:c>
      <x:c r="E125" s="2"/>
      <x:c r="F125" s="2"/>
    </x:row>
    <x:row r="126" ht="28" customHeight="1">
      <x:c r="A126" s="2"/>
      <x:c r="B126" s="2" t="str">
        <x:v>RSHPCS</x:v>
      </x:c>
      <x:c r="C126" s="12" t="n">
        <x:v>44593</x:v>
      </x:c>
      <x:c r="D126" s="13" t="n">
        <x:v>32416</x:v>
      </x:c>
      <x:c r="E126" s="2"/>
      <x:c r="F126" s="2"/>
    </x:row>
    <x:row r="127" ht="28" customHeight="1">
      <x:c r="A127" s="2"/>
      <x:c r="B127" s="2" t="str">
        <x:v>RSHPCS</x:v>
      </x:c>
      <x:c r="C127" s="12" t="n">
        <x:v>44621</x:v>
      </x:c>
      <x:c r="D127" s="13" t="n">
        <x:v>32553</x:v>
      </x:c>
      <x:c r="E127" s="2"/>
      <x:c r="F127" s="2"/>
    </x:row>
    <x:row r="128" ht="28" customHeight="1">
      <x:c r="A128" s="2"/>
      <x:c r="B128" s="2" t="str">
        <x:v>RSHPCS</x:v>
      </x:c>
      <x:c r="C128" s="12" t="n">
        <x:v>44652</x:v>
      </x:c>
      <x:c r="D128" s="13" t="n">
        <x:v>32838</x:v>
      </x:c>
      <x:c r="E128" s="2"/>
      <x:c r="F128" s="2"/>
    </x:row>
    <x:row r="129" ht="28" customHeight="1">
      <x:c r="A129" s="2"/>
      <x:c r="B129" s="2" t="str">
        <x:v>RSHPCS</x:v>
      </x:c>
      <x:c r="C129" s="12" t="n">
        <x:v>44682</x:v>
      </x:c>
      <x:c r="D129" s="13" t="n">
        <x:v>32656</x:v>
      </x:c>
      <x:c r="E129" s="2"/>
      <x:c r="F129" s="2"/>
    </x:row>
    <x:row r="130" ht="28" customHeight="1">
      <x:c r="A130" s="2"/>
      <x:c r="B130" s="2" t="str">
        <x:v>RSHPCS</x:v>
      </x:c>
      <x:c r="C130" s="12" t="n">
        <x:v>44713</x:v>
      </x:c>
      <x:c r="D130" s="13" t="n">
        <x:v>33212</x:v>
      </x:c>
      <x:c r="E130" s="2"/>
      <x:c r="F130" s="2"/>
    </x:row>
    <x:row r="131" ht="28" customHeight="1">
      <x:c r="A131" s="2"/>
      <x:c r="B131" s="2" t="str">
        <x:v>RSHPCS</x:v>
      </x:c>
      <x:c r="C131" s="12" t="n">
        <x:v>44743</x:v>
      </x:c>
      <x:c r="D131" s="13" t="n">
        <x:v>33431</x:v>
      </x:c>
      <x:c r="E131" s="2"/>
      <x:c r="F131" s="2"/>
    </x:row>
    <x:row r="132" ht="28" customHeight="1">
      <x:c r="A132" s="2"/>
      <x:c r="B132" s="2" t="str">
        <x:v>RSHPCS</x:v>
      </x:c>
      <x:c r="C132" s="12" t="n">
        <x:v>44774</x:v>
      </x:c>
      <x:c r="D132" s="13" t="n">
        <x:v>33318</x:v>
      </x:c>
      <x:c r="E132" s="2"/>
      <x:c r="F132" s="2"/>
    </x:row>
    <x:row r="133" ht="28" customHeight="1">
      <x:c r="A133" s="2"/>
      <x:c r="B133" s="2" t="str">
        <x:v>RSHPCS</x:v>
      </x:c>
      <x:c r="C133" s="12" t="n">
        <x:v>44805</x:v>
      </x:c>
      <x:c r="D133" s="13" t="n">
        <x:v>33529</x:v>
      </x:c>
      <x:c r="E133" s="2"/>
      <x:c r="F133" s="2"/>
    </x:row>
    <x:row r="134" ht="28" customHeight="1">
      <x:c r="A134" s="2"/>
      <x:c r="B134" s="2" t="str">
        <x:v>RSHPCS</x:v>
      </x:c>
      <x:c r="C134" s="12" t="n">
        <x:v>44835</x:v>
      </x:c>
      <x:c r="D134" s="13" t="n">
        <x:v>33673</x:v>
      </x:c>
      <x:c r="E134" s="2"/>
      <x:c r="F134" s="2"/>
    </x:row>
    <x:row r="135" ht="28" customHeight="1">
      <x:c r="A135" s="2"/>
      <x:c r="B135" s="2" t="str">
        <x:v>RSHPCS</x:v>
      </x:c>
      <x:c r="C135" s="12" t="n">
        <x:v>44866</x:v>
      </x:c>
      <x:c r="D135" s="13" t="n">
        <x:v>33896</x:v>
      </x:c>
      <x:c r="E135" s="2"/>
      <x:c r="F135" s="2"/>
    </x:row>
    <x:row r="136" ht="28" customHeight="1">
      <x:c r="A136" s="2"/>
      <x:c r="B136" s="2" t="str">
        <x:v>RSHPCS</x:v>
      </x:c>
      <x:c r="C136" s="12" t="n">
        <x:v>44896</x:v>
      </x:c>
      <x:c r="D136" s="13" t="n">
        <x:v>33098</x:v>
      </x:c>
      <x:c r="E136" s="2"/>
      <x:c r="F136" s="2"/>
    </x:row>
    <x:row r="137" ht="28" customHeight="1">
      <x:c r="A137" s="2"/>
      <x:c r="B137" s="2" t="str">
        <x:v>RSHPCS</x:v>
      </x:c>
      <x:c r="C137" s="12" t="n">
        <x:v>44927</x:v>
      </x:c>
      <x:c r="D137" s="13" t="n">
        <x:v>34603</x:v>
      </x:c>
      <x:c r="E137" s="2"/>
      <x:c r="F137" s="2"/>
    </x:row>
    <x:row r="138" ht="28" customHeight="1">
      <x:c r="A138" s="2"/>
      <x:c r="B138" s="2" t="str">
        <x:v>RSHPCS</x:v>
      </x:c>
      <x:c r="C138" s="12" t="n">
        <x:v>44958</x:v>
      </x:c>
      <x:c r="D138" s="13" t="n">
        <x:v>35070</x:v>
      </x:c>
      <x:c r="E138" s="2"/>
      <x:c r="F138" s="2"/>
    </x:row>
    <x:row r="139" ht="28" customHeight="1">
      <x:c r="A139" s="2"/>
      <x:c r="B139" s="2" t="str">
        <x:v>RSHPCS</x:v>
      </x:c>
      <x:c r="C139" s="12" t="n">
        <x:v>44986</x:v>
      </x:c>
      <x:c r="D139" s="13" t="n">
        <x:v>35207</x:v>
      </x:c>
      <x:c r="E139" s="2"/>
      <x:c r="F139" s="2"/>
    </x:row>
    <x:row r="140" ht="28" customHeight="1">
      <x:c r="A140" s="2"/>
      <x:c r="B140" s="2" t="str">
        <x:v>RSHPCS</x:v>
      </x:c>
      <x:c r="C140" s="12" t="n">
        <x:v>45017</x:v>
      </x:c>
      <x:c r="D140" s="13" t="n">
        <x:v>35493</x:v>
      </x:c>
      <x:c r="E140" s="2"/>
      <x:c r="F140" s="2"/>
    </x:row>
    <x:row r="141" ht="28" customHeight="1">
      <x:c r="A141" s="2"/>
      <x:c r="B141" s="2" t="str">
        <x:v>RSHPCS</x:v>
      </x:c>
      <x:c r="C141" s="12" t="n">
        <x:v>45047</x:v>
      </x:c>
      <x:c r="D141" s="13" t="n">
        <x:v>35745</x:v>
      </x:c>
      <x:c r="E141" s="2"/>
      <x:c r="F141" s="2"/>
    </x:row>
    <x:row r="142" ht="28" customHeight="1">
      <x:c r="A142" s="2"/>
      <x:c r="B142" s="2" t="str">
        <x:v>RSHPCS</x:v>
      </x:c>
      <x:c r="C142" s="12" t="n">
        <x:v>45078</x:v>
      </x:c>
      <x:c r="D142" s="13" t="n">
        <x:v>35734</x:v>
      </x:c>
      <x:c r="E142" s="2"/>
      <x:c r="F142" s="2"/>
    </x:row>
    <x:row r="143" ht="28" customHeight="1">
      <x:c r="A143" s="2"/>
      <x:c r="B143" s="2" t="str">
        <x:v>RSHPCS</x:v>
      </x:c>
      <x:c r="C143" s="12" t="n">
        <x:v>45108</x:v>
      </x:c>
      <x:c r="D143" s="13" t="n">
        <x:v>35455</x:v>
      </x:c>
      <x:c r="E143" s="2"/>
      <x:c r="F143" s="2"/>
    </x:row>
    <x:row r="144" ht="28" customHeight="1">
      <x:c r="A144" s="2"/>
      <x:c r="B144" s="2" t="str">
        <x:v>RSHPCS</x:v>
      </x:c>
      <x:c r="C144" s="12" t="n">
        <x:v>45139</x:v>
      </x:c>
      <x:c r="D144" s="13" t="n">
        <x:v>36097</x:v>
      </x:c>
      <x:c r="E144" s="2"/>
      <x:c r="F144" s="2"/>
    </x:row>
    <x:row r="145" ht="28" customHeight="1">
      <x:c r="A145" s="2"/>
      <x:c r="B145" s="2" t="str">
        <x:v>RSHPCS</x:v>
      </x:c>
      <x:c r="C145" s="12" t="n">
        <x:v>45170</x:v>
      </x:c>
      <x:c r="D145" s="13" t="n">
        <x:v>36011</x:v>
      </x:c>
      <x:c r="E145" s="2"/>
      <x:c r="F145" s="2"/>
    </x:row>
    <x:row r="146" ht="28" customHeight="1">
      <x:c r="A146" s="2"/>
      <x:c r="B146" s="2" t="str">
        <x:v>RSHPCS</x:v>
      </x:c>
      <x:c r="C146" s="12" t="n">
        <x:v>45200</x:v>
      </x:c>
      <x:c r="D146" s="13" t="n">
        <x:v>37298</x:v>
      </x:c>
      <x:c r="E146" s="2"/>
      <x:c r="F146" s="2"/>
    </x:row>
    <x:row r="147" ht="28" customHeight="1">
      <x:c r="A147" s="2"/>
      <x:c r="B147" s="2" t="str">
        <x:v>RSHPCS</x:v>
      </x:c>
      <x:c r="C147" s="12" t="n">
        <x:v>45231</x:v>
      </x:c>
      <x:c r="D147" s="13" t="n">
        <x:v>37150</x:v>
      </x:c>
      <x:c r="E147" s="2"/>
      <x:c r="F147" s="2"/>
    </x:row>
    <x:row r="148" ht="28" customHeight="1">
      <x:c r="A148" s="2"/>
      <x:c r="B148" s="2" t="str">
        <x:v>RSHPCS</x:v>
      </x:c>
      <x:c r="C148" s="12" t="n">
        <x:v>45261</x:v>
      </x:c>
      <x:c r="D148" s="13" t="n">
        <x:v>36210</x:v>
      </x:c>
      <x:c r="E148" s="2"/>
      <x:c r="F148" s="2"/>
    </x:row>
    <x:row r="149" ht="28" customHeight="1">
      <x:c r="A149" s="2"/>
      <x:c r="B149" s="2" t="str">
        <x:v>RSHPCS</x:v>
      </x:c>
      <x:c r="C149" s="12" t="n">
        <x:v>45292</x:v>
      </x:c>
      <x:c r="D149" s="13" t="n">
        <x:v>35827</x:v>
      </x:c>
      <x:c r="E149" s="2"/>
      <x:c r="F149" s="2"/>
    </x:row>
    <x:row r="150" ht="28" customHeight="1">
      <x:c r="A150" s="2"/>
      <x:c r="B150" s="2" t="str">
        <x:v>RSHPCS</x:v>
      </x:c>
      <x:c r="C150" s="12" t="n">
        <x:v>45323</x:v>
      </x:c>
      <x:c r="D150" s="13" t="n">
        <x:v>35765</x:v>
      </x:c>
      <x:c r="E150" s="2"/>
      <x:c r="F150" s="2"/>
    </x:row>
    <x:row r="151" ht="28" customHeight="1">
      <x:c r="A151" s="2"/>
      <x:c r="B151" s="2" t="str">
        <x:v>RSHPCS</x:v>
      </x:c>
      <x:c r="C151" s="12" t="n">
        <x:v>45352</x:v>
      </x:c>
      <x:c r="D151" s="13" t="n">
        <x:v>35624</x:v>
      </x:c>
      <x:c r="E151" s="2"/>
      <x:c r="F151" s="2"/>
    </x:row>
    <x:row r="152" ht="28" customHeight="1">
      <x:c r="A152" s="2"/>
      <x:c r="B152" s="2" t="str">
        <x:v>RSHPCS</x:v>
      </x:c>
      <x:c r="C152" s="12" t="n">
        <x:v>45383</x:v>
      </x:c>
      <x:c r="D152" s="13" t="n">
        <x:v>35778</x:v>
      </x:c>
      <x:c r="E152" s="2"/>
      <x:c r="F152" s="2"/>
    </x:row>
    <x:row r="153" ht="28" customHeight="1">
      <x:c r="A153" s="2"/>
      <x:c r="B153" s="2" t="str">
        <x:v>RSHPCS</x:v>
      </x:c>
      <x:c r="C153" s="12" t="n">
        <x:v>45413</x:v>
      </x:c>
      <x:c r="D153" s="13" t="n">
        <x:v>36028</x:v>
      </x:c>
      <x:c r="E153" s="2"/>
      <x:c r="F153" s="2"/>
    </x:row>
    <x:row r="154" ht="28" customHeight="1">
      <x:c r="A154" s="2"/>
      <x:c r="B154" s="2" t="str">
        <x:v>RSHPCS</x:v>
      </x:c>
      <x:c r="C154" s="12" t="n">
        <x:v>45444</x:v>
      </x:c>
      <x:c r="D154" s="13" t="n">
        <x:v>36021</x:v>
      </x:c>
      <x:c r="E154" s="2"/>
      <x:c r="F154" s="2"/>
    </x:row>
    <x:row r="155" ht="28" customHeight="1">
      <x:c r="A155" s="2"/>
      <x:c r="B155" s="2" t="str">
        <x:v>RSHPCS</x:v>
      </x:c>
      <x:c r="C155" s="12" t="n">
        <x:v>45474</x:v>
      </x:c>
      <x:c r="D155" s="13" t="n">
        <x:v>37535</x:v>
      </x:c>
      <x:c r="E155" s="2"/>
      <x:c r="F155" s="2"/>
    </x:row>
    <x:row r="156" ht="28" customHeight="1">
      <x:c r="A156" s="2"/>
      <x:c r="B156" s="2" t="str">
        <x:v>RSHPCS</x:v>
      </x:c>
      <x:c r="C156" s="12" t="n">
        <x:v>45505</x:v>
      </x:c>
      <x:c r="D156" s="13" t="n">
        <x:v>37678</x:v>
      </x:c>
      <x:c r="E156" s="2"/>
      <x:c r="F156" s="2"/>
    </x:row>
    <x:row r="157" ht="28" customHeight="1">
      <x:c r="A157" s="2"/>
      <x:c r="B157" s="2" t="str">
        <x:v>RSHPCS</x:v>
      </x:c>
      <x:c r="C157" s="12" t="n">
        <x:v>45536</x:v>
      </x:c>
      <x:c r="D157" s="13" t="n">
        <x:v>38360</x:v>
      </x:c>
      <x:c r="E157" s="2"/>
      <x:c r="F157" s="2"/>
    </x:row>
    <x:row r="158" ht="28" customHeight="1">
      <x:c r="A158" s="2"/>
      <x:c r="B158" s="2" t="str">
        <x:v>RSHPCS</x:v>
      </x:c>
      <x:c r="C158" s="12" t="n">
        <x:v>45566</x:v>
      </x:c>
      <x:c r="D158" s="13" t="n">
        <x:v>38196</x:v>
      </x:c>
      <x:c r="E158" s="2"/>
      <x:c r="F158" s="2"/>
    </x:row>
    <x:row r="159" ht="28" customHeight="1">
      <x:c r="A159" s="2"/>
      <x:c r="B159" s="2" t="str">
        <x:v>RSHPCS</x:v>
      </x:c>
      <x:c r="C159" s="12" t="n">
        <x:v>45597</x:v>
      </x:c>
      <x:c r="D159" s="13" t="n">
        <x:v>38085</x:v>
      </x:c>
      <x:c r="E159" s="2"/>
      <x:c r="F159" s="2"/>
    </x:row>
    <x:row r="160" ht="28" customHeight="1">
      <x:c r="A160" s="2"/>
      <x:c r="B160" s="2" t="str">
        <x:v>RSHPCS</x:v>
      </x:c>
      <x:c r="C160" s="12" t="n">
        <x:v>45627</x:v>
      </x:c>
      <x:c r="D160" s="13" t="n">
        <x:v>37831</x:v>
      </x:c>
      <x:c r="E160" s="2"/>
      <x:c r="F160" s="2"/>
    </x:row>
    <x:row r="161" ht="28" customHeight="1">
      <x:c r="A161" s="2"/>
      <x:c r="B161" s="2" t="str">
        <x:v>RSHPCS</x:v>
      </x:c>
      <x:c r="C161" s="12" t="n">
        <x:v>45658</x:v>
      </x:c>
      <x:c r="D161" s="13" t="n">
        <x:v>37806</x:v>
      </x:c>
      <x:c r="E161" s="2"/>
      <x:c r="F161" s="2"/>
    </x:row>
    <x:row r="162" ht="28" customHeight="1">
      <x:c r="A162" s="2"/>
      <x:c r="B162" s="2" t="str">
        <x:v>RSHPCS</x:v>
      </x:c>
      <x:c r="C162" s="12" t="n">
        <x:v>45689</x:v>
      </x:c>
      <x:c r="D162" s="13" t="n">
        <x:v>38865</x:v>
      </x:c>
      <x:c r="E162" s="2"/>
      <x:c r="F162" s="2"/>
    </x:row>
    <x:row r="163" ht="28" customHeight="1">
      <x:c r="A163" s="2"/>
      <x:c r="B163" s="2" t="str">
        <x:v>RSHPCS</x:v>
      </x:c>
      <x:c r="C163" s="12" t="n">
        <x:v>45717</x:v>
      </x:c>
      <x:c r="D163" s="13" t="n">
        <x:v>39224</x:v>
      </x:c>
      <x:c r="E163" s="2"/>
      <x:c r="F163" s="2"/>
    </x:row>
    <x:row r="164" ht="28" customHeight="1">
      <x:c r="A164" s="2"/>
      <x:c r="B164" s="2" t="str">
        <x:v>RSHPCS</x:v>
      </x:c>
      <x:c r="C164" s="12" t="n">
        <x:v>45748</x:v>
      </x:c>
      <x:c r="D164" s="13" t="n">
        <x:v>38881</x:v>
      </x:c>
      <x:c r="E164" s="2"/>
      <x:c r="F164" s="2"/>
    </x:row>
    <x:row r="165" ht="28" customHeight="1">
      <x:c r="A165" s="2"/>
      <x:c r="B165" s="2" t="str">
        <x:v>RSHPCS</x:v>
      </x:c>
      <x:c r="C165" s="12" t="n">
        <x:v>45778</x:v>
      </x:c>
      <x:c r="D165" s="13" t="n">
        <x:v>39104</x:v>
      </x:c>
      <x:c r="E165" s="2"/>
      <x:c r="F165" s="2"/>
    </x:row>
    <x:row r="166" ht="28" customHeight="1">
      <x:c r="A166" s="2"/>
      <x:c r="B166" s="2" t="str">
        <x:v>RSHPCS</x:v>
      </x:c>
      <x:c r="C166" s="12" t="n">
        <x:v>45809</x:v>
      </x:c>
      <x:c r="D166" s="13" t="n">
        <x:v>39517</x:v>
      </x:c>
      <x:c r="E166" s="2"/>
      <x:c r="F166" s="2"/>
    </x:row>
    <x:row r="167" ht="28" customHeight="1">
      <x:c r="A167" s="2"/>
      <x:c r="B167" s="2" t="str">
        <x:v>RSHPCS</x:v>
      </x:c>
      <x:c r="C167" s="12" t="n">
        <x:v>45839</x:v>
      </x:c>
      <x:c r="D167" s="13" t="n">
        <x:v>40182</x:v>
      </x:c>
      <x:c r="E167" s="2"/>
      <x:c r="F167" s="2"/>
    </x:row>
    <x:row r="168" ht="28" customHeight="1">
      <x:c r="A168" s="2"/>
      <x:c r="B168" s="2" t="str">
        <x:v>RSHPCS</x:v>
      </x:c>
      <x:c r="C168" s="12" t="n">
        <x:v>45870</x:v>
      </x:c>
      <x:c r="D168" s="13" t="n">
        <x:v>40118</x:v>
      </x:c>
      <x:c r="E168" s="2"/>
      <x:c r="F168" s="2"/>
    </x:row>
    <x:row r="169" ht="28" customHeight="1">
      <x:c r="A169" s="2"/>
      <x:c r="B169" s="2" t="str">
        <x:v>RSHPCS</x:v>
      </x:c>
      <x:c r="C169" s="12" t="n">
        <x:v>45901</x:v>
      </x:c>
      <x:c r="D169" s="13" t="n">
        <x:v>40637</x:v>
      </x:c>
      <x:c r="E169" s="2"/>
      <x:c r="F169" s="2"/>
    </x:row>
    <x:row r="170" ht="28" customHeight="1">
      <x:c r="A170" s="2"/>
      <x:c r="B170" s="2" t="str">
        <x:v>RSHPCS</x:v>
      </x:c>
      <x:c r="C170" s="12" t="n">
        <x:v>45931</x:v>
      </x:c>
      <x:c r="D170" s="13" t="n">
        <x:v>40456</x:v>
      </x:c>
      <x:c r="E170" s="2"/>
      <x:c r="F170" s="2"/>
    </x:row>
    <x:row r="171" ht="28" customHeight="1">
      <x:c r="A171" s="2"/>
      <x:c r="B171" s="2" t="str">
        <x:v>RSHPCS</x:v>
      </x:c>
      <x:c r="C171" s="12" t="n">
        <x:v>45962</x:v>
      </x:c>
      <x:c r="D171" s="13" t="n">
        <x:v>40222</x:v>
      </x:c>
      <x:c r="E171" s="2"/>
      <x:c r="F171" s="2"/>
    </x:row>
    <x:row r="172" ht="28" customHeight="1">
      <x:c r="A172" s="2"/>
      <x:c r="B172" s="2" t="str">
        <x:v>RSHPCS</x:v>
      </x:c>
      <x:c r="C172" s="12" t="n">
        <x:v>45992</x:v>
      </x:c>
      <x:c r="D172" s="13" t="n">
        <x:v>40119</x:v>
      </x:c>
      <x:c r="E172" s="2"/>
      <x:c r="F172" s="2"/>
    </x:row>
    <x:row r="173" ht="28" customHeight="1">
      <x:c r="A173" s="2"/>
      <x:c r="B173" s="2" t="str">
        <x:v>RSHPCS</x:v>
      </x:c>
      <x:c r="C173" s="12" t="n">
        <x:v>46023</x:v>
      </x:c>
      <x:c r="D173" s="13" t="n">
        <x:v>38913</x:v>
      </x:c>
      <x:c r="E173" s="2"/>
      <x:c r="F173" s="2"/>
    </x:row>
    <x:row r="174" ht="28" customHeight="1">
      <x:c r="A174" s="2"/>
      <x:c r="B174" s="2" t="str">
        <x:v>RSHPCS</x:v>
      </x:c>
      <x:c r="C174" s="12" t="n">
        <x:v>46054</x:v>
      </x:c>
      <x:c r="D174" s="13" t="n">
        <x:v>39686</x:v>
      </x:c>
      <x:c r="E174" s="2"/>
      <x:c r="F174" s="2"/>
    </x:row>
    <x:row r="175" ht="28" customHeight="1">
      <x:c r="A175" s="2"/>
      <x:c r="B175" s="2" t="str">
        <x:v>RSHPCS</x:v>
      </x:c>
      <x:c r="C175" s="12" t="n">
        <x:v>46082</x:v>
      </x:c>
      <x:c r="D175" s="13" t="n">
        <x:v>39866</x:v>
      </x:c>
      <x:c r="E175" s="2"/>
      <x:c r="F175" s="2"/>
    </x:row>
    <x:row r="176" ht="28" customHeight="1">
      <x:c r="A176" s="2"/>
      <x:c r="B176" s="2" t="str">
        <x:v>CUUR0000SEGB02</x:v>
      </x:c>
      <x:c r="C176" s="12" t="n">
        <x:v>43831</x:v>
      </x:c>
      <x:c r="D176" s="13" t="n">
        <x:v>179.656</x:v>
      </x:c>
      <x:c r="E176" s="2"/>
      <x:c r="F176" s="2"/>
    </x:row>
    <x:row r="177" ht="28" customHeight="1">
      <x:c r="A177" s="2"/>
      <x:c r="B177" s="2" t="str">
        <x:v>CUUR0000SEGB02</x:v>
      </x:c>
      <x:c r="C177" s="12" t="n">
        <x:v>43862</x:v>
      </x:c>
      <x:c r="D177" s="13" t="n">
        <x:v>181.381</x:v>
      </x:c>
      <x:c r="E177" s="2"/>
      <x:c r="F177" s="2"/>
    </x:row>
    <x:row r="178" ht="28" customHeight="1">
      <x:c r="A178" s="2"/>
      <x:c r="B178" s="2" t="str">
        <x:v>CUUR0000SEGB02</x:v>
      </x:c>
      <x:c r="C178" s="12" t="n">
        <x:v>43891</x:v>
      </x:c>
      <x:c r="D178" s="13" t="n">
        <x:v>181.669</x:v>
      </x:c>
      <x:c r="E178" s="2"/>
      <x:c r="F178" s="2"/>
    </x:row>
    <x:row r="179" ht="28" customHeight="1">
      <x:c r="A179" s="2"/>
      <x:c r="B179" s="2" t="str">
        <x:v>CUUR0000SEGB02</x:v>
      </x:c>
      <x:c r="C179" s="12" t="n">
        <x:v>43922</x:v>
      </x:c>
      <x:c r="D179" s="13" t="n">
        <x:v>180.95</x:v>
      </x:c>
      <x:c r="E179" s="2"/>
      <x:c r="F179" s="2"/>
    </x:row>
    <x:row r="180" ht="28" customHeight="1">
      <x:c r="A180" s="2"/>
      <x:c r="B180" s="2" t="str">
        <x:v>CUUR0000SEGB02</x:v>
      </x:c>
      <x:c r="C180" s="12" t="n">
        <x:v>43952</x:v>
      </x:c>
      <x:c r="D180" s="13" t="n">
        <x:v>179.553</x:v>
      </x:c>
      <x:c r="E180" s="2"/>
      <x:c r="F180" s="2"/>
    </x:row>
    <x:row r="181" ht="28" customHeight="1">
      <x:c r="A181" s="2"/>
      <x:c r="B181" s="2" t="str">
        <x:v>CUUR0000SEGB02</x:v>
      </x:c>
      <x:c r="C181" s="12" t="n">
        <x:v>43983</x:v>
      </x:c>
      <x:c r="D181" s="13" t="n">
        <x:v>178.426</x:v>
      </x:c>
      <x:c r="E181" s="2"/>
      <x:c r="F181" s="2"/>
    </x:row>
    <x:row r="182" ht="28" customHeight="1">
      <x:c r="A182" s="2"/>
      <x:c r="B182" s="2" t="str">
        <x:v>CUUR0000SEGB02</x:v>
      </x:c>
      <x:c r="C182" s="12" t="n">
        <x:v>44013</x:v>
      </x:c>
      <x:c r="D182" s="13" t="n">
        <x:v>179.374</x:v>
      </x:c>
      <x:c r="E182" s="2"/>
      <x:c r="F182" s="2"/>
    </x:row>
    <x:row r="183" ht="28" customHeight="1">
      <x:c r="A183" s="2"/>
      <x:c r="B183" s="2" t="str">
        <x:v>CUUR0000SEGB02</x:v>
      </x:c>
      <x:c r="C183" s="12" t="n">
        <x:v>44044</x:v>
      </x:c>
      <x:c r="D183" s="13" t="n">
        <x:v>179.164</x:v>
      </x:c>
      <x:c r="E183" s="2"/>
      <x:c r="F183" s="2"/>
    </x:row>
    <x:row r="184" ht="28" customHeight="1">
      <x:c r="A184" s="2"/>
      <x:c r="B184" s="2" t="str">
        <x:v>CUUR0000SEGB02</x:v>
      </x:c>
      <x:c r="C184" s="12" t="n">
        <x:v>44075</x:v>
      </x:c>
      <x:c r="D184" s="13" t="n">
        <x:v>177.631</x:v>
      </x:c>
      <x:c r="E184" s="2"/>
      <x:c r="F184" s="2"/>
    </x:row>
    <x:row r="185" ht="28" customHeight="1">
      <x:c r="A185" s="2"/>
      <x:c r="B185" s="2" t="str">
        <x:v>CUUR0000SEGB02</x:v>
      </x:c>
      <x:c r="C185" s="12" t="n">
        <x:v>44105</x:v>
      </x:c>
      <x:c r="D185" s="13" t="n">
        <x:v>178.135</x:v>
      </x:c>
      <x:c r="E185" s="2"/>
      <x:c r="F185" s="2"/>
    </x:row>
    <x:row r="186" ht="28" customHeight="1">
      <x:c r="A186" s="2"/>
      <x:c r="B186" s="2" t="str">
        <x:v>CUUR0000SEGB02</x:v>
      </x:c>
      <x:c r="C186" s="12" t="n">
        <x:v>44136</x:v>
      </x:c>
      <x:c r="D186" s="13" t="n">
        <x:v>179.082</x:v>
      </x:c>
      <x:c r="E186" s="2"/>
      <x:c r="F186" s="2"/>
    </x:row>
    <x:row r="187" ht="28" customHeight="1">
      <x:c r="A187" s="2"/>
      <x:c r="B187" s="2" t="str">
        <x:v>CUUR0000SEGB02</x:v>
      </x:c>
      <x:c r="C187" s="12" t="n">
        <x:v>44166</x:v>
      </x:c>
      <x:c r="D187" s="13" t="n">
        <x:v>178.552</x:v>
      </x:c>
      <x:c r="E187" s="2"/>
      <x:c r="F187" s="2"/>
    </x:row>
    <x:row r="188" ht="28" customHeight="1">
      <x:c r="A188" s="2"/>
      <x:c r="B188" s="2" t="str">
        <x:v>CUUR0000SEGB02</x:v>
      </x:c>
      <x:c r="C188" s="12" t="n">
        <x:v>44197</x:v>
      </x:c>
      <x:c r="D188" s="13" t="n">
        <x:v>179.952</x:v>
      </x:c>
      <x:c r="E188" s="2"/>
      <x:c r="F188" s="2"/>
    </x:row>
    <x:row r="189" ht="28" customHeight="1">
      <x:c r="A189" s="2"/>
      <x:c r="B189" s="2" t="str">
        <x:v>CUUR0000SEGB02</x:v>
      </x:c>
      <x:c r="C189" s="12" t="n">
        <x:v>44228</x:v>
      </x:c>
      <x:c r="D189" s="13" t="n">
        <x:v>180.497</x:v>
      </x:c>
      <x:c r="E189" s="2"/>
      <x:c r="F189" s="2"/>
    </x:row>
    <x:row r="190" ht="28" customHeight="1">
      <x:c r="A190" s="2"/>
      <x:c r="B190" s="2" t="str">
        <x:v>CUUR0000SEGB02</x:v>
      </x:c>
      <x:c r="C190" s="12" t="n">
        <x:v>44256</x:v>
      </x:c>
      <x:c r="D190" s="13" t="n">
        <x:v>180.006</x:v>
      </x:c>
      <x:c r="E190" s="2"/>
      <x:c r="F190" s="2"/>
    </x:row>
    <x:row r="191" ht="28" customHeight="1">
      <x:c r="A191" s="2"/>
      <x:c r="B191" s="2" t="str">
        <x:v>CUUR0000SEGB02</x:v>
      </x:c>
      <x:c r="C191" s="12" t="n">
        <x:v>44287</x:v>
      </x:c>
      <x:c r="D191" s="13" t="n">
        <x:v>180.289</x:v>
      </x:c>
      <x:c r="E191" s="2"/>
      <x:c r="F191" s="2"/>
    </x:row>
    <x:row r="192" ht="28" customHeight="1">
      <x:c r="A192" s="2"/>
      <x:c r="B192" s="2" t="str">
        <x:v>CUUR0000SEGB02</x:v>
      </x:c>
      <x:c r="C192" s="12" t="n">
        <x:v>44317</x:v>
      </x:c>
      <x:c r="D192" s="13" t="n">
        <x:v>178.222</x:v>
      </x:c>
      <x:c r="E192" s="2"/>
      <x:c r="F192" s="2"/>
    </x:row>
    <x:row r="193" ht="28" customHeight="1">
      <x:c r="A193" s="2"/>
      <x:c r="B193" s="2" t="str">
        <x:v>CUUR0000SEGB02</x:v>
      </x:c>
      <x:c r="C193" s="12" t="n">
        <x:v>44348</x:v>
      </x:c>
      <x:c r="D193" s="13" t="n">
        <x:v>178.072</x:v>
      </x:c>
      <x:c r="E193" s="2"/>
      <x:c r="F193" s="2"/>
    </x:row>
    <x:row r="194" ht="28" customHeight="1">
      <x:c r="A194" s="2"/>
      <x:c r="B194" s="2" t="str">
        <x:v>CUUR0000SEGB02</x:v>
      </x:c>
      <x:c r="C194" s="12" t="n">
        <x:v>44378</x:v>
      </x:c>
      <x:c r="D194" s="13" t="n">
        <x:v>176.207</x:v>
      </x:c>
      <x:c r="E194" s="2"/>
      <x:c r="F194" s="2"/>
    </x:row>
    <x:row r="195" ht="28" customHeight="1">
      <x:c r="A195" s="2"/>
      <x:c r="B195" s="2" t="str">
        <x:v>CUUR0000SEGB02</x:v>
      </x:c>
      <x:c r="C195" s="12" t="n">
        <x:v>44409</x:v>
      </x:c>
      <x:c r="D195" s="13" t="n">
        <x:v>178.556</x:v>
      </x:c>
      <x:c r="E195" s="2"/>
      <x:c r="F195" s="2"/>
    </x:row>
    <x:row r="196" ht="28" customHeight="1">
      <x:c r="A196" s="2"/>
      <x:c r="B196" s="2" t="str">
        <x:v>CUUR0000SEGB02</x:v>
      </x:c>
      <x:c r="C196" s="12" t="n">
        <x:v>44440</x:v>
      </x:c>
      <x:c r="D196" s="13" t="n">
        <x:v>178.72</x:v>
      </x:c>
      <x:c r="E196" s="2"/>
      <x:c r="F196" s="2"/>
    </x:row>
    <x:row r="197" ht="28" customHeight="1">
      <x:c r="A197" s="2"/>
      <x:c r="B197" s="2" t="str">
        <x:v>CUUR0000SEGB02</x:v>
      </x:c>
      <x:c r="C197" s="12" t="n">
        <x:v>44470</x:v>
      </x:c>
      <x:c r="D197" s="13" t="n">
        <x:v>178.309</x:v>
      </x:c>
      <x:c r="E197" s="2"/>
      <x:c r="F197" s="2"/>
    </x:row>
    <x:row r="198" ht="28" customHeight="1">
      <x:c r="A198" s="2"/>
      <x:c r="B198" s="2" t="str">
        <x:v>CUUR0000SEGB02</x:v>
      </x:c>
      <x:c r="C198" s="12" t="n">
        <x:v>44501</x:v>
      </x:c>
      <x:c r="D198" s="13" t="n">
        <x:v>176.978</x:v>
      </x:c>
      <x:c r="E198" s="2"/>
      <x:c r="F198" s="2"/>
    </x:row>
    <x:row r="199" ht="28" customHeight="1">
      <x:c r="A199" s="2"/>
      <x:c r="B199" s="2" t="str">
        <x:v>CUUR0000SEGB02</x:v>
      </x:c>
      <x:c r="C199" s="12" t="n">
        <x:v>44531</x:v>
      </x:c>
      <x:c r="D199" s="13" t="n">
        <x:v>176.243</x:v>
      </x:c>
      <x:c r="E199" s="2"/>
      <x:c r="F199" s="2"/>
    </x:row>
    <x:row r="200" ht="28" customHeight="1">
      <x:c r="A200" s="2"/>
      <x:c r="B200" s="2" t="str">
        <x:v>CUUR0000SEGB02</x:v>
      </x:c>
      <x:c r="C200" s="12" t="n">
        <x:v>44562</x:v>
      </x:c>
      <x:c r="D200" s="13" t="n">
        <x:v>176.817</x:v>
      </x:c>
      <x:c r="E200" s="2"/>
      <x:c r="F200" s="2"/>
    </x:row>
    <x:row r="201" ht="28" customHeight="1">
      <x:c r="A201" s="2"/>
      <x:c r="B201" s="2" t="str">
        <x:v>CUUR0000SEGB02</x:v>
      </x:c>
      <x:c r="C201" s="12" t="n">
        <x:v>44593</x:v>
      </x:c>
      <x:c r="D201" s="13" t="n">
        <x:v>178.891</x:v>
      </x:c>
      <x:c r="E201" s="2"/>
      <x:c r="F201" s="2"/>
    </x:row>
    <x:row r="202" ht="28" customHeight="1">
      <x:c r="A202" s="2"/>
      <x:c r="B202" s="2" t="str">
        <x:v>CUUR0000SEGB02</x:v>
      </x:c>
      <x:c r="C202" s="12" t="n">
        <x:v>44621</x:v>
      </x:c>
      <x:c r="D202" s="13" t="n">
        <x:v>180.642</x:v>
      </x:c>
      <x:c r="E202" s="2"/>
      <x:c r="F202" s="2"/>
    </x:row>
    <x:row r="203" ht="28" customHeight="1">
      <x:c r="A203" s="2"/>
      <x:c r="B203" s="2" t="str">
        <x:v>CUUR0000SEGB02</x:v>
      </x:c>
      <x:c r="C203" s="12" t="n">
        <x:v>44652</x:v>
      </x:c>
      <x:c r="D203" s="13" t="n">
        <x:v>179.464</x:v>
      </x:c>
      <x:c r="E203" s="2"/>
      <x:c r="F203" s="2"/>
    </x:row>
    <x:row r="204" ht="28" customHeight="1">
      <x:c r="A204" s="2"/>
      <x:c r="B204" s="2" t="str">
        <x:v>CUUR0000SEGB02</x:v>
      </x:c>
      <x:c r="C204" s="12" t="n">
        <x:v>44682</x:v>
      </x:c>
      <x:c r="D204" s="13" t="n">
        <x:v>180.083</x:v>
      </x:c>
      <x:c r="E204" s="2"/>
      <x:c r="F204" s="2"/>
    </x:row>
    <x:row r="205" ht="28" customHeight="1">
      <x:c r="A205" s="2"/>
      <x:c r="B205" s="2" t="str">
        <x:v>CUUR0000SEGB02</x:v>
      </x:c>
      <x:c r="C205" s="12" t="n">
        <x:v>44713</x:v>
      </x:c>
      <x:c r="D205" s="13" t="n">
        <x:v>180.437</x:v>
      </x:c>
      <x:c r="E205" s="2"/>
      <x:c r="F205" s="2"/>
    </x:row>
    <x:row r="206" ht="28" customHeight="1">
      <x:c r="A206" s="2"/>
      <x:c r="B206" s="2" t="str">
        <x:v>CUUR0000SEGB02</x:v>
      </x:c>
      <x:c r="C206" s="12" t="n">
        <x:v>44743</x:v>
      </x:c>
      <x:c r="D206" s="13" t="n">
        <x:v>181.816</x:v>
      </x:c>
      <x:c r="E206" s="2"/>
      <x:c r="F206" s="2"/>
    </x:row>
    <x:row r="207" ht="28" customHeight="1">
      <x:c r="A207" s="2"/>
      <x:c r="B207" s="2" t="str">
        <x:v>CUUR0000SEGB02</x:v>
      </x:c>
      <x:c r="C207" s="12" t="n">
        <x:v>44774</x:v>
      </x:c>
      <x:c r="D207" s="13" t="n">
        <x:v>186.043</x:v>
      </x:c>
      <x:c r="E207" s="2"/>
      <x:c r="F207" s="2"/>
    </x:row>
    <x:row r="208" ht="28" customHeight="1">
      <x:c r="A208" s="2"/>
      <x:c r="B208" s="2" t="str">
        <x:v>CUUR0000SEGB02</x:v>
      </x:c>
      <x:c r="C208" s="12" t="n">
        <x:v>44805</x:v>
      </x:c>
      <x:c r="D208" s="13" t="n">
        <x:v>186.805</x:v>
      </x:c>
      <x:c r="E208" s="2"/>
      <x:c r="F208" s="2"/>
    </x:row>
    <x:row r="209" ht="28" customHeight="1">
      <x:c r="A209" s="2"/>
      <x:c r="B209" s="2" t="str">
        <x:v>CUUR0000SEGB02</x:v>
      </x:c>
      <x:c r="C209" s="12" t="n">
        <x:v>44835</x:v>
      </x:c>
      <x:c r="D209" s="13" t="n">
        <x:v>186.811</x:v>
      </x:c>
      <x:c r="E209" s="2"/>
      <x:c r="F209" s="2"/>
    </x:row>
    <x:row r="210" ht="28" customHeight="1">
      <x:c r="A210" s="2"/>
      <x:c r="B210" s="2" t="str">
        <x:v>CUUR0000SEGB02</x:v>
      </x:c>
      <x:c r="C210" s="12" t="n">
        <x:v>44866</x:v>
      </x:c>
      <x:c r="D210" s="13" t="n">
        <x:v>186.524</x:v>
      </x:c>
      <x:c r="E210" s="2"/>
      <x:c r="F210" s="2"/>
    </x:row>
    <x:row r="211" ht="28" customHeight="1">
      <x:c r="A211" s="2"/>
      <x:c r="B211" s="2" t="str">
        <x:v>CUUR0000SEGB02</x:v>
      </x:c>
      <x:c r="C211" s="12" t="n">
        <x:v>44896</x:v>
      </x:c>
      <x:c r="D211" s="13" t="n">
        <x:v>185.069</x:v>
      </x:c>
      <x:c r="E211" s="2"/>
      <x:c r="F211" s="2"/>
    </x:row>
    <x:row r="212" ht="28" customHeight="1">
      <x:c r="A212" s="2"/>
      <x:c r="B212" s="2" t="str">
        <x:v>CUUR0000SEGB02</x:v>
      </x:c>
      <x:c r="C212" s="12" t="n">
        <x:v>44927</x:v>
      </x:c>
      <x:c r="D212" s="13" t="n">
        <x:v>186.935</x:v>
      </x:c>
      <x:c r="E212" s="2"/>
      <x:c r="F212" s="2"/>
    </x:row>
    <x:row r="213" ht="28" customHeight="1">
      <x:c r="A213" s="2"/>
      <x:c r="B213" s="2" t="str">
        <x:v>CUUR0000SEGB02</x:v>
      </x:c>
      <x:c r="C213" s="12" t="n">
        <x:v>44958</x:v>
      </x:c>
      <x:c r="D213" s="13" t="n">
        <x:v>187.494</x:v>
      </x:c>
      <x:c r="E213" s="2"/>
      <x:c r="F213" s="2"/>
    </x:row>
    <x:row r="214" ht="28" customHeight="1">
      <x:c r="A214" s="2"/>
      <x:c r="B214" s="2" t="str">
        <x:v>CUUR0000SEGB02</x:v>
      </x:c>
      <x:c r="C214" s="12" t="n">
        <x:v>44986</x:v>
      </x:c>
      <x:c r="D214" s="13" t="n">
        <x:v>188.158</x:v>
      </x:c>
      <x:c r="E214" s="2"/>
      <x:c r="F214" s="2"/>
    </x:row>
    <x:row r="215" ht="28" customHeight="1">
      <x:c r="A215" s="2"/>
      <x:c r="B215" s="2" t="str">
        <x:v>CUUR0000SEGB02</x:v>
      </x:c>
      <x:c r="C215" s="12" t="n">
        <x:v>45017</x:v>
      </x:c>
      <x:c r="D215" s="13" t="n">
        <x:v>188.647</x:v>
      </x:c>
      <x:c r="E215" s="2"/>
      <x:c r="F215" s="2"/>
    </x:row>
    <x:row r="216" ht="28" customHeight="1">
      <x:c r="A216" s="2"/>
      <x:c r="B216" s="2" t="str">
        <x:v>CUUR0000SEGB02</x:v>
      </x:c>
      <x:c r="C216" s="12" t="n">
        <x:v>45047</x:v>
      </x:c>
      <x:c r="D216" s="13" t="n">
        <x:v>189.549</x:v>
      </x:c>
      <x:c r="E216" s="2"/>
      <x:c r="F216" s="2"/>
    </x:row>
    <x:row r="217" ht="28" customHeight="1">
      <x:c r="A217" s="2"/>
      <x:c r="B217" s="2" t="str">
        <x:v>CUUR0000SEGB02</x:v>
      </x:c>
      <x:c r="C217" s="12" t="n">
        <x:v>45078</x:v>
      </x:c>
      <x:c r="D217" s="13" t="n">
        <x:v>189.937</x:v>
      </x:c>
      <x:c r="E217" s="2"/>
      <x:c r="F217" s="2"/>
    </x:row>
    <x:row r="218" ht="28" customHeight="1">
      <x:c r="A218" s="2"/>
      <x:c r="B218" s="2" t="str">
        <x:v>CUUR0000SEGB02</x:v>
      </x:c>
      <x:c r="C218" s="12" t="n">
        <x:v>45108</x:v>
      </x:c>
      <x:c r="D218" s="13" t="n">
        <x:v>190.996</x:v>
      </x:c>
      <x:c r="E218" s="2"/>
      <x:c r="F218" s="2"/>
    </x:row>
    <x:row r="219" ht="28" customHeight="1">
      <x:c r="A219" s="2"/>
      <x:c r="B219" s="2" t="str">
        <x:v>CUUR0000SEGB02</x:v>
      </x:c>
      <x:c r="C219" s="12" t="n">
        <x:v>45139</x:v>
      </x:c>
      <x:c r="D219" s="13" t="n">
        <x:v>190.978</x:v>
      </x:c>
      <x:c r="E219" s="2"/>
      <x:c r="F219" s="2"/>
    </x:row>
    <x:row r="220" ht="28" customHeight="1">
      <x:c r="A220" s="2"/>
      <x:c r="B220" s="2" t="str">
        <x:v>CUUR0000SEGB02</x:v>
      </x:c>
      <x:c r="C220" s="12" t="n">
        <x:v>45170</x:v>
      </x:c>
      <x:c r="D220" s="13" t="n">
        <x:v>192.057</x:v>
      </x:c>
      <x:c r="E220" s="2"/>
      <x:c r="F220" s="2"/>
    </x:row>
    <x:row r="221" ht="28" customHeight="1">
      <x:c r="A221" s="2"/>
      <x:c r="B221" s="2" t="str">
        <x:v>CUUR0000SEGB02</x:v>
      </x:c>
      <x:c r="C221" s="12" t="n">
        <x:v>45200</x:v>
      </x:c>
      <x:c r="D221" s="13" t="n">
        <x:v>193.472</x:v>
      </x:c>
      <x:c r="E221" s="2"/>
      <x:c r="F221" s="2"/>
    </x:row>
    <x:row r="222" ht="28" customHeight="1">
      <x:c r="A222" s="2"/>
      <x:c r="B222" s="2" t="str">
        <x:v>CUUR0000SEGB02</x:v>
      </x:c>
      <x:c r="C222" s="12" t="n">
        <x:v>45231</x:v>
      </x:c>
      <x:c r="D222" s="13" t="n">
        <x:v>191.709</x:v>
      </x:c>
      <x:c r="E222" s="2"/>
      <x:c r="F222" s="2"/>
    </x:row>
    <x:row r="223" ht="28" customHeight="1">
      <x:c r="A223" s="2"/>
      <x:c r="B223" s="2" t="str">
        <x:v>CUUR0000SEGB02</x:v>
      </x:c>
      <x:c r="C223" s="12" t="n">
        <x:v>45261</x:v>
      </x:c>
      <x:c r="D223" s="13" t="n">
        <x:v>187.349</x:v>
      </x:c>
      <x:c r="E223" s="2"/>
      <x:c r="F223" s="2"/>
    </x:row>
    <x:row r="224" ht="28" customHeight="1">
      <x:c r="A224" s="2"/>
      <x:c r="B224" s="2" t="str">
        <x:v>CUUR0000SEGB02</x:v>
      </x:c>
      <x:c r="C224" s="12" t="n">
        <x:v>45292</x:v>
      </x:c>
      <x:c r="D224" s="13" t="n">
        <x:v>187.892</x:v>
      </x:c>
      <x:c r="E224" s="2"/>
      <x:c r="F224" s="2"/>
    </x:row>
    <x:row r="225" ht="28" customHeight="1">
      <x:c r="A225" s="2"/>
      <x:c r="B225" s="2" t="str">
        <x:v>CUUR0000SEGB02</x:v>
      </x:c>
      <x:c r="C225" s="12" t="n">
        <x:v>45323</x:v>
      </x:c>
      <x:c r="D225" s="13" t="n">
        <x:v>191.222</x:v>
      </x:c>
      <x:c r="E225" s="2"/>
      <x:c r="F225" s="2"/>
    </x:row>
    <x:row r="226" ht="28" customHeight="1">
      <x:c r="A226" s="2"/>
      <x:c r="B226" s="2" t="str">
        <x:v>CUUR0000SEGB02</x:v>
      </x:c>
      <x:c r="C226" s="12" t="n">
        <x:v>45352</x:v>
      </x:c>
      <x:c r="D226" s="13" t="n">
        <x:v>191.607</x:v>
      </x:c>
      <x:c r="E226" s="2"/>
      <x:c r="F226" s="2"/>
    </x:row>
    <x:row r="227" ht="28" customHeight="1">
      <x:c r="A227" s="2"/>
      <x:c r="B227" s="2" t="str">
        <x:v>CUUR0000SEGB02</x:v>
      </x:c>
      <x:c r="C227" s="12" t="n">
        <x:v>45383</x:v>
      </x:c>
      <x:c r="D227" s="13" t="n">
        <x:v>190.319</x:v>
      </x:c>
      <x:c r="E227" s="2"/>
      <x:c r="F227" s="2"/>
    </x:row>
    <x:row r="228" ht="28" customHeight="1">
      <x:c r="A228" s="2"/>
      <x:c r="B228" s="2" t="str">
        <x:v>CUUR0000SEGB02</x:v>
      </x:c>
      <x:c r="C228" s="12" t="n">
        <x:v>45413</x:v>
      </x:c>
      <x:c r="D228" s="13" t="n">
        <x:v>189.984</x:v>
      </x:c>
      <x:c r="E228" s="2"/>
      <x:c r="F228" s="2"/>
    </x:row>
    <x:row r="229" ht="28" customHeight="1">
      <x:c r="A229" s="2"/>
      <x:c r="B229" s="2" t="str">
        <x:v>CUUR0000SEGB02</x:v>
      </x:c>
      <x:c r="C229" s="12" t="n">
        <x:v>45444</x:v>
      </x:c>
      <x:c r="D229" s="13" t="n">
        <x:v>190.421</x:v>
      </x:c>
      <x:c r="E229" s="2"/>
      <x:c r="F229" s="2"/>
    </x:row>
    <x:row r="230" ht="28" customHeight="1">
      <x:c r="A230" s="2"/>
      <x:c r="B230" s="2" t="str">
        <x:v>CUUR0000SEGB02</x:v>
      </x:c>
      <x:c r="C230" s="12" t="n">
        <x:v>45474</x:v>
      </x:c>
      <x:c r="D230" s="13" t="n">
        <x:v>189.982</x:v>
      </x:c>
      <x:c r="E230" s="2"/>
      <x:c r="F230" s="2"/>
    </x:row>
    <x:row r="231" ht="28" customHeight="1">
      <x:c r="A231" s="2"/>
      <x:c r="B231" s="2" t="str">
        <x:v>CUUR0000SEGB02</x:v>
      </x:c>
      <x:c r="C231" s="12" t="n">
        <x:v>45505</x:v>
      </x:c>
      <x:c r="D231" s="13" t="n">
        <x:v>190.812</x:v>
      </x:c>
      <x:c r="E231" s="2"/>
      <x:c r="F231" s="2"/>
    </x:row>
    <x:row r="232" ht="28" customHeight="1">
      <x:c r="A232" s="2"/>
      <x:c r="B232" s="2" t="str">
        <x:v>CUUR0000SEGB02</x:v>
      </x:c>
      <x:c r="C232" s="12" t="n">
        <x:v>45536</x:v>
      </x:c>
      <x:c r="D232" s="13" t="n">
        <x:v>191.105</x:v>
      </x:c>
      <x:c r="E232" s="2"/>
      <x:c r="F232" s="2"/>
    </x:row>
    <x:row r="233" ht="28" customHeight="1">
      <x:c r="A233" s="2"/>
      <x:c r="B233" s="2" t="str">
        <x:v>CUUR0000SEGB02</x:v>
      </x:c>
      <x:c r="C233" s="12" t="n">
        <x:v>45566</x:v>
      </x:c>
      <x:c r="D233" s="13" t="n">
        <x:v>191.813</x:v>
      </x:c>
      <x:c r="E233" s="2"/>
      <x:c r="F233" s="2"/>
    </x:row>
    <x:row r="234" ht="28" customHeight="1">
      <x:c r="A234" s="2"/>
      <x:c r="B234" s="2" t="str">
        <x:v>CUUR0000SEGB02</x:v>
      </x:c>
      <x:c r="C234" s="12" t="n">
        <x:v>45597</x:v>
      </x:c>
      <x:c r="D234" s="13" t="n">
        <x:v>189.988</x:v>
      </x:c>
      <x:c r="E234" s="2"/>
      <x:c r="F234" s="2"/>
    </x:row>
    <x:row r="235" ht="28" customHeight="1">
      <x:c r="A235" s="2"/>
      <x:c r="B235" s="2" t="str">
        <x:v>CUUR0000SEGB02</x:v>
      </x:c>
      <x:c r="C235" s="12" t="n">
        <x:v>45627</x:v>
      </x:c>
      <x:c r="D235" s="13" t="n">
        <x:v>187.819</x:v>
      </x:c>
      <x:c r="E235" s="2"/>
      <x:c r="F235" s="2"/>
    </x:row>
    <x:row r="236" ht="28" customHeight="1">
      <x:c r="A236" s="2"/>
      <x:c r="B236" s="2" t="str">
        <x:v>CUUR0000SEGB02</x:v>
      </x:c>
      <x:c r="C236" s="12" t="n">
        <x:v>45658</x:v>
      </x:c>
      <x:c r="D236" s="13" t="n">
        <x:v>189.029</x:v>
      </x:c>
      <x:c r="E236" s="2"/>
      <x:c r="F236" s="2"/>
    </x:row>
    <x:row r="237" ht="28" customHeight="1">
      <x:c r="A237" s="2"/>
      <x:c r="B237" s="2" t="str">
        <x:v>CUUR0000SEGB02</x:v>
      </x:c>
      <x:c r="C237" s="12" t="n">
        <x:v>45689</x:v>
      </x:c>
      <x:c r="D237" s="13" t="n">
        <x:v>189.627</x:v>
      </x:c>
      <x:c r="E237" s="2"/>
      <x:c r="F237" s="2"/>
    </x:row>
    <x:row r="238" ht="28" customHeight="1">
      <x:c r="A238" s="2"/>
      <x:c r="B238" s="2" t="str">
        <x:v>CUUR0000SEGB02</x:v>
      </x:c>
      <x:c r="C238" s="12" t="n">
        <x:v>45717</x:v>
      </x:c>
      <x:c r="D238" s="13" t="n">
        <x:v>189.666</x:v>
      </x:c>
      <x:c r="E238" s="2"/>
      <x:c r="F238" s="2"/>
    </x:row>
    <x:row r="239" ht="28" customHeight="1">
      <x:c r="A239" s="2"/>
      <x:c r="B239" s="2" t="str">
        <x:v>CUUR0000SEGB02</x:v>
      </x:c>
      <x:c r="C239" s="12" t="n">
        <x:v>45748</x:v>
      </x:c>
      <x:c r="D239" s="13" t="n">
        <x:v>190.631</x:v>
      </x:c>
      <x:c r="E239" s="2"/>
      <x:c r="F239" s="2"/>
    </x:row>
    <x:row r="240" ht="28" customHeight="1">
      <x:c r="A240" s="2"/>
      <x:c r="B240" s="2" t="str">
        <x:v>CUUR0000SEGB02</x:v>
      </x:c>
      <x:c r="C240" s="12" t="n">
        <x:v>45778</x:v>
      </x:c>
      <x:c r="D240" s="13" t="n">
        <x:v>189.399</x:v>
      </x:c>
      <x:c r="E240" s="2"/>
      <x:c r="F240" s="2"/>
    </x:row>
    <x:row r="241" ht="28" customHeight="1">
      <x:c r="A241" s="2"/>
      <x:c r="B241" s="2" t="str">
        <x:v>CUUR0000SEGB02</x:v>
      </x:c>
      <x:c r="C241" s="12" t="n">
        <x:v>45809</x:v>
      </x:c>
      <x:c r="D241" s="13" t="n">
        <x:v>191.072</x:v>
      </x:c>
      <x:c r="E241" s="2"/>
      <x:c r="F241" s="2"/>
    </x:row>
    <x:row r="242" ht="28" customHeight="1">
      <x:c r="A242" s="2"/>
      <x:c r="B242" s="2" t="str">
        <x:v>CUUR0000SEGB02</x:v>
      </x:c>
      <x:c r="C242" s="12" t="n">
        <x:v>45839</x:v>
      </x:c>
      <x:c r="D242" s="13" t="n">
        <x:v>190.717</x:v>
      </x:c>
      <x:c r="E242" s="2"/>
      <x:c r="F242" s="2"/>
    </x:row>
    <x:row r="243" ht="28" customHeight="1">
      <x:c r="A243" s="2"/>
      <x:c r="B243" s="2" t="str">
        <x:v>CUUR0000SEGB02</x:v>
      </x:c>
      <x:c r="C243" s="12" t="n">
        <x:v>45870</x:v>
      </x:c>
      <x:c r="D243" s="13" t="n">
        <x:v>191.367</x:v>
      </x:c>
      <x:c r="E243" s="2"/>
      <x:c r="F243" s="2"/>
    </x:row>
    <x:row r="244" ht="28" customHeight="1">
      <x:c r="A244" s="2"/>
      <x:c r="B244" s="2" t="str">
        <x:v>CUUR0000SEGB02</x:v>
      </x:c>
      <x:c r="C244" s="12" t="n">
        <x:v>45901</x:v>
      </x:c>
      <x:c r="D244" s="13" t="n">
        <x:v>192.368</x:v>
      </x:c>
      <x:c r="E244" s="2"/>
      <x:c r="F244" s="2"/>
    </x:row>
    <x:row r="245" ht="28" customHeight="1">
      <x:c r="A245" s="2"/>
      <x:c r="B245" s="2" t="str">
        <x:v>CUUR0000SEGB02</x:v>
      </x:c>
      <x:c r="C245" s="12" t="n">
        <x:v>45962</x:v>
      </x:c>
      <x:c r="D245" s="13" t="n">
        <x:v>190.307</x:v>
      </x:c>
      <x:c r="E245" s="2"/>
      <x:c r="F245" s="2"/>
    </x:row>
    <x:row r="246" ht="28" customHeight="1">
      <x:c r="A246" s="2"/>
      <x:c r="B246" s="2" t="str">
        <x:v>CUUR0000SEGB02</x:v>
      </x:c>
      <x:c r="C246" s="12" t="n">
        <x:v>45992</x:v>
      </x:c>
      <x:c r="D246" s="13" t="n">
        <x:v>189.36</x:v>
      </x:c>
      <x:c r="E246" s="2"/>
      <x:c r="F246" s="2"/>
    </x:row>
    <x:row r="247" ht="28" customHeight="1">
      <x:c r="A247" s="2"/>
      <x:c r="B247" s="2" t="str">
        <x:v>CUUR0000SEGB02</x:v>
      </x:c>
      <x:c r="C247" s="12" t="n">
        <x:v>46023</x:v>
      </x:c>
      <x:c r="D247" s="13" t="n">
        <x:v>191.697</x:v>
      </x:c>
      <x:c r="E247" s="2"/>
      <x:c r="F247" s="2"/>
    </x:row>
    <x:row r="248" ht="28" customHeight="1">
      <x:c r="A248" s="2"/>
      <x:c r="B248" s="2" t="str">
        <x:v>CUUR0000SEGB02</x:v>
      </x:c>
      <x:c r="C248" s="12" t="n">
        <x:v>46054</x:v>
      </x:c>
      <x:c r="D248" s="13" t="n">
        <x:v>192.404</x:v>
      </x:c>
      <x:c r="E248" s="2"/>
      <x:c r="F248" s="2"/>
    </x:row>
    <x:row r="249" ht="28" customHeight="1">
      <x:c r="A249" s="2"/>
      <x:c r="B249" s="2" t="str">
        <x:v>CUUR0000SEGB02</x:v>
      </x:c>
      <x:c r="C249" s="12" t="n">
        <x:v>46082</x:v>
      </x:c>
      <x:c r="D249" s="13" t="n">
        <x:v>193.373</x:v>
      </x:c>
      <x:c r="E249" s="2"/>
      <x:c r="F249" s="2"/>
    </x:row>
    <x:row r="250" ht="28" customHeight="1">
      <x:c r="A250" s="2"/>
      <x:c r="B250" s="2" t="str">
        <x:v>CUUR0000SEGB</x:v>
      </x:c>
      <x:c r="C250" s="12" t="n">
        <x:v>43831</x:v>
      </x:c>
      <x:c r="D250" s="13" t="n">
        <x:v>159.47</x:v>
      </x:c>
      <x:c r="E250" s="2"/>
      <x:c r="F250" s="2"/>
    </x:row>
    <x:row r="251" ht="28" customHeight="1">
      <x:c r="A251" s="2"/>
      <x:c r="B251" s="2" t="str">
        <x:v>CUUR0000SEGB</x:v>
      </x:c>
      <x:c r="C251" s="12" t="n">
        <x:v>43862</x:v>
      </x:c>
      <x:c r="D251" s="13" t="n">
        <x:v>161.196</x:v>
      </x:c>
      <x:c r="E251" s="2"/>
      <x:c r="F251" s="2"/>
    </x:row>
    <x:row r="252" ht="28" customHeight="1">
      <x:c r="A252" s="2"/>
      <x:c r="B252" s="2" t="str">
        <x:v>CUUR0000SEGB</x:v>
      </x:c>
      <x:c r="C252" s="12" t="n">
        <x:v>43891</x:v>
      </x:c>
      <x:c r="D252" s="13" t="n">
        <x:v>161.018</x:v>
      </x:c>
      <x:c r="E252" s="2"/>
      <x:c r="F252" s="2"/>
    </x:row>
    <x:row r="253" ht="28" customHeight="1">
      <x:c r="A253" s="2"/>
      <x:c r="B253" s="2" t="str">
        <x:v>CUUR0000SEGB</x:v>
      </x:c>
      <x:c r="C253" s="12" t="n">
        <x:v>43922</x:v>
      </x:c>
      <x:c r="D253" s="13" t="n">
        <x:v>160.797</x:v>
      </x:c>
      <x:c r="E253" s="2"/>
      <x:c r="F253" s="2"/>
    </x:row>
    <x:row r="254" ht="28" customHeight="1">
      <x:c r="A254" s="2"/>
      <x:c r="B254" s="2" t="str">
        <x:v>CUUR0000SEGB</x:v>
      </x:c>
      <x:c r="C254" s="12" t="n">
        <x:v>43952</x:v>
      </x:c>
      <x:c r="D254" s="13" t="n">
        <x:v>160.212</x:v>
      </x:c>
      <x:c r="E254" s="2"/>
      <x:c r="F254" s="2"/>
    </x:row>
    <x:row r="255" ht="28" customHeight="1">
      <x:c r="A255" s="2"/>
      <x:c r="B255" s="2" t="str">
        <x:v>CUUR0000SEGB</x:v>
      </x:c>
      <x:c r="C255" s="12" t="n">
        <x:v>43983</x:v>
      </x:c>
      <x:c r="D255" s="13" t="n">
        <x:v>159.331</x:v>
      </x:c>
      <x:c r="E255" s="2"/>
      <x:c r="F255" s="2"/>
    </x:row>
    <x:row r="256" ht="28" customHeight="1">
      <x:c r="A256" s="2"/>
      <x:c r="B256" s="2" t="str">
        <x:v>CUUR0000SEGB</x:v>
      </x:c>
      <x:c r="C256" s="12" t="n">
        <x:v>44013</x:v>
      </x:c>
      <x:c r="D256" s="13" t="n">
        <x:v>160.218</x:v>
      </x:c>
      <x:c r="E256" s="2"/>
      <x:c r="F256" s="2"/>
    </x:row>
    <x:row r="257" ht="28" customHeight="1">
      <x:c r="A257" s="2"/>
      <x:c r="B257" s="2" t="str">
        <x:v>CUUR0000SEGB</x:v>
      </x:c>
      <x:c r="C257" s="12" t="n">
        <x:v>44044</x:v>
      </x:c>
      <x:c r="D257" s="13" t="n">
        <x:v>160.328</x:v>
      </x:c>
      <x:c r="E257" s="2"/>
      <x:c r="F257" s="2"/>
    </x:row>
    <x:row r="258" ht="28" customHeight="1">
      <x:c r="A258" s="2"/>
      <x:c r="B258" s="2" t="str">
        <x:v>CUUR0000SEGB</x:v>
      </x:c>
      <x:c r="C258" s="12" t="n">
        <x:v>44075</x:v>
      </x:c>
      <x:c r="D258" s="13" t="n">
        <x:v>159.878</x:v>
      </x:c>
      <x:c r="E258" s="2"/>
      <x:c r="F258" s="2"/>
    </x:row>
    <x:row r="259" ht="28" customHeight="1">
      <x:c r="A259" s="2"/>
      <x:c r="B259" s="2" t="str">
        <x:v>CUUR0000SEGB</x:v>
      </x:c>
      <x:c r="C259" s="12" t="n">
        <x:v>44105</x:v>
      </x:c>
      <x:c r="D259" s="13" t="n">
        <x:v>159.704</x:v>
      </x:c>
      <x:c r="E259" s="2"/>
      <x:c r="F259" s="2"/>
    </x:row>
    <x:row r="260" ht="28" customHeight="1">
      <x:c r="A260" s="2"/>
      <x:c r="B260" s="2" t="str">
        <x:v>CUUR0000SEGB</x:v>
      </x:c>
      <x:c r="C260" s="12" t="n">
        <x:v>44136</x:v>
      </x:c>
      <x:c r="D260" s="13" t="n">
        <x:v>159.758</x:v>
      </x:c>
      <x:c r="E260" s="2"/>
      <x:c r="F260" s="2"/>
    </x:row>
    <x:row r="261" ht="28" customHeight="1">
      <x:c r="A261" s="2"/>
      <x:c r="B261" s="2" t="str">
        <x:v>CUUR0000SEGB</x:v>
      </x:c>
      <x:c r="C261" s="12" t="n">
        <x:v>44166</x:v>
      </x:c>
      <x:c r="D261" s="13" t="n">
        <x:v>158.846</x:v>
      </x:c>
      <x:c r="E261" s="2"/>
      <x:c r="F261" s="2"/>
    </x:row>
    <x:row r="262" ht="28" customHeight="1">
      <x:c r="A262" s="2"/>
      <x:c r="B262" s="2" t="str">
        <x:v>CUUR0000SEGB</x:v>
      </x:c>
      <x:c r="C262" s="12" t="n">
        <x:v>44197</x:v>
      </x:c>
      <x:c r="D262" s="13" t="n">
        <x:v>159.785</x:v>
      </x:c>
      <x:c r="E262" s="2"/>
      <x:c r="F262" s="2"/>
    </x:row>
    <x:row r="263" ht="28" customHeight="1">
      <x:c r="A263" s="2"/>
      <x:c r="B263" s="2" t="str">
        <x:v>CUUR0000SEGB</x:v>
      </x:c>
      <x:c r="C263" s="12" t="n">
        <x:v>44228</x:v>
      </x:c>
      <x:c r="D263" s="13" t="n">
        <x:v>160.214</x:v>
      </x:c>
      <x:c r="E263" s="2"/>
      <x:c r="F263" s="2"/>
    </x:row>
    <x:row r="264" ht="28" customHeight="1">
      <x:c r="A264" s="2"/>
      <x:c r="B264" s="2" t="str">
        <x:v>CUUR0000SEGB</x:v>
      </x:c>
      <x:c r="C264" s="12" t="n">
        <x:v>44256</x:v>
      </x:c>
      <x:c r="D264" s="13" t="n">
        <x:v>159.962</x:v>
      </x:c>
      <x:c r="E264" s="2"/>
      <x:c r="F264" s="2"/>
    </x:row>
    <x:row r="265" ht="28" customHeight="1">
      <x:c r="A265" s="2"/>
      <x:c r="B265" s="2" t="str">
        <x:v>CUUR0000SEGB</x:v>
      </x:c>
      <x:c r="C265" s="12" t="n">
        <x:v>44287</x:v>
      </x:c>
      <x:c r="D265" s="13" t="n">
        <x:v>160.308</x:v>
      </x:c>
      <x:c r="E265" s="2"/>
      <x:c r="F265" s="2"/>
    </x:row>
    <x:row r="266" ht="28" customHeight="1">
      <x:c r="A266" s="2"/>
      <x:c r="B266" s="2" t="str">
        <x:v>CUUR0000SEGB</x:v>
      </x:c>
      <x:c r="C266" s="12" t="n">
        <x:v>44317</x:v>
      </x:c>
      <x:c r="D266" s="13" t="n">
        <x:v>159.678</x:v>
      </x:c>
      <x:c r="E266" s="2"/>
      <x:c r="F266" s="2"/>
    </x:row>
    <x:row r="267" ht="28" customHeight="1">
      <x:c r="A267" s="2"/>
      <x:c r="B267" s="2" t="str">
        <x:v>CUUR0000SEGB</x:v>
      </x:c>
      <x:c r="C267" s="12" t="n">
        <x:v>44348</x:v>
      </x:c>
      <x:c r="D267" s="13" t="n">
        <x:v>159.296</x:v>
      </x:c>
      <x:c r="E267" s="2"/>
      <x:c r="F267" s="2"/>
    </x:row>
    <x:row r="268" ht="28" customHeight="1">
      <x:c r="A268" s="2"/>
      <x:c r="B268" s="2" t="str">
        <x:v>CUUR0000SEGB</x:v>
      </x:c>
      <x:c r="C268" s="12" t="n">
        <x:v>44378</x:v>
      </x:c>
      <x:c r="D268" s="13" t="n">
        <x:v>159.111</x:v>
      </x:c>
      <x:c r="E268" s="2"/>
      <x:c r="F268" s="2"/>
    </x:row>
    <x:row r="269" ht="28" customHeight="1">
      <x:c r="A269" s="2"/>
      <x:c r="B269" s="2" t="str">
        <x:v>CUUR0000SEGB</x:v>
      </x:c>
      <x:c r="C269" s="12" t="n">
        <x:v>44409</x:v>
      </x:c>
      <x:c r="D269" s="13" t="n">
        <x:v>159.966</x:v>
      </x:c>
      <x:c r="E269" s="2"/>
      <x:c r="F269" s="2"/>
    </x:row>
    <x:row r="270" ht="28" customHeight="1">
      <x:c r="A270" s="2"/>
      <x:c r="B270" s="2" t="str">
        <x:v>CUUR0000SEGB</x:v>
      </x:c>
      <x:c r="C270" s="12" t="n">
        <x:v>44440</x:v>
      </x:c>
      <x:c r="D270" s="13" t="n">
        <x:v>159.755</x:v>
      </x:c>
      <x:c r="E270" s="2"/>
      <x:c r="F270" s="2"/>
    </x:row>
    <x:row r="271" ht="28" customHeight="1">
      <x:c r="A271" s="2"/>
      <x:c r="B271" s="2" t="str">
        <x:v>CUUR0000SEGB</x:v>
      </x:c>
      <x:c r="C271" s="12" t="n">
        <x:v>44470</x:v>
      </x:c>
      <x:c r="D271" s="13" t="n">
        <x:v>160.038</x:v>
      </x:c>
      <x:c r="E271" s="2"/>
      <x:c r="F271" s="2"/>
    </x:row>
    <x:row r="272" ht="28" customHeight="1">
      <x:c r="A272" s="2"/>
      <x:c r="B272" s="2" t="str">
        <x:v>CUUR0000SEGB</x:v>
      </x:c>
      <x:c r="C272" s="12" t="n">
        <x:v>44501</x:v>
      </x:c>
      <x:c r="D272" s="13" t="n">
        <x:v>159.359</x:v>
      </x:c>
      <x:c r="E272" s="2"/>
      <x:c r="F272" s="2"/>
    </x:row>
    <x:row r="273" ht="28" customHeight="1">
      <x:c r="A273" s="2"/>
      <x:c r="B273" s="2" t="str">
        <x:v>CUUR0000SEGB</x:v>
      </x:c>
      <x:c r="C273" s="12" t="n">
        <x:v>44531</x:v>
      </x:c>
      <x:c r="D273" s="13" t="n">
        <x:v>159.06</x:v>
      </x:c>
      <x:c r="E273" s="2"/>
      <x:c r="F273" s="2"/>
    </x:row>
    <x:row r="274" ht="28" customHeight="1">
      <x:c r="A274" s="2"/>
      <x:c r="B274" s="2" t="str">
        <x:v>CUUR0000SEGB</x:v>
      </x:c>
      <x:c r="C274" s="12" t="n">
        <x:v>44562</x:v>
      </x:c>
      <x:c r="D274" s="13" t="n">
        <x:v>160.224</x:v>
      </x:c>
      <x:c r="E274" s="2"/>
      <x:c r="F274" s="2"/>
    </x:row>
    <x:row r="275" ht="28" customHeight="1">
      <x:c r="A275" s="2"/>
      <x:c r="B275" s="2" t="str">
        <x:v>CUUR0000SEGB</x:v>
      </x:c>
      <x:c r="C275" s="12" t="n">
        <x:v>44593</x:v>
      </x:c>
      <x:c r="D275" s="13" t="n">
        <x:v>161.496</x:v>
      </x:c>
      <x:c r="E275" s="2"/>
      <x:c r="F275" s="2"/>
    </x:row>
    <x:row r="276" ht="28" customHeight="1">
      <x:c r="A276" s="2"/>
      <x:c r="B276" s="2" t="str">
        <x:v>CUUR0000SEGB</x:v>
      </x:c>
      <x:c r="C276" s="12" t="n">
        <x:v>44621</x:v>
      </x:c>
      <x:c r="D276" s="13" t="n">
        <x:v>163.175</x:v>
      </x:c>
      <x:c r="E276" s="2"/>
      <x:c r="F276" s="2"/>
    </x:row>
    <x:row r="277" ht="28" customHeight="1">
      <x:c r="A277" s="2"/>
      <x:c r="B277" s="2" t="str">
        <x:v>CUUR0000SEGB</x:v>
      </x:c>
      <x:c r="C277" s="12" t="n">
        <x:v>44652</x:v>
      </x:c>
      <x:c r="D277" s="13" t="n">
        <x:v>163.713</x:v>
      </x:c>
      <x:c r="E277" s="2"/>
      <x:c r="F277" s="2"/>
    </x:row>
    <x:row r="278" ht="28" customHeight="1">
      <x:c r="A278" s="2"/>
      <x:c r="B278" s="2" t="str">
        <x:v>CUUR0000SEGB</x:v>
      </x:c>
      <x:c r="C278" s="12" t="n">
        <x:v>44682</x:v>
      </x:c>
      <x:c r="D278" s="13" t="n">
        <x:v>164.174</x:v>
      </x:c>
      <x:c r="E278" s="2"/>
      <x:c r="F278" s="2"/>
    </x:row>
    <x:row r="279" ht="28" customHeight="1">
      <x:c r="A279" s="2"/>
      <x:c r="B279" s="2" t="str">
        <x:v>CUUR0000SEGB</x:v>
      </x:c>
      <x:c r="C279" s="12" t="n">
        <x:v>44713</x:v>
      </x:c>
      <x:c r="D279" s="13" t="n">
        <x:v>165.353</x:v>
      </x:c>
      <x:c r="E279" s="2"/>
      <x:c r="F279" s="2"/>
    </x:row>
    <x:row r="280" ht="28" customHeight="1">
      <x:c r="A280" s="2"/>
      <x:c r="B280" s="2" t="str">
        <x:v>CUUR0000SEGB</x:v>
      </x:c>
      <x:c r="C280" s="12" t="n">
        <x:v>44743</x:v>
      </x:c>
      <x:c r="D280" s="13" t="n">
        <x:v>167.052</x:v>
      </x:c>
      <x:c r="E280" s="2"/>
      <x:c r="F280" s="2"/>
    </x:row>
    <x:row r="281" ht="28" customHeight="1">
      <x:c r="A281" s="2"/>
      <x:c r="B281" s="2" t="str">
        <x:v>CUUR0000SEGB</x:v>
      </x:c>
      <x:c r="C281" s="12" t="n">
        <x:v>44774</x:v>
      </x:c>
      <x:c r="D281" s="13" t="n">
        <x:v>169.576</x:v>
      </x:c>
      <x:c r="E281" s="2"/>
      <x:c r="F281" s="2"/>
    </x:row>
    <x:row r="282" ht="28" customHeight="1">
      <x:c r="A282" s="2"/>
      <x:c r="B282" s="2" t="str">
        <x:v>CUUR0000SEGB</x:v>
      </x:c>
      <x:c r="C282" s="12" t="n">
        <x:v>44805</x:v>
      </x:c>
      <x:c r="D282" s="13" t="n">
        <x:v>170.217</x:v>
      </x:c>
      <x:c r="E282" s="2"/>
      <x:c r="F282" s="2"/>
    </x:row>
    <x:row r="283" ht="28" customHeight="1">
      <x:c r="A283" s="2"/>
      <x:c r="B283" s="2" t="str">
        <x:v>CUUR0000SEGB</x:v>
      </x:c>
      <x:c r="C283" s="12" t="n">
        <x:v>44835</x:v>
      </x:c>
      <x:c r="D283" s="13" t="n">
        <x:v>170.89</x:v>
      </x:c>
      <x:c r="E283" s="2"/>
      <x:c r="F283" s="2"/>
    </x:row>
    <x:row r="284" ht="28" customHeight="1">
      <x:c r="A284" s="2"/>
      <x:c r="B284" s="2" t="str">
        <x:v>CUUR0000SEGB</x:v>
      </x:c>
      <x:c r="C284" s="12" t="n">
        <x:v>44866</x:v>
      </x:c>
      <x:c r="D284" s="13" t="n">
        <x:v>171.226</x:v>
      </x:c>
      <x:c r="E284" s="2"/>
      <x:c r="F284" s="2"/>
    </x:row>
    <x:row r="285" ht="28" customHeight="1">
      <x:c r="A285" s="2"/>
      <x:c r="B285" s="2" t="str">
        <x:v>CUUR0000SEGB</x:v>
      </x:c>
      <x:c r="C285" s="12" t="n">
        <x:v>44896</x:v>
      </x:c>
      <x:c r="D285" s="13" t="n">
        <x:v>171.058</x:v>
      </x:c>
      <x:c r="E285" s="2"/>
      <x:c r="F285" s="2"/>
    </x:row>
    <x:row r="286" ht="28" customHeight="1">
      <x:c r="A286" s="2"/>
      <x:c r="B286" s="2" t="str">
        <x:v>CUUR0000SEGB</x:v>
      </x:c>
      <x:c r="C286" s="12" t="n">
        <x:v>44927</x:v>
      </x:c>
      <x:c r="D286" s="13" t="n">
        <x:v>171.539</x:v>
      </x:c>
      <x:c r="E286" s="2"/>
      <x:c r="F286" s="2"/>
    </x:row>
    <x:row r="287" ht="28" customHeight="1">
      <x:c r="A287" s="2"/>
      <x:c r="B287" s="2" t="str">
        <x:v>CUUR0000SEGB</x:v>
      </x:c>
      <x:c r="C287" s="12" t="n">
        <x:v>44958</x:v>
      </x:c>
      <x:c r="D287" s="13" t="n">
        <x:v>172.394</x:v>
      </x:c>
      <x:c r="E287" s="2"/>
      <x:c r="F287" s="2"/>
    </x:row>
    <x:row r="288" ht="28" customHeight="1">
      <x:c r="A288" s="2"/>
      <x:c r="B288" s="2" t="str">
        <x:v>CUUR0000SEGB</x:v>
      </x:c>
      <x:c r="C288" s="12" t="n">
        <x:v>44986</x:v>
      </x:c>
      <x:c r="D288" s="13" t="n">
        <x:v>173.801</x:v>
      </x:c>
      <x:c r="E288" s="2"/>
      <x:c r="F288" s="2"/>
    </x:row>
    <x:row r="289" ht="28" customHeight="1">
      <x:c r="A289" s="2"/>
      <x:c r="B289" s="2" t="str">
        <x:v>CUUR0000SEGB</x:v>
      </x:c>
      <x:c r="C289" s="12" t="n">
        <x:v>45017</x:v>
      </x:c>
      <x:c r="D289" s="13" t="n">
        <x:v>174.724</x:v>
      </x:c>
      <x:c r="E289" s="2"/>
      <x:c r="F289" s="2"/>
    </x:row>
    <x:row r="290" ht="28" customHeight="1">
      <x:c r="A290" s="2"/>
      <x:c r="B290" s="2" t="str">
        <x:v>CUUR0000SEGB</x:v>
      </x:c>
      <x:c r="C290" s="12" t="n">
        <x:v>45047</x:v>
      </x:c>
      <x:c r="D290" s="13" t="n">
        <x:v>176.484</x:v>
      </x:c>
      <x:c r="E290" s="2"/>
      <x:c r="F290" s="2"/>
    </x:row>
    <x:row r="291" ht="28" customHeight="1">
      <x:c r="A291" s="2"/>
      <x:c r="B291" s="2" t="str">
        <x:v>CUUR0000SEGB</x:v>
      </x:c>
      <x:c r="C291" s="12" t="n">
        <x:v>45078</x:v>
      </x:c>
      <x:c r="D291" s="13" t="n">
        <x:v>176.846</x:v>
      </x:c>
      <x:c r="E291" s="2"/>
      <x:c r="F291" s="2"/>
    </x:row>
    <x:row r="292" ht="28" customHeight="1">
      <x:c r="A292" s="2"/>
      <x:c r="B292" s="2" t="str">
        <x:v>CUUR0000SEGB</x:v>
      </x:c>
      <x:c r="C292" s="12" t="n">
        <x:v>45108</x:v>
      </x:c>
      <x:c r="D292" s="13" t="n">
        <x:v>177.651</x:v>
      </x:c>
      <x:c r="E292" s="2"/>
      <x:c r="F292" s="2"/>
    </x:row>
    <x:row r="293" ht="28" customHeight="1">
      <x:c r="A293" s="2"/>
      <x:c r="B293" s="2" t="str">
        <x:v>CUUR0000SEGB</x:v>
      </x:c>
      <x:c r="C293" s="12" t="n">
        <x:v>45139</x:v>
      </x:c>
      <x:c r="D293" s="13" t="n">
        <x:v>178.14</x:v>
      </x:c>
      <x:c r="E293" s="2"/>
      <x:c r="F293" s="2"/>
    </x:row>
    <x:row r="294" ht="28" customHeight="1">
      <x:c r="A294" s="2"/>
      <x:c r="B294" s="2" t="str">
        <x:v>CUUR0000SEGB</x:v>
      </x:c>
      <x:c r="C294" s="12" t="n">
        <x:v>45170</x:v>
      </x:c>
      <x:c r="D294" s="13" t="n">
        <x:v>178.898</x:v>
      </x:c>
      <x:c r="E294" s="2"/>
      <x:c r="F294" s="2"/>
    </x:row>
    <x:row r="295" ht="28" customHeight="1">
      <x:c r="A295" s="2"/>
      <x:c r="B295" s="2" t="str">
        <x:v>CUUR0000SEGB</x:v>
      </x:c>
      <x:c r="C295" s="12" t="n">
        <x:v>45200</x:v>
      </x:c>
      <x:c r="D295" s="13" t="n">
        <x:v>179.617</x:v>
      </x:c>
      <x:c r="E295" s="2"/>
      <x:c r="F295" s="2"/>
    </x:row>
    <x:row r="296" ht="28" customHeight="1">
      <x:c r="A296" s="2"/>
      <x:c r="B296" s="2" t="str">
        <x:v>CUUR0000SEGB</x:v>
      </x:c>
      <x:c r="C296" s="12" t="n">
        <x:v>45231</x:v>
      </x:c>
      <x:c r="D296" s="13" t="n">
        <x:v>178.553</x:v>
      </x:c>
      <x:c r="E296" s="2"/>
      <x:c r="F296" s="2"/>
    </x:row>
    <x:row r="297" ht="28" customHeight="1">
      <x:c r="A297" s="2"/>
      <x:c r="B297" s="2" t="str">
        <x:v>CUUR0000SEGB</x:v>
      </x:c>
      <x:c r="C297" s="12" t="n">
        <x:v>45261</x:v>
      </x:c>
      <x:c r="D297" s="13" t="n">
        <x:v>176.62</x:v>
      </x:c>
      <x:c r="E297" s="2"/>
      <x:c r="F297" s="2"/>
    </x:row>
    <x:row r="298" ht="28" customHeight="1">
      <x:c r="A298" s="2"/>
      <x:c r="B298" s="2" t="str">
        <x:v>CUUR0000SEGB</x:v>
      </x:c>
      <x:c r="C298" s="12" t="n">
        <x:v>45292</x:v>
      </x:c>
      <x:c r="D298" s="13" t="n">
        <x:v>177.546</x:v>
      </x:c>
      <x:c r="E298" s="2"/>
      <x:c r="F298" s="2"/>
    </x:row>
    <x:row r="299" ht="28" customHeight="1">
      <x:c r="A299" s="2"/>
      <x:c r="B299" s="2" t="str">
        <x:v>CUUR0000SEGB</x:v>
      </x:c>
      <x:c r="C299" s="12" t="n">
        <x:v>45323</x:v>
      </x:c>
      <x:c r="D299" s="13" t="n">
        <x:v>179.311</x:v>
      </x:c>
      <x:c r="E299" s="2"/>
      <x:c r="F299" s="2"/>
    </x:row>
    <x:row r="300" ht="28" customHeight="1">
      <x:c r="A300" s="2"/>
      <x:c r="B300" s="2" t="str">
        <x:v>CUUR0000SEGB</x:v>
      </x:c>
      <x:c r="C300" s="12" t="n">
        <x:v>45352</x:v>
      </x:c>
      <x:c r="D300" s="13" t="n">
        <x:v>179.706</x:v>
      </x:c>
      <x:c r="E300" s="2"/>
      <x:c r="F300" s="2"/>
    </x:row>
    <x:row r="301" ht="28" customHeight="1">
      <x:c r="A301" s="2"/>
      <x:c r="B301" s="2" t="str">
        <x:v>CUUR0000SEGB</x:v>
      </x:c>
      <x:c r="C301" s="12" t="n">
        <x:v>45383</x:v>
      </x:c>
      <x:c r="D301" s="13" t="n">
        <x:v>179.28</x:v>
      </x:c>
      <x:c r="E301" s="2"/>
      <x:c r="F301" s="2"/>
    </x:row>
    <x:row r="302" ht="28" customHeight="1">
      <x:c r="A302" s="2"/>
      <x:c r="B302" s="2" t="str">
        <x:v>CUUR0000SEGB</x:v>
      </x:c>
      <x:c r="C302" s="12" t="n">
        <x:v>45413</x:v>
      </x:c>
      <x:c r="D302" s="13" t="n">
        <x:v>178.83</x:v>
      </x:c>
      <x:c r="E302" s="2"/>
      <x:c r="F302" s="2"/>
    </x:row>
    <x:row r="303" ht="28" customHeight="1">
      <x:c r="A303" s="2"/>
      <x:c r="B303" s="2" t="str">
        <x:v>CUUR0000SEGB</x:v>
      </x:c>
      <x:c r="C303" s="12" t="n">
        <x:v>45444</x:v>
      </x:c>
      <x:c r="D303" s="13" t="n">
        <x:v>178.682</x:v>
      </x:c>
      <x:c r="E303" s="2"/>
      <x:c r="F303" s="2"/>
    </x:row>
    <x:row r="304" ht="28" customHeight="1">
      <x:c r="A304" s="2"/>
      <x:c r="B304" s="2" t="str">
        <x:v>CUUR0000SEGB</x:v>
      </x:c>
      <x:c r="C304" s="12" t="n">
        <x:v>45474</x:v>
      </x:c>
      <x:c r="D304" s="13" t="n">
        <x:v>179.079</x:v>
      </x:c>
      <x:c r="E304" s="2"/>
      <x:c r="F304" s="2"/>
    </x:row>
    <x:row r="305" ht="28" customHeight="1">
      <x:c r="A305" s="2"/>
      <x:c r="B305" s="2" t="str">
        <x:v>CUUR0000SEGB</x:v>
      </x:c>
      <x:c r="C305" s="12" t="n">
        <x:v>45505</x:v>
      </x:c>
      <x:c r="D305" s="13" t="n">
        <x:v>178.452</x:v>
      </x:c>
      <x:c r="E305" s="2"/>
      <x:c r="F305" s="2"/>
    </x:row>
    <x:row r="306" ht="28" customHeight="1">
      <x:c r="A306" s="2"/>
      <x:c r="B306" s="2" t="str">
        <x:v>CUUR0000SEGB</x:v>
      </x:c>
      <x:c r="C306" s="12" t="n">
        <x:v>45536</x:v>
      </x:c>
      <x:c r="D306" s="13" t="n">
        <x:v>179.154</x:v>
      </x:c>
      <x:c r="E306" s="2"/>
      <x:c r="F306" s="2"/>
    </x:row>
    <x:row r="307" ht="28" customHeight="1">
      <x:c r="A307" s="2"/>
      <x:c r="B307" s="2" t="str">
        <x:v>CUUR0000SEGB</x:v>
      </x:c>
      <x:c r="C307" s="12" t="n">
        <x:v>45566</x:v>
      </x:c>
      <x:c r="D307" s="13" t="n">
        <x:v>179.634</x:v>
      </x:c>
      <x:c r="E307" s="2"/>
      <x:c r="F307" s="2"/>
    </x:row>
    <x:row r="308" ht="28" customHeight="1">
      <x:c r="A308" s="2"/>
      <x:c r="B308" s="2" t="str">
        <x:v>CUUR0000SEGB</x:v>
      </x:c>
      <x:c r="C308" s="12" t="n">
        <x:v>45597</x:v>
      </x:c>
      <x:c r="D308" s="13" t="n">
        <x:v>179.444</x:v>
      </x:c>
      <x:c r="E308" s="2"/>
      <x:c r="F308" s="2"/>
    </x:row>
    <x:row r="309" ht="28" customHeight="1">
      <x:c r="A309" s="2"/>
      <x:c r="B309" s="2" t="str">
        <x:v>CUUR0000SEGB</x:v>
      </x:c>
      <x:c r="C309" s="12" t="n">
        <x:v>45627</x:v>
      </x:c>
      <x:c r="D309" s="13" t="n">
        <x:v>177.536</x:v>
      </x:c>
      <x:c r="E309" s="2"/>
      <x:c r="F309" s="2"/>
    </x:row>
    <x:row r="310" ht="28" customHeight="1">
      <x:c r="A310" s="2"/>
      <x:c r="B310" s="2" t="str">
        <x:v>CUUR0000SEGB</x:v>
      </x:c>
      <x:c r="C310" s="12" t="n">
        <x:v>45658</x:v>
      </x:c>
      <x:c r="D310" s="13" t="n">
        <x:v>178.259</x:v>
      </x:c>
      <x:c r="E310" s="2"/>
      <x:c r="F310" s="2"/>
    </x:row>
    <x:row r="311" ht="28" customHeight="1">
      <x:c r="A311" s="2"/>
      <x:c r="B311" s="2" t="str">
        <x:v>CUUR0000SEGB</x:v>
      </x:c>
      <x:c r="C311" s="12" t="n">
        <x:v>45689</x:v>
      </x:c>
      <x:c r="D311" s="13" t="n">
        <x:v>179.824</x:v>
      </x:c>
      <x:c r="E311" s="2"/>
      <x:c r="F311" s="2"/>
    </x:row>
    <x:row r="312" ht="28" customHeight="1">
      <x:c r="A312" s="2"/>
      <x:c r="B312" s="2" t="str">
        <x:v>CUUR0000SEGB</x:v>
      </x:c>
      <x:c r="C312" s="12" t="n">
        <x:v>45717</x:v>
      </x:c>
      <x:c r="D312" s="13" t="n">
        <x:v>179.746</x:v>
      </x:c>
      <x:c r="E312" s="2"/>
      <x:c r="F312" s="2"/>
    </x:row>
    <x:row r="313" ht="28" customHeight="1">
      <x:c r="A313" s="2"/>
      <x:c r="B313" s="2" t="str">
        <x:v>CUUR0000SEGB</x:v>
      </x:c>
      <x:c r="C313" s="12" t="n">
        <x:v>45748</x:v>
      </x:c>
      <x:c r="D313" s="13" t="n">
        <x:v>180.004</x:v>
      </x:c>
      <x:c r="E313" s="2"/>
      <x:c r="F313" s="2"/>
    </x:row>
    <x:row r="314" ht="28" customHeight="1">
      <x:c r="A314" s="2"/>
      <x:c r="B314" s="2" t="str">
        <x:v>CUUR0000SEGB</x:v>
      </x:c>
      <x:c r="C314" s="12" t="n">
        <x:v>45778</x:v>
      </x:c>
      <x:c r="D314" s="13" t="n">
        <x:v>179.673</x:v>
      </x:c>
      <x:c r="E314" s="2"/>
      <x:c r="F314" s="2"/>
    </x:row>
    <x:row r="315" ht="28" customHeight="1">
      <x:c r="A315" s="2"/>
      <x:c r="B315" s="2" t="str">
        <x:v>CUUR0000SEGB</x:v>
      </x:c>
      <x:c r="C315" s="12" t="n">
        <x:v>45809</x:v>
      </x:c>
      <x:c r="D315" s="13" t="n">
        <x:v>179.83</x:v>
      </x:c>
      <x:c r="E315" s="2"/>
      <x:c r="F315" s="2"/>
    </x:row>
    <x:row r="316" ht="28" customHeight="1">
      <x:c r="A316" s="2"/>
      <x:c r="B316" s="2" t="str">
        <x:v>CUUR0000SEGB</x:v>
      </x:c>
      <x:c r="C316" s="12" t="n">
        <x:v>45839</x:v>
      </x:c>
      <x:c r="D316" s="13" t="n">
        <x:v>179.777</x:v>
      </x:c>
      <x:c r="E316" s="2"/>
      <x:c r="F316" s="2"/>
    </x:row>
    <x:row r="317" ht="28" customHeight="1">
      <x:c r="A317" s="2"/>
      <x:c r="B317" s="2" t="str">
        <x:v>CUUR0000SEGB</x:v>
      </x:c>
      <x:c r="C317" s="12" t="n">
        <x:v>45870</x:v>
      </x:c>
      <x:c r="D317" s="13" t="n">
        <x:v>180.503</x:v>
      </x:c>
      <x:c r="E317" s="2"/>
      <x:c r="F317" s="2"/>
    </x:row>
    <x:row r="318" ht="28" customHeight="1">
      <x:c r="A318" s="2"/>
      <x:c r="B318" s="2" t="str">
        <x:v>CUUR0000SEGB</x:v>
      </x:c>
      <x:c r="C318" s="12" t="n">
        <x:v>45901</x:v>
      </x:c>
      <x:c r="D318" s="13" t="n">
        <x:v>181.816</x:v>
      </x:c>
      <x:c r="E318" s="2"/>
      <x:c r="F318" s="2"/>
    </x:row>
    <x:row r="319" ht="28" customHeight="1">
      <x:c r="A319" s="2"/>
      <x:c r="B319" s="2" t="str">
        <x:v>CUUR0000SEGB</x:v>
      </x:c>
      <x:c r="C319" s="12" t="n">
        <x:v>45962</x:v>
      </x:c>
      <x:c r="D319" s="13" t="n">
        <x:v>180.752</x:v>
      </x:c>
      <x:c r="E319" s="2"/>
      <x:c r="F319" s="2"/>
    </x:row>
    <x:row r="320" ht="28" customHeight="1">
      <x:c r="A320" s="2"/>
      <x:c r="B320" s="2" t="str">
        <x:v>CUUR0000SEGB</x:v>
      </x:c>
      <x:c r="C320" s="12" t="n">
        <x:v>45992</x:v>
      </x:c>
      <x:c r="D320" s="13" t="n">
        <x:v>180.246</x:v>
      </x:c>
      <x:c r="E320" s="2"/>
      <x:c r="F320" s="2"/>
    </x:row>
    <x:row r="321" ht="28" customHeight="1">
      <x:c r="A321" s="2"/>
      <x:c r="B321" s="2" t="str">
        <x:v>CUUR0000SEGB</x:v>
      </x:c>
      <x:c r="C321" s="12" t="n">
        <x:v>46023</x:v>
      </x:c>
      <x:c r="D321" s="13" t="n">
        <x:v>181.597</x:v>
      </x:c>
      <x:c r="E321" s="2"/>
      <x:c r="F321" s="2"/>
    </x:row>
    <x:row r="322" ht="28" customHeight="1">
      <x:c r="A322" s="2"/>
      <x:c r="B322" s="2" t="str">
        <x:v>CUUR0000SEGB</x:v>
      </x:c>
      <x:c r="C322" s="12" t="n">
        <x:v>46054</x:v>
      </x:c>
      <x:c r="D322" s="13" t="n">
        <x:v>182.953</x:v>
      </x:c>
      <x:c r="E322" s="2"/>
      <x:c r="F322" s="2"/>
    </x:row>
    <x:row r="323" ht="28" customHeight="1">
      <x:c r="A323" s="2"/>
      <x:c r="B323" s="2" t="str">
        <x:v>CUUR0000SEGB</x:v>
      </x:c>
      <x:c r="C323" s="12" t="n">
        <x:v>46082</x:v>
      </x:c>
      <x:c r="D323" s="13" t="n">
        <x:v>183.762</x:v>
      </x:c>
      <x:c r="E323" s="2"/>
      <x:c r="F323" s="2"/>
    </x:row>
    <x:row r="324" ht="28" customHeight="1">
      <x:c r="A324" s="2"/>
      <x:c r="B324" s="2"/>
      <x:c r="C324" s="2"/>
      <x:c r="D324" s="2"/>
      <x:c r="E324" s="2"/>
      <x:c r="F324" s="2"/>
    </x:row>
    <x:row r="325" ht="28" customHeight="1">
      <x:c r="A325" s="2"/>
      <x:c r="B325" s="2"/>
      <x:c r="C325" s="2"/>
      <x:c r="D325" s="2"/>
      <x:c r="E325" s="2"/>
      <x:c r="F325" s="2"/>
    </x:row>
    <x:row r="326" ht="28" customHeight="1">
      <x:c r="A326" s="2"/>
      <x:c r="B326" s="2"/>
      <x:c r="C326" s="2"/>
      <x:c r="D326" s="2"/>
      <x:c r="E326" s="2"/>
      <x:c r="F326" s="2"/>
    </x:row>
    <x:row r="327" ht="28" customHeight="1">
      <x:c r="A327" s="2"/>
      <x:c r="B327" s="2"/>
      <x:c r="C327" s="2"/>
      <x:c r="D327" s="2"/>
      <x:c r="E327" s="2"/>
      <x:c r="F327" s="2"/>
    </x:row>
    <x:row r="328" ht="28" customHeight="1">
      <x:c r="A328" s="2"/>
      <x:c r="B328" s="2"/>
      <x:c r="C328" s="2"/>
      <x:c r="D328" s="2"/>
      <x:c r="E328" s="2"/>
      <x:c r="F328" s="2"/>
    </x:row>
    <x:row r="329" ht="28" customHeight="1">
      <x:c r="A329" s="2"/>
      <x:c r="B329" s="2"/>
      <x:c r="C329" s="2"/>
      <x:c r="D329" s="2"/>
      <x:c r="E329" s="2"/>
      <x:c r="F329" s="2"/>
    </x:row>
    <x:row r="330" ht="28" customHeight="1">
      <x:c r="A330" s="2"/>
      <x:c r="B330" s="2"/>
      <x:c r="C330" s="2"/>
      <x:c r="D330" s="2"/>
      <x:c r="E330" s="2"/>
      <x:c r="F330" s="2"/>
    </x:row>
    <x:row r="331" ht="28" customHeight="1">
      <x:c r="A331" s="2"/>
      <x:c r="B331" s="2"/>
      <x:c r="C331" s="2"/>
      <x:c r="D331" s="2"/>
      <x:c r="E331" s="2"/>
      <x:c r="F331" s="2"/>
    </x:row>
    <x:row r="332" ht="28" customHeight="1">
      <x:c r="A332" s="2"/>
      <x:c r="B332" s="2"/>
      <x:c r="C332" s="2"/>
      <x:c r="D332" s="2"/>
      <x:c r="E332" s="2"/>
      <x:c r="F332" s="2"/>
    </x:row>
    <x:row r="333" ht="28" customHeight="1">
      <x:c r="A333" s="2"/>
      <x:c r="B333" s="2"/>
      <x:c r="C333" s="2"/>
      <x:c r="D333" s="2"/>
      <x:c r="E333" s="2"/>
      <x:c r="F333" s="2"/>
    </x:row>
    <x:row r="334" ht="28" customHeight="1">
      <x:c r="A334" s="2"/>
      <x:c r="B334" s="2"/>
      <x:c r="C334" s="2"/>
      <x:c r="D334" s="2"/>
      <x:c r="E334" s="2"/>
      <x:c r="F334" s="2"/>
    </x:row>
    <x:row r="335" ht="28" customHeight="1">
      <x:c r="A335" s="2"/>
      <x:c r="B335" s="2"/>
      <x:c r="C335" s="2"/>
      <x:c r="D335" s="2"/>
      <x:c r="E335" s="2"/>
      <x:c r="F335" s="2"/>
    </x:row>
    <x:row r="336" ht="28" customHeight="1">
      <x:c r="A336" s="2"/>
      <x:c r="B336" s="2"/>
      <x:c r="C336" s="2"/>
      <x:c r="D336" s="2"/>
      <x:c r="E336" s="2"/>
      <x:c r="F336" s="2"/>
    </x:row>
    <x:row r="337" ht="28" customHeight="1">
      <x:c r="A337" s="2"/>
      <x:c r="B337" s="2"/>
      <x:c r="C337" s="2"/>
      <x:c r="D337" s="2"/>
      <x:c r="E337" s="2"/>
      <x:c r="F337" s="2"/>
    </x:row>
  </x:sheetData>
  <x:pageMargins left="0.7" right="0.7" top="0.75" bottom="0.75" header="0.3" footer="0.3"/>
</x:worksheet>
</file>