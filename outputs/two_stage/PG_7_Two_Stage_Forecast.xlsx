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22328fdc843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a009c5b866e74414"/>
    <x:sheet xmlns:r="http://schemas.openxmlformats.org/officeDocument/2006/relationships" name="Worked example" sheetId="2" r:id="R00a42b7a90f245d5"/>
    <x:sheet xmlns:r="http://schemas.openxmlformats.org/officeDocument/2006/relationships" name="Relationships" sheetId="3" r:id="R651a085f06de444d"/>
    <x:sheet xmlns:r="http://schemas.openxmlformats.org/officeDocument/2006/relationships" name="Monthly tests" sheetId="4" r:id="Re05a51938b67450f"/>
    <x:sheet xmlns:r="http://schemas.openxmlformats.org/officeDocument/2006/relationships" name="Company tests" sheetId="5" r:id="R0c4657106ddb47c8"/>
    <x:sheet xmlns:r="http://schemas.openxmlformats.org/officeDocument/2006/relationships" name="Scores" sheetId="6" r:id="R6e43ab279653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;[Red](0.000);0.000"/>
    <x:numFmt numFmtId="201" formatCode="0.00"/>
    <x:numFmt numFmtId="202" formatCode="0.00000"/>
  </x:numFmts>
  <x:fonts count="5">
    <x:font>
      <x:sz val="11"/>
      <x:name val="Carlito"/>
    </x:font>
    <x:font>
      <x:sz val="12"/>
      <x:color rgb="FF17324F"/>
      <x:name val="Arial"/>
    </x:font>
    <x:font>
      <x:b/>
      <x:sz val="20"/>
      <x:color rgb="FF17324F"/>
      <x:name val="Arial"/>
    </x:font>
    <x:font>
      <x:b/>
      <x:sz val="12"/>
      <x:color rgb="FFFFFFFF"/>
      <x:name val="Arial"/>
    </x:font>
    <x:font>
      <x:b/>
      <x:sz val="12"/>
      <x:color rgb="FFC6282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13">
    <x:border/>
    <x:border>
      <x:left style="medium">
        <x:color rgb="FFC62828"/>
      </x:left>
      <x:top style="medium">
        <x:color rgb="FFC62828"/>
      </x:top>
      <x:bottom style="medium">
        <x:color rgb="FFC62828"/>
      </x:bottom>
    </x:border>
    <x:border>
      <x:top style="medium">
        <x:color rgb="FFC62828"/>
      </x:top>
      <x:bottom style="medium">
        <x:color rgb="FFC62828"/>
      </x:bottom>
    </x:border>
    <x:border>
      <x:right style="medium">
        <x:color rgb="FFC62828"/>
      </x:right>
      <x:top style="medium">
        <x:color rgb="FFC62828"/>
      </x:top>
      <x:bottom style="medium">
        <x:color rgb="FFC62828"/>
      </x:bottom>
    </x:border>
    <x:border>
      <x:left style="medium">
        <x:color rgb="FFC62828"/>
      </x:left>
      <x:right style="medium">
        <x:color rgb="FFC62828"/>
      </x:right>
      <x:top style="medium">
        <x:color rgb="FFC62828"/>
      </x:top>
      <x:bottom style="medium">
        <x:color rgb="FFC62828"/>
      </x:bottom>
    </x:border>
    <x:border>
      <x:left style="medium">
        <x:color rgb="FFC62828"/>
      </x:left>
      <x:top style="medium">
        <x:color rgb="FFC62828"/>
      </x:top>
    </x:border>
    <x:border>
      <x:top style="medium">
        <x:color rgb="FFC62828"/>
      </x:top>
    </x:border>
    <x:border>
      <x:right style="medium">
        <x:color rgb="FFC62828"/>
      </x:right>
      <x:top style="medium">
        <x:color rgb="FFC62828"/>
      </x:top>
    </x:border>
    <x:border>
      <x:left style="medium">
        <x:color rgb="FFC62828"/>
      </x:left>
    </x:border>
    <x:border>
      <x:right style="medium">
        <x:color rgb="FFC62828"/>
      </x:right>
    </x:border>
    <x:border>
      <x:left style="medium">
        <x:color rgb="FFC62828"/>
      </x:left>
      <x:bottom style="medium">
        <x:color rgb="FFC62828"/>
      </x:bottom>
    </x:border>
    <x:border>
      <x:bottom style="medium">
        <x:color rgb="FFC62828"/>
      </x:bottom>
    </x:border>
    <x:border>
      <x:right style="medium">
        <x:color rgb="FFC62828"/>
      </x:right>
      <x:bottom style="medium">
        <x:color rgb="FFC6282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364f37e96846a9" /><Relationship Type="http://schemas.openxmlformats.org/officeDocument/2006/relationships/theme" Target="/xl/theme/theme1.xml" Id="R51fae23229fa4ece" /><Relationship Type="http://schemas.openxmlformats.org/officeDocument/2006/relationships/sharedStrings" Target="/xl/sharedStrings.xml" Id="R0a2e0979c1c94d4a" /><Relationship Type="http://schemas.openxmlformats.org/officeDocument/2006/relationships/worksheet" Target="/xl/worksheets/sheet1.xml" Id="Ra009c5b866e74414" /><Relationship Type="http://schemas.openxmlformats.org/officeDocument/2006/relationships/worksheet" Target="/xl/worksheets/sheet2.xml" Id="R00a42b7a90f245d5" /><Relationship Type="http://schemas.openxmlformats.org/officeDocument/2006/relationships/worksheet" Target="/xl/worksheets/sheet3.xml" Id="R651a085f06de444d" /><Relationship Type="http://schemas.openxmlformats.org/officeDocument/2006/relationships/worksheet" Target="/xl/worksheets/sheet4.xml" Id="Re05a51938b67450f" /><Relationship Type="http://schemas.openxmlformats.org/officeDocument/2006/relationships/worksheet" Target="/xl/worksheets/sheet5.xml" Id="R0c4657106ddb47c8" /><Relationship Type="http://schemas.openxmlformats.org/officeDocument/2006/relationships/worksheet" Target="/xl/worksheets/sheet6.xml" Id="R6e43ab27965344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27" customHeight="1">
      <x:c r="A2" s="2"/>
      <x:c r="B2" s="3" t="str">
        <x:v>P&amp;G | Market relationship → missing month → forecast</x:v>
      </x:c>
      <x:c r="C2" s="2"/>
      <x:c r="D2" s="2"/>
      <x:c r="E2" s="2"/>
      <x:c r="F2" s="2"/>
    </x:row>
    <x:row r="3" ht="27" customHeight="1">
      <x:c r="A3" s="2"/>
      <x:c r="B3" s="2" t="str">
        <x:v>21 historical quarters · fixed early screen · 7 later target quarters (availability varies)</x:v>
      </x:c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46" customHeight="1">
      <x:c r="A5" s="2"/>
      <x:c r="B5" s="6" t="str">
        <x:v>Step</x:v>
      </x:c>
      <x:c r="C5" s="6" t="str">
        <x:v>What we tested</x:v>
      </x:c>
      <x:c r="D5" s="6" t="str">
        <x:v>Result</x:v>
      </x:c>
      <x:c r="E5" s="2"/>
      <x:c r="F5" s="2"/>
    </x:row>
    <x:row r="6" ht="46" customHeight="1">
      <x:c r="A6" s="2"/>
      <x:c r="B6" s="9" t="str">
        <x:v>1. Company–market relationship</x:v>
      </x:c>
      <x:c r="C6" s="9" t="str">
        <x:v>11 pairings; 2 windows</x:v>
      </x:c>
      <x:c r="D6" s="9" t="str">
        <x:v>6 passed the early screen</x:v>
      </x:c>
      <x:c r="E6" s="2"/>
      <x:c r="F6" s="2"/>
    </x:row>
    <x:row r="7" ht="46" customHeight="1">
      <x:c r="A7" s="2"/>
      <x:c r="B7" s="9" t="str">
        <x:v>2. Missing market month</x:v>
      </x:c>
      <x:c r="C7" s="9" t="str">
        <x:v>Carry, flat, trend, seasonality</x:v>
      </x:c>
      <x:c r="D7" s="9" t="str">
        <x:v>No universal winning method</x:v>
      </x:c>
      <x:c r="E7" s="2"/>
      <x:c r="F7" s="2"/>
    </x:row>
    <x:row r="8" ht="46" customHeight="1">
      <x:c r="A8" s="2"/>
      <x:c r="B8" s="9" t="str">
        <x:v>3. P&amp;G forecast</x:v>
      </x:c>
      <x:c r="C8" s="9" t="str">
        <x:v>Link both stages; test later data</x:v>
      </x:c>
      <x:c r="D8" s="9" t="str">
        <x:v>Better market ≠ better PG</x:v>
      </x:c>
      <x:c r="E8" s="2"/>
      <x:c r="F8" s="2"/>
    </x:row>
    <x:row r="9" ht="27" customHeight="1">
      <x:c r="A9" s="2"/>
      <x:c r="B9" s="2"/>
      <x:c r="C9" s="2"/>
      <x:c r="D9" s="2"/>
      <x:c r="E9" s="2"/>
      <x:c r="F9" s="2"/>
    </x:row>
    <x:row r="10" ht="46" customHeight="1">
      <x:c r="A10" s="2"/>
      <x:c r="B10" s="6" t="str">
        <x:v>Two known market months</x:v>
      </x:c>
      <x:c r="C10" s="6" t="str">
        <x:v>Model RMSE pp</x:v>
      </x:c>
      <x:c r="D10" s="6" t="str">
        <x:v>Last actual pp</x:v>
      </x:c>
      <x:c r="E10" s="6" t="str">
        <x:v>4-qtr mean pp</x:v>
      </x:c>
      <x:c r="F10" s="6" t="str">
        <x:v>Target quarters</x:v>
      </x:c>
    </x:row>
    <x:row r="11" ht="44" customHeight="1">
      <x:c r="A11" s="2"/>
      <x:c r="B11" s="9" t="str">
        <x:v>Baby, Feminine &amp; Family Care / volume</x:v>
      </x:c>
      <x:c r="C11" s="12" t="n">
        <x:f>Scores!F17</x:f>
        <x:v>3.017590579980004</x:v>
      </x:c>
      <x:c r="D11" s="13" t="n">
        <x:f>Scores!G17</x:f>
        <x:v>4.69041575982343</x:v>
      </x:c>
      <x:c r="E11" s="14" t="n">
        <x:f>Scores!H17</x:f>
        <x:v>3.59687364248454</x:v>
      </x:c>
      <x:c r="F11" s="2" t="n">
        <x:v>7</x:v>
      </x:c>
    </x:row>
    <x:row r="12" ht="44" customHeight="1">
      <x:c r="A12" s="2"/>
      <x:c r="B12" s="9" t="str">
        <x:v>Beauty / organic sales</x:v>
      </x:c>
      <x:c r="C12" s="10" t="n">
        <x:f>Scores!F33</x:f>
        <x:v>3.132101175942108</x:v>
      </x:c>
      <x:c r="D12" s="10" t="n">
        <x:f>Scores!G33</x:f>
        <x:v>3.3806170189140663</x:v>
      </x:c>
      <x:c r="E12" s="10" t="n">
        <x:f>Scores!H33</x:f>
        <x:v>3.141030313220716</x:v>
      </x:c>
      <x:c r="F12" s="2" t="n">
        <x:v>7</x:v>
      </x:c>
    </x:row>
    <x:row r="13" ht="44" customHeight="1">
      <x:c r="A13" s="2"/>
      <x:c r="B13" s="9" t="str">
        <x:v>Beauty / volume</x:v>
      </x:c>
      <x:c r="C13" s="10" t="n">
        <x:f>Scores!F49</x:f>
        <x:v>2.614340768070496</x:v>
      </x:c>
      <x:c r="D13" s="10" t="n">
        <x:f>Scores!G49</x:f>
        <x:v>1.5118578920369088</x:v>
      </x:c>
      <x:c r="E13" s="10" t="n">
        <x:f>Scores!H49</x:f>
        <x:v>1.800297594446937</x:v>
      </x:c>
      <x:c r="F13" s="2" t="n">
        <x:v>7</x:v>
      </x:c>
    </x:row>
    <x:row r="14" ht="44" customHeight="1">
      <x:c r="A14" s="2"/>
      <x:c r="B14" s="9" t="str">
        <x:v>Beauty / pricing</x:v>
      </x:c>
      <x:c r="C14" s="10" t="n">
        <x:f>Scores!F63</x:f>
        <x:v>1.4408563156888268</x:v>
      </x:c>
      <x:c r="D14" s="10" t="n">
        <x:f>Scores!G63</x:f>
        <x:v>1.4832396974191326</x:v>
      </x:c>
      <x:c r="E14" s="10" t="n">
        <x:f>Scores!H63</x:f>
        <x:v>1.7392527130926085</x:v>
      </x:c>
      <x:c r="F14" s="2" t="n">
        <x:v>5</x:v>
      </x:c>
    </x:row>
    <x:row r="15" ht="44" customHeight="1">
      <x:c r="A15" s="2"/>
      <x:c r="B15" s="9" t="str">
        <x:v>Fabric &amp; Home Care / volume</x:v>
      </x:c>
      <x:c r="C15" s="10" t="n">
        <x:f>Scores!F80</x:f>
        <x:v>1.7596013067538638</x:v>
      </x:c>
      <x:c r="D15" s="10" t="n">
        <x:f>Scores!G80</x:f>
        <x:v>1.7320508075688772</x:v>
      </x:c>
      <x:c r="E15" s="10" t="n">
        <x:f>Scores!H80</x:f>
        <x:v>1.6663690210411721</x:v>
      </x:c>
      <x:c r="F15" s="2" t="n">
        <x:v>7</x:v>
      </x:c>
    </x:row>
    <x:row r="16" ht="44" customHeight="1">
      <x:c r="A16" s="2"/>
      <x:c r="B16" s="9" t="str">
        <x:v>Health Care / pricing</x:v>
      </x:c>
      <x:c r="C16" s="10" t="n">
        <x:f>Scores!F99</x:f>
        <x:v>1.000927583058042</x:v>
      </x:c>
      <x:c r="D16" s="10" t="n">
        <x:f>Scores!G99</x:f>
        <x:v>0.5773502691896257</x:v>
      </x:c>
      <x:c r="E16" s="10" t="n">
        <x:f>Scores!H99</x:f>
        <x:v>1.6645820296198484</x:v>
      </x:c>
      <x:c r="F16" s="2" t="n">
        <x:v>6</x:v>
      </x:c>
    </x:row>
    <x:row r="17" ht="27" customHeight="1">
      <x:c r="A17" s="2"/>
      <x:c r="B17" s="2"/>
      <x:c r="C17" s="2"/>
      <x:c r="D17" s="2"/>
      <x:c r="E17" s="2"/>
      <x:c r="F17" s="2"/>
    </x:row>
    <x:row r="18" ht="27" customHeight="1">
      <x:c r="A18" s="2"/>
      <x:c r="B18" s="2" t="str">
        <x:v>Baby / Feminine / Family volume: useful challenger; US-wide demand is an imperfect proxy.</x:v>
      </x:c>
      <x:c r="C18" s="2"/>
      <x:c r="D18" s="2"/>
      <x:c r="E18" s="2"/>
      <x:c r="F18" s="2"/>
    </x:row>
    <x:row r="19" ht="27" customHeight="1">
      <x:c r="A19" s="2"/>
      <x:c r="B19" s="2" t="str">
        <x:v>Beauty volume and Health Care pricing: last actual wins at this checkpoint.</x:v>
      </x:c>
      <x:c r="C19" s="2"/>
      <x:c r="D19" s="2"/>
      <x:c r="E19" s="2"/>
      <x:c r="F19" s="2"/>
    </x:row>
    <x:row r="20" ht="27" customHeight="1">
      <x:c r="A20" s="2"/>
      <x:c r="B20" s="2" t="str">
        <x:v>Beauty pricing: small gain here; loses before earnings. Do not use one model at every stage.</x:v>
      </x:c>
      <x:c r="C20" s="2"/>
      <x:c r="D20" s="2"/>
      <x:c r="E20" s="2"/>
      <x:c r="F20" s="2"/>
    </x:row>
    <x:row r="21" ht="27" customHeight="1">
      <x:c r="A21" s="2"/>
      <x:c r="B21" s="2"/>
      <x:c r="C21" s="2"/>
      <x:c r="D21" s="2"/>
      <x:c r="E21" s="2"/>
      <x:c r="F21" s="2"/>
    </x:row>
    <x:row r="22" ht="27" customHeight="1">
      <x:c r="A22" s="2"/>
      <x:c r="B22" s="16" t="str">
        <x:v>Market example: cosmetics CPI seasonal MAPE 0.35% vs carry 0.69% (5 quarters).</x:v>
      </x:c>
      <x:c r="C22" s="2"/>
      <x:c r="D22" s="2"/>
      <x:c r="E22" s="2"/>
      <x:c r="F22" s="2"/>
    </x:row>
    <x:row r="23" ht="27" customHeight="1">
      <x:c r="A23" s="2"/>
      <x:c r="B23" s="2" t="str">
        <x:v>But Beauty pricing RMSE rises: 1.44pp vs 1.40pp. Open Worked example to see why.</x:v>
      </x:c>
      <x:c r="C23" s="2"/>
      <x:c r="D23" s="2"/>
      <x:c r="E23" s="2"/>
      <x:c r="F23" s="2"/>
    </x:row>
    <x:row r="24" ht="27" customHeight="1">
      <x:c r="A24" s="2"/>
      <x:c r="B24" s="2"/>
      <x:c r="C24" s="2"/>
      <x:c r="D24" s="2"/>
      <x:c r="E24" s="2"/>
      <x:c r="F24" s="2"/>
    </x:row>
    <x:row r="25" ht="27" customHeight="1">
      <x:c r="A25" s="2"/>
      <x:c r="B25" s="2" t="str">
        <x:v>Development results, not untouched validation. Small samples; no causal claim.</x:v>
      </x:c>
      <x:c r="C25" s="2"/>
      <x:c r="D25" s="2"/>
      <x:c r="E25" s="2"/>
      <x:c r="F25" s="2"/>
    </x:row>
    <x:row r="26" ht="27" customHeight="1">
      <x:c r="A26" s="2"/>
      <x:c r="B26" s="2" t="str">
        <x:v>“Available-history choice” uses only earlier verified monthly errors; at least 4 quarters.</x:v>
      </x:c>
      <x:c r="C26" s="2"/>
      <x:c r="D26" s="2"/>
      <x:c r="E26" s="2"/>
      <x:c r="F26" s="2"/>
    </x:row>
    <x:row r="27" ht="27" customHeight="1">
      <x:c r="A27" s="2"/>
      <x:c r="B27" s="2" t="str">
        <x:v>Versions are preserved checkpoints, not a complete archive of every release day.</x:v>
      </x:c>
      <x:c r="C27" s="2"/>
      <x:c r="D27" s="2"/>
      <x:c r="E27" s="2"/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 t="str">
        <x:v>Reproduce: python3 src/test_two_stage.py; then node src/build_two_stage.mjs</x:v>
      </x:c>
      <x:c r="C29" s="2"/>
      <x:c r="D29" s="2"/>
      <x:c r="E29" s="2"/>
      <x:c r="F29" s="2"/>
    </x:row>
    <x:row r="30" ht="27" customHeight="1">
      <x:c r="A30" s="2"/>
      <x:c r="B30" s="2" t="str">
        <x:v>Data: data/two_stage/*.csv. Original monthly files: versions_used.csv. Company: pg_quarterly.json.</x:v>
      </x:c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  <x:row r="32" ht="27" customHeight="1">
      <x:c r="A32" s="2"/>
      <x:c r="B32" s="2"/>
      <x:c r="C32" s="2"/>
      <x:c r="D32" s="2"/>
      <x:c r="E32" s="2"/>
      <x:c r="F32" s="2"/>
    </x:row>
    <x:row r="33" ht="27" customHeight="1">
      <x:c r="A33" s="2"/>
      <x:c r="B33" s="2"/>
      <x:c r="C33" s="2"/>
      <x:c r="D33" s="2"/>
      <x:c r="E33" s="2"/>
      <x:c r="F33" s="2"/>
    </x:row>
    <x:row r="34" ht="27" customHeight="1">
      <x:c r="A34" s="2"/>
      <x:c r="B34" s="2"/>
      <x:c r="C34" s="2"/>
      <x:c r="D34" s="2"/>
      <x:c r="E34" s="2"/>
      <x:c r="F34" s="2"/>
    </x:row>
    <x:row r="35" ht="27" customHeight="1">
      <x:c r="A35" s="2"/>
      <x:c r="B35" s="2"/>
      <x:c r="C35" s="2"/>
      <x:c r="D35" s="2"/>
      <x:c r="E35" s="2"/>
      <x:c r="F35" s="2"/>
    </x:row>
    <x:row r="36" ht="27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23" hidden="0" customWidth="1"/>
    <x:col min="4" max="4" width="23" hidden="0" customWidth="1"/>
    <x:col min="5" max="5" width="24" hidden="0" customWidth="1"/>
    <x:col min="6" max="6" width="26" hidden="0" customWidth="1"/>
  </x:cols>
  <x:sheetData>
    <x:row r="1" ht="27" customHeight="1">
      <x:c r="A1" s="2"/>
      <x:c r="B1" s="2"/>
      <x:c r="C1" s="2"/>
      <x:c r="D1" s="2"/>
      <x:c r="E1" s="2"/>
      <x:c r="F1" s="2"/>
    </x:row>
    <x:row r="2" ht="27" customHeight="1">
      <x:c r="A2" s="2"/>
      <x:c r="B2" s="3" t="str">
        <x:v>Beauty pricing | Why a better CPI estimate can still miss P&amp;G</x:v>
      </x:c>
      <x:c r="C2" s="2"/>
      <x:c r="D2" s="2"/>
      <x:c r="E2" s="2"/>
      <x:c r="F2" s="2"/>
    </x:row>
    <x:row r="3" ht="27" customHeight="1">
      <x:c r="A3" s="2"/>
      <x:c r="B3" s="2" t="str">
        <x:v>Forecast made with data available by 1 July 2025; target April–June 2025.</x:v>
      </x:c>
      <x:c r="C3" s="2"/>
      <x:c r="D3" s="2"/>
      <x:c r="E3" s="2"/>
      <x:c r="F3" s="2"/>
    </x:row>
    <x:row r="4" ht="27" customHeight="1">
      <x:c r="A4" s="2"/>
      <x:c r="B4" s="2"/>
      <x:c r="C4" s="2"/>
      <x:c r="D4" s="2"/>
      <x:c r="E4" s="2"/>
      <x:c r="F4" s="2"/>
    </x:row>
    <x:row r="5" ht="46" customHeight="1">
      <x:c r="A5" s="2"/>
      <x:c r="B5" s="6" t="str">
        <x:v>1. Historical June pattern</x:v>
      </x:c>
      <x:c r="C5" s="6" t="str">
        <x:v>May CPI</x:v>
      </x:c>
      <x:c r="D5" s="6" t="str">
        <x:v>June CPI</x:v>
      </x:c>
      <x:c r="E5" s="6" t="str">
        <x:v>June / May</x:v>
      </x:c>
      <x:c r="F5" s="2"/>
    </x:row>
    <x:row r="6" ht="27" customHeight="1">
      <x:c r="A6" s="2"/>
      <x:c r="B6" s="2" t="n">
        <x:v>2022</x:v>
      </x:c>
      <x:c r="C6" s="7" t="n">
        <x:v>180.083</x:v>
      </x:c>
      <x:c r="D6" s="7" t="n">
        <x:v>180.437</x:v>
      </x:c>
      <x:c r="E6" s="17" t="n">
        <x:f>D6/C6</x:f>
        <x:v>1.0019657602327816</x:v>
      </x:c>
      <x:c r="F6" s="2"/>
    </x:row>
    <x:row r="7" ht="27" customHeight="1">
      <x:c r="A7" s="2"/>
      <x:c r="B7" s="2" t="n">
        <x:v>2023</x:v>
      </x:c>
      <x:c r="C7" s="7" t="n">
        <x:v>189.549</x:v>
      </x:c>
      <x:c r="D7" s="7" t="n">
        <x:v>189.937</x:v>
      </x:c>
      <x:c r="E7" s="17" t="n">
        <x:f>D7/C7</x:f>
        <x:v>1.0020469641095442</x:v>
      </x:c>
      <x:c r="F7" s="2"/>
    </x:row>
    <x:row r="8" ht="27" customHeight="1">
      <x:c r="A8" s="2"/>
      <x:c r="B8" s="2" t="n">
        <x:v>2024</x:v>
      </x:c>
      <x:c r="C8" s="7" t="n">
        <x:v>189.984</x:v>
      </x:c>
      <x:c r="D8" s="7" t="n">
        <x:v>190.421</x:v>
      </x:c>
      <x:c r="E8" s="17" t="n">
        <x:f>D8/C8</x:f>
        <x:v>1.002300193700522</x:v>
      </x:c>
      <x:c r="F8" s="2"/>
    </x:row>
    <x:row r="9" ht="27" customHeight="1">
      <x:c r="A9" s="2"/>
      <x:c r="B9" s="2" t="str">
        <x:v>Median multiplier</x:v>
      </x:c>
      <x:c r="C9" s="2"/>
      <x:c r="D9" s="2"/>
      <x:c r="E9" s="19" t="n">
        <x:f>MEDIAN(E6:E8)</x:f>
        <x:v>1.0020469641095442</x:v>
      </x:c>
      <x:c r="F9" s="2"/>
    </x:row>
    <x:row r="10" ht="27" customHeight="1">
      <x:c r="A10" s="2"/>
      <x:c r="B10" s="2"/>
      <x:c r="C10" s="2"/>
      <x:c r="D10" s="2"/>
      <x:c r="E10" s="2"/>
      <x:c r="F10" s="2"/>
    </x:row>
    <x:row r="11" ht="46" customHeight="1">
      <x:c r="A11" s="2"/>
      <x:c r="B11" s="6" t="str">
        <x:v>2. Build quarter CPI</x:v>
      </x:c>
      <x:c r="C11" s="6" t="str">
        <x:v>Prior-year CPI</x:v>
      </x:c>
      <x:c r="D11" s="6" t="str">
        <x:v>Carry forecast</x:v>
      </x:c>
      <x:c r="E11" s="6" t="str">
        <x:v>Seasonal forecast</x:v>
      </x:c>
      <x:c r="F11" s="6" t="str">
        <x:v>Actual (known later)</x:v>
      </x:c>
    </x:row>
    <x:row r="12" ht="27" customHeight="1">
      <x:c r="A12" s="2"/>
      <x:c r="B12" s="2" t="str">
        <x:v>2025-04-01</x:v>
      </x:c>
      <x:c r="C12" s="7" t="n">
        <x:v>190.319</x:v>
      </x:c>
      <x:c r="D12" s="7" t="n">
        <x:v>190.631</x:v>
      </x:c>
      <x:c r="E12" s="7" t="n">
        <x:f>D12</x:f>
        <x:v>190.631</x:v>
      </x:c>
      <x:c r="F12" s="7" t="n">
        <x:v>190.631</x:v>
      </x:c>
    </x:row>
    <x:row r="13" ht="27" customHeight="1">
      <x:c r="A13" s="2"/>
      <x:c r="B13" s="2" t="str">
        <x:v>2025-05-01</x:v>
      </x:c>
      <x:c r="C13" s="7" t="n">
        <x:v>189.984</x:v>
      </x:c>
      <x:c r="D13" s="7" t="n">
        <x:v>189.399</x:v>
      </x:c>
      <x:c r="E13" s="7" t="n">
        <x:f>D13</x:f>
        <x:v>189.399</x:v>
      </x:c>
      <x:c r="F13" s="7" t="n">
        <x:v>189.399</x:v>
      </x:c>
    </x:row>
    <x:row r="14" ht="27" customHeight="1">
      <x:c r="A14" s="2"/>
      <x:c r="B14" s="2" t="str">
        <x:v>2025-06-01</x:v>
      </x:c>
      <x:c r="C14" s="7" t="n">
        <x:v>190.421</x:v>
      </x:c>
      <x:c r="D14" s="21" t="n">
        <x:v>189.6866119704068</x:v>
      </x:c>
      <x:c r="E14" s="22" t="n">
        <x:f>E13*$E$9</x:f>
        <x:v>189.78669295538356</x:v>
      </x:c>
      <x:c r="F14" s="23" t="n">
        <x:v>191.072</x:v>
      </x:c>
    </x:row>
    <x:row r="15" ht="27" customHeight="1">
      <x:c r="A15" s="2"/>
      <x:c r="B15" s="2" t="str">
        <x:v>Quarter YoY %</x:v>
      </x:c>
      <x:c r="C15" s="2"/>
      <x:c r="D15" s="7" t="n">
        <x:f>100*(AVERAGE(D12:D14)/AVERAGE(C12:C14)-1)</x:f>
        <x:v>-0.1765105426779101</x:v>
      </x:c>
      <x:c r="E15" s="7" t="n">
        <x:f>100*(AVERAGE(E12:E14)/AVERAGE(C12:C14)-1)</x:f>
        <x:v>-0.15897474867297978</x:v>
      </x:c>
      <x:c r="F15" s="7" t="n">
        <x:f>100*(AVERAGE(F12:F14)/AVERAGE(C12:C14)-1)</x:f>
        <x:v>0.06623166364128075</x:v>
      </x:c>
    </x:row>
    <x:row r="16" ht="27" customHeight="1">
      <x:c r="A16" s="2"/>
      <x:c r="B16" s="2"/>
      <x:c r="C16" s="2"/>
      <x:c r="D16" s="2"/>
      <x:c r="E16" s="2"/>
      <x:c r="F16" s="2"/>
    </x:row>
    <x:row r="17" ht="27" customHeight="1">
      <x:c r="A17" s="2"/>
      <x:c r="B17" s="2" t="str">
        <x:v>April + May are observed. Only June is estimated; later actuals never enter the forecast.</x:v>
      </x:c>
      <x:c r="C17" s="2"/>
      <x:c r="D17" s="2"/>
      <x:c r="E17" s="2"/>
      <x:c r="F17" s="2"/>
    </x:row>
    <x:row r="18" ht="27" customHeight="1">
      <x:c r="A18" s="2"/>
      <x:c r="B18" s="2"/>
      <x:c r="C18" s="2"/>
      <x:c r="D18" s="2"/>
      <x:c r="E18" s="2"/>
      <x:c r="F18" s="2"/>
    </x:row>
    <x:row r="19" ht="46" customHeight="1">
      <x:c r="A19" s="2"/>
      <x:c r="B19" s="6" t="str">
        <x:v>3. P&amp;G pricing model</x:v>
      </x:c>
      <x:c r="C19" s="6" t="str">
        <x:v>Value</x:v>
      </x:c>
      <x:c r="D19" s="6" t="str">
        <x:v>Unit</x:v>
      </x:c>
      <x:c r="E19" s="2"/>
      <x:c r="F19" s="2"/>
    </x:row>
    <x:row r="20" ht="27" customHeight="1">
      <x:c r="A20" s="2"/>
      <x:c r="B20" s="2" t="str">
        <x:v>Fitted intercept</x:v>
      </x:c>
      <x:c r="C20" s="7" t="n">
        <x:v>3.086630304343101</x:v>
      </x:c>
      <x:c r="D20" s="2" t="str">
        <x:v>percentage points</x:v>
      </x:c>
      <x:c r="E20" s="2"/>
      <x:c r="F20" s="2"/>
    </x:row>
    <x:row r="21" ht="27" customHeight="1">
      <x:c r="A21" s="2"/>
      <x:c r="B21" s="2" t="str">
        <x:v>Fitted slope</x:v>
      </x:c>
      <x:c r="C21" s="7" t="n">
        <x:v>1.0017468530241134</x:v>
      </x:c>
      <x:c r="D21" s="2" t="str">
        <x:v>PG pp / market pp</x:v>
      </x:c>
      <x:c r="E21" s="2"/>
      <x:c r="F21" s="2"/>
    </x:row>
    <x:row r="22" ht="27" customHeight="1">
      <x:c r="A22" s="2"/>
      <x:c r="B22" s="2" t="str">
        <x:v>Training quarters</x:v>
      </x:c>
      <x:c r="C22" s="2" t="n">
        <x:v>17</x:v>
      </x:c>
      <x:c r="D22" s="2" t="str">
        <x:v>Jan 2021–Mar 2025</x:v>
      </x:c>
      <x:c r="E22" s="2"/>
      <x:c r="F22" s="2"/>
    </x:row>
    <x:row r="23" ht="27" customHeight="1">
      <x:c r="A23" s="2"/>
      <x:c r="B23" s="2"/>
      <x:c r="C23" s="2"/>
      <x:c r="D23" s="2"/>
      <x:c r="E23" s="2"/>
      <x:c r="F23" s="2"/>
    </x:row>
    <x:row r="24" ht="46" customHeight="1">
      <x:c r="A24" s="2"/>
      <x:c r="B24" s="6" t="str">
        <x:v>4. Compare to P&amp;G</x:v>
      </x:c>
      <x:c r="C24" s="6" t="str">
        <x:v>Carry forecast</x:v>
      </x:c>
      <x:c r="D24" s="6" t="str">
        <x:v>Seasonal forecast</x:v>
      </x:c>
      <x:c r="E24" s="6" t="str">
        <x:v>Later-filled diagnostic</x:v>
      </x:c>
      <x:c r="F24" s="2"/>
    </x:row>
    <x:row r="25" ht="27" customHeight="1">
      <x:c r="A25" s="2"/>
      <x:c r="B25" s="2" t="str">
        <x:v>Pricing contribution pp</x:v>
      </x:c>
      <x:c r="C25" s="24" t="n">
        <x:f>C20+C21*D15</x:f>
        <x:v>2.909811423689926</x:v>
      </x:c>
      <x:c r="D25" s="25" t="n">
        <x:f>C20+C21*E15</x:f>
        <x:v>2.927377850149644</x:v>
      </x:c>
      <x:c r="E25" s="26" t="n">
        <x:f>C20+C21*F15</x:f>
        <x:v>3.1529776649663055</x:v>
      </x:c>
      <x:c r="F25" s="2"/>
    </x:row>
    <x:row r="26" ht="27" customHeight="1">
      <x:c r="A26" s="2"/>
      <x:c r="B26" s="2" t="str">
        <x:v>P&amp;G actual pp</x:v>
      </x:c>
      <x:c r="C26" s="27" t="n">
        <x:v>1</x:v>
      </x:c>
      <x:c r="D26" s="20" t="n">
        <x:v>1</x:v>
      </x:c>
      <x:c r="E26" s="28" t="n">
        <x:v>1</x:v>
      </x:c>
      <x:c r="F26" s="2"/>
    </x:row>
    <x:row r="27" ht="27" customHeight="1">
      <x:c r="A27" s="2"/>
      <x:c r="B27" s="2" t="str">
        <x:v>Error pp</x:v>
      </x:c>
      <x:c r="C27" s="29" t="n">
        <x:f>C25-C26</x:f>
        <x:v>1.9098114236899262</x:v>
      </x:c>
      <x:c r="D27" s="30" t="n">
        <x:f>D25-D26</x:f>
        <x:v>1.927377850149644</x:v>
      </x:c>
      <x:c r="E27" s="31" t="n">
        <x:f>E25-E26</x:f>
        <x:v>2.1529776649663055</x:v>
      </x:c>
      <x:c r="F27" s="2"/>
    </x:row>
    <x:row r="28" ht="27" customHeight="1">
      <x:c r="A28" s="2"/>
      <x:c r="B28" s="2"/>
      <x:c r="C28" s="2"/>
      <x:c r="D28" s="2"/>
      <x:c r="E28" s="2"/>
      <x:c r="F28" s="2"/>
    </x:row>
    <x:row r="29" ht="27" customHeight="1">
      <x:c r="A29" s="2"/>
      <x:c r="B29" s="2" t="str">
        <x:v>Even with later June CPI, this relationship predicts 3.15pp; P&amp;G reports 1pp.</x:v>
      </x:c>
      <x:c r="C29" s="2"/>
      <x:c r="D29" s="2"/>
      <x:c r="E29" s="2"/>
      <x:c r="F29" s="2"/>
    </x:row>
    <x:row r="30" ht="27" customHeight="1">
      <x:c r="A30" s="2"/>
      <x:c r="B30" s="2" t="str">
        <x:v>The lower CPI estimate partly offsets the relationship error. It is not a better model.</x:v>
      </x:c>
      <x:c r="C30" s="2"/>
      <x:c r="D30" s="2"/>
      <x:c r="E30" s="2"/>
      <x:c r="F30" s="2"/>
    </x:row>
    <x:row r="31" ht="27" customHeight="1">
      <x:c r="A31" s="2"/>
      <x:c r="B31" s="2"/>
      <x:c r="C31" s="2"/>
      <x:c r="D31" s="2"/>
      <x:c r="E31" s="2"/>
      <x:c r="F31" s="2"/>
    </x:row>
    <x:row r="32" ht="46" customHeight="1">
      <x:c r="A32" s="2"/>
      <x:c r="B32" s="6" t="str">
        <x:v>5. Error explained</x:v>
      </x:c>
      <x:c r="C32" s="6" t="str">
        <x:v>Carry</x:v>
      </x:c>
      <x:c r="D32" s="6" t="str">
        <x:v>Seasonal</x:v>
      </x:c>
      <x:c r="E32" s="2"/>
      <x:c r="F32" s="2"/>
    </x:row>
    <x:row r="33" ht="27" customHeight="1">
      <x:c r="A33" s="2"/>
      <x:c r="B33" s="2" t="str">
        <x:v>Relationship error pp</x:v>
      </x:c>
      <x:c r="C33" s="7" t="n">
        <x:f>E27</x:f>
        <x:v>2.1529776649663055</x:v>
      </x:c>
      <x:c r="D33" s="7" t="n">
        <x:f>E27</x:f>
        <x:v>2.1529776649663055</x:v>
      </x:c>
      <x:c r="E33" s="2"/>
      <x:c r="F33" s="2"/>
    </x:row>
    <x:row r="34" ht="27" customHeight="1">
      <x:c r="A34" s="2"/>
      <x:c r="B34" s="2" t="str">
        <x:v>Missing-month effect pp</x:v>
      </x:c>
      <x:c r="C34" s="7" t="n">
        <x:f>C25-E25</x:f>
        <x:v>-0.2431662412763793</x:v>
      </x:c>
      <x:c r="D34" s="7" t="n">
        <x:f>D25-E25</x:f>
        <x:v>-0.22559981481666158</x:v>
      </x:c>
      <x:c r="E34" s="2"/>
      <x:c r="F34" s="2"/>
    </x:row>
    <x:row r="35" ht="27" customHeight="1">
      <x:c r="A35" s="2"/>
      <x:c r="B35" s="2" t="str">
        <x:v>Total error pp</x:v>
      </x:c>
      <x:c r="C35" s="7" t="n">
        <x:f>SUM(C33:C34)</x:f>
        <x:v>1.9098114236899262</x:v>
      </x:c>
      <x:c r="D35" s="7" t="n">
        <x:f>SUM(D33:D34)</x:f>
        <x:v>1.927377850149644</x:v>
      </x:c>
      <x:c r="E35" s="2"/>
      <x:c r="F35" s="2"/>
    </x:row>
    <x:row r="36" ht="27" customHeight="1">
      <x:c r="A36" s="2"/>
      <x:c r="B36" s="2"/>
      <x:c r="C36" s="2"/>
      <x:c r="D36" s="2"/>
      <x:c r="E36" s="2"/>
      <x:c r="F36" s="2"/>
    </x:row>
    <x:row r="37" ht="27" customHeight="1">
      <x:c r="A37" s="2"/>
      <x:c r="B37" s="2"/>
      <x:c r="C37" s="2"/>
      <x:c r="D37" s="2"/>
      <x:c r="E37" s="2"/>
      <x:c r="F37" s="2"/>
    </x:row>
    <x:row r="38" ht="27" customHeight="1">
      <x:c r="A38" s="2"/>
      <x:c r="B38" s="2" t="str">
        <x:v>Sources: US cosmetics CPI, CUUR0000SEGB02 (not seasonally adjusted).</x:v>
      </x:c>
      <x:c r="C38" s="2"/>
      <x:c r="D38" s="2"/>
      <x:c r="E38" s="2"/>
      <x:c r="F38" s="2"/>
    </x:row>
    <x:row r="39" ht="27" customHeight="1">
      <x:c r="A39" s="2"/>
      <x:c r="B39" s="2" t="str">
        <x:v>https://alfred.stlouisfed.org/series?seid=CUUR0000SEGB02</x:v>
      </x:c>
      <x:c r="C39" s="2"/>
      <x:c r="D39" s="2"/>
      <x:c r="E39" s="2"/>
      <x:c r="F39" s="2"/>
    </x:row>
    <x:row r="40" ht="27" customHeight="1">
      <x:c r="A40" s="2"/>
      <x:c r="B40" s="2" t="str">
        <x:v>Forecast vintage: 1 July 2025. June value verified in preserved 28 July 2025 version.</x:v>
      </x:c>
      <x:c r="C40" s="2"/>
      <x:c r="D40" s="2"/>
      <x:c r="E40" s="2"/>
      <x:c r="F40" s="2"/>
    </x:row>
    <x:row r="41" ht="27" customHeight="1">
      <x:c r="A41" s="2"/>
      <x:c r="B41" s="2" t="str">
        <x:v>This is the earliest version preserved here, not necessarily the first official release.</x:v>
      </x:c>
      <x:c r="C41" s="2"/>
      <x:c r="D41" s="2"/>
      <x:c r="E41" s="2"/>
      <x:c r="F41" s="2"/>
    </x:row>
    <x:row r="42" ht="27" customHeight="1">
      <x:c r="A42" s="2"/>
      <x:c r="B42" s="2"/>
      <x:c r="C42" s="2"/>
      <x:c r="D42" s="2"/>
      <x:c r="E42" s="2"/>
      <x:c r="F42" s="2"/>
    </x:row>
    <x:row r="43" ht="27" customHeight="1">
      <x:c r="A43" s="2"/>
      <x:c r="B43" s="2" t="str">
        <x:v>P&amp;G quarter ended 30 June 2025, released 29 July 2025: Beauty pricing +1%.</x:v>
      </x:c>
      <x:c r="C43" s="2"/>
      <x:c r="D43" s="2"/>
      <x:c r="E43" s="2"/>
      <x:c r="F43" s="2"/>
    </x:row>
    <x:row r="44" ht="27" customHeight="1">
      <x:c r="A44" s="2"/>
      <x:c r="B44" s="2" t="str">
        <x:v>https://www.pginvestor.com/news/news-details/2025/PG-Announces-Fourth-Quarter-and-Fiscal-Year-2025-Results/default.aspx</x:v>
      </x:c>
      <x:c r="C44" s="2"/>
      <x:c r="D44" s="2"/>
      <x:c r="E44" s="2"/>
      <x:c r="F44" s="2"/>
    </x:row>
    <x:row r="45" ht="27" customHeight="1">
      <x:c r="A45" s="2"/>
      <x:c r="B45" s="2"/>
      <x:c r="C45" s="2"/>
      <x:c r="D45" s="2"/>
      <x:c r="E45" s="2"/>
      <x:c r="F45" s="2"/>
    </x:row>
    <x:row r="46" ht="27" customHeight="1">
      <x:c r="A46" s="2"/>
      <x:c r="B46" s="2" t="str">
        <x:v>Prepared coefficients use training_pairs.csv, matching the target, stage and series.</x:v>
      </x:c>
      <x:c r="C46" s="2"/>
      <x:c r="D46" s="2"/>
      <x:c r="E46" s="2"/>
      <x:c r="F46" s="2"/>
    </x:row>
    <x:row r="47" ht="27" customHeight="1">
      <x:c r="A47" s="2"/>
      <x:c r="B47" s="2" t="str">
        <x:v>Input changes recalculate this example. Refit the model by rerunning the analysis.</x:v>
      </x:c>
      <x:c r="C47" s="2"/>
      <x:c r="D47" s="2"/>
      <x:c r="E47" s="2"/>
      <x:c r="F47" s="2"/>
    </x:row>
    <x:row r="48" ht="27" customHeight="1">
      <x:c r="A48" s="2"/>
      <x:c r="B48" s="2"/>
      <x:c r="C48" s="2"/>
      <x:c r="D48" s="2"/>
      <x:c r="E48" s="2"/>
      <x:c r="F48" s="2"/>
    </x:row>
    <x:row r="49" ht="27" customHeight="1">
      <x:c r="A49" s="2"/>
      <x:c r="B49" s="2"/>
      <x:c r="C49" s="2"/>
      <x:c r="D49" s="2"/>
      <x:c r="E49" s="2"/>
      <x:c r="F49" s="2"/>
    </x:row>
    <x:row r="50" ht="27" customHeight="1">
      <x:c r="A50" s="2"/>
      <x:c r="B50" s="2"/>
      <x:c r="C50" s="2"/>
      <x:c r="D50" s="2"/>
      <x:c r="E50" s="2"/>
      <x:c r="F50" s="2"/>
    </x:row>
    <x:row r="51" ht="27" customHeight="1">
      <x:c r="A51" s="2"/>
      <x:c r="B51" s="2"/>
      <x:c r="C51" s="2"/>
      <x:c r="D51" s="2"/>
      <x:c r="E51" s="2"/>
      <x:c r="F51" s="2"/>
    </x:row>
    <x:row r="52" ht="27" customHeight="1">
      <x:c r="A52" s="2"/>
      <x:c r="B52" s="2"/>
      <x:c r="C52" s="2"/>
      <x:c r="D52" s="2"/>
      <x:c r="E52" s="2"/>
      <x:c r="F52" s="2"/>
    </x:row>
    <x:row r="53" ht="27" customHeight="1">
      <x:c r="A53" s="2"/>
      <x:c r="B53" s="2"/>
      <x:c r="C53" s="2"/>
      <x:c r="D53" s="2"/>
      <x:c r="E53" s="2"/>
      <x:c r="F53" s="2"/>
    </x:row>
    <x:row r="54" ht="27" customHeight="1">
      <x:c r="A54" s="2"/>
      <x:c r="B54" s="2"/>
      <x:c r="C54" s="2"/>
      <x:c r="D54" s="2"/>
      <x:c r="E54" s="2"/>
      <x:c r="F54" s="2"/>
    </x:row>
    <x:row r="55" ht="27" customHeight="1">
      <x:c r="A55" s="2"/>
      <x:c r="B55" s="2"/>
      <x:c r="C55" s="2"/>
      <x:c r="D55" s="2"/>
      <x:c r="E55" s="2"/>
      <x:c r="F5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59" hidden="0" customWidth="1"/>
    <x:col min="3" max="3" width="19" hidden="0" customWidth="1"/>
    <x:col min="4" max="4" width="18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2"/>
      <x:c r="B2" s="3" t="str">
        <x:v>1 | Test the company–market relationship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7" customHeight="1">
      <x:c r="A3" s="2"/>
      <x:c r="B3" s="2" t="str">
        <x:v>Conditional screen: Apr 2023–Mar 2024. Market versions fixed at 1 July 2024; not a real-time forecast.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6" customHeight="1">
      <x:c r="A5" s="2"/>
      <x:c r="B5" s="6" t="str">
        <x:v>P&amp;G measure / market series</x:v>
      </x:c>
      <x:c r="C5" s="6" t="str">
        <x:v>Window</x:v>
      </x:c>
      <x:c r="D5" s="6" t="str">
        <x:v>Quarter</x:v>
      </x:c>
      <x:c r="E5" s="6" t="str">
        <x:v>Market version</x:v>
      </x:c>
      <x:c r="F5" s="6" t="str">
        <x:v>Training n</x:v>
      </x:c>
      <x:c r="G5" s="6" t="str">
        <x:v>Intercept</x:v>
      </x:c>
      <x:c r="H5" s="6" t="str">
        <x:v>Slope</x:v>
      </x:c>
      <x:c r="I5" s="6" t="str">
        <x:v>Market YoY %</x:v>
      </x:c>
      <x:c r="J5" s="6" t="str">
        <x:v>Forecast</x:v>
      </x:c>
      <x:c r="K5" s="6" t="str">
        <x:v>PG actual</x:v>
      </x:c>
      <x:c r="L5" s="6" t="str">
        <x:v>Last actual</x:v>
      </x:c>
      <x:c r="M5" s="6" t="str">
        <x:v>4-quarter mean</x:v>
      </x:c>
      <x:c r="N5" s="6" t="str">
        <x:v>Squared error</x:v>
      </x:c>
    </x:row>
    <x:row r="6" ht="27" customHeight="1">
      <x:c r="A6" s="2"/>
      <x:c r="B6" s="2" t="str">
        <x:v>Beauty | organic_volume_growth | PCENDC96</x:v>
      </x:c>
      <x:c r="C6" s="2" t="str">
        <x:v>Expanding</x:v>
      </x:c>
      <x:c r="D6" s="2" t="str">
        <x:v>2023-06-30</x:v>
      </x:c>
      <x:c r="E6" s="2" t="str">
        <x:v>2024-07-01</x:v>
      </x:c>
      <x:c r="F6" s="2" t="n">
        <x:v>9</x:v>
      </x:c>
      <x:c r="G6" s="7" t="n">
        <x:v>-1.4758635357116892</x:v>
      </x:c>
      <x:c r="H6" s="7" t="n">
        <x:v>0.2542856386549348</x:v>
      </x:c>
      <x:c r="I6" s="7" t="n">
        <x:v>0.06199938000619465</x:v>
      </x:c>
      <x:c r="J6" s="7" t="n">
        <x:f>G6+H6*I6</x:f>
        <x:v>-1.4600979837706038</x:v>
      </x:c>
      <x:c r="K6" s="7" t="n">
        <x:v>-1</x:v>
      </x:c>
      <x:c r="L6" s="7" t="n">
        <x:v>0</x:v>
      </x:c>
      <x:c r="M6" s="7" t="n">
        <x:v>-1.75</x:v>
      </x:c>
      <x:c r="N6" s="7" t="n">
        <x:f>(J6-K6)^2</x:f>
        <x:v>0.21169015466977484</x:v>
      </x:c>
    </x:row>
    <x:row r="7" ht="27" customHeight="1">
      <x:c r="A7" s="2"/>
      <x:c r="B7" s="2" t="str">
        <x:v>Beauty | organic_volume_growth | PCENDC96</x:v>
      </x:c>
      <x:c r="C7" s="2" t="str">
        <x:v>Expanding</x:v>
      </x:c>
      <x:c r="D7" s="2" t="str">
        <x:v>2023-09-30</x:v>
      </x:c>
      <x:c r="E7" s="2" t="str">
        <x:v>2024-07-01</x:v>
      </x:c>
      <x:c r="F7" s="2" t="n">
        <x:v>10</x:v>
      </x:c>
      <x:c r="G7" s="7" t="n">
        <x:v>-1.4012557107009238</x:v>
      </x:c>
      <x:c r="H7" s="7" t="n">
        <x:v>0.24646498130330935</x:v>
      </x:c>
      <x:c r="I7" s="7" t="n">
        <x:v>1.4338645058288524</x:v>
      </x:c>
      <x:c r="J7" s="7" t="n">
        <x:f>G7+H7*I7</x:f>
        <x:v>-1.0478583220803368</x:v>
      </x:c>
      <x:c r="K7" s="7" t="n">
        <x:v>0</x:v>
      </x:c>
      <x:c r="L7" s="7" t="n">
        <x:v>-1</x:v>
      </x:c>
      <x:c r="M7" s="7" t="n">
        <x:v>-1.5</x:v>
      </x:c>
      <x:c r="N7" s="7" t="n">
        <x:f>(J7-K7)^2</x:f>
        <x:v>1.0980070631530188</x:v>
      </x:c>
    </x:row>
    <x:row r="8" ht="27" customHeight="1">
      <x:c r="A8" s="2"/>
      <x:c r="B8" s="2" t="str">
        <x:v>Beauty | organic_volume_growth | PCENDC96</x:v>
      </x:c>
      <x:c r="C8" s="2" t="str">
        <x:v>Expanding</x:v>
      </x:c>
      <x:c r="D8" s="2" t="str">
        <x:v>2023-12-31</x:v>
      </x:c>
      <x:c r="E8" s="2" t="str">
        <x:v>2024-07-01</x:v>
      </x:c>
      <x:c r="F8" s="2" t="n">
        <x:v>11</x:v>
      </x:c>
      <x:c r="G8" s="7" t="n">
        <x:v>-1.2721250368403003</x:v>
      </x:c>
      <x:c r="H8" s="7" t="n">
        <x:v>0.23666056696529764</x:v>
      </x:c>
      <x:c r="I8" s="7" t="n">
        <x:v>2.0298663136464334</x:v>
      </x:c>
      <x:c r="J8" s="7" t="n">
        <x:f>G8+H8*I8</x:f>
        <x:v>-0.7917357241889766</x:v>
      </x:c>
      <x:c r="K8" s="7" t="n">
        <x:v>-1</x:v>
      </x:c>
      <x:c r="L8" s="7" t="n">
        <x:v>0</x:v>
      </x:c>
      <x:c r="M8" s="7" t="n">
        <x:v>-1.25</x:v>
      </x:c>
      <x:c r="N8" s="7" t="n">
        <x:f>(J8-K8)^2</x:f>
        <x:v>0.04337400857909001</x:v>
      </x:c>
    </x:row>
    <x:row r="9" ht="27" customHeight="1">
      <x:c r="A9" s="2"/>
      <x:c r="B9" s="2" t="str">
        <x:v>Beauty | organic_volume_growth | PCENDC96</x:v>
      </x:c>
      <x:c r="C9" s="2" t="str">
        <x:v>Expanding</x:v>
      </x:c>
      <x:c r="D9" s="2" t="str">
        <x:v>2024-03-31</x:v>
      </x:c>
      <x:c r="E9" s="2" t="str">
        <x:v>2024-07-01</x:v>
      </x:c>
      <x:c r="F9" s="2" t="n">
        <x:v>12</x:v>
      </x:c>
      <x:c r="G9" s="7" t="n">
        <x:v>-1.2936458597663414</x:v>
      </x:c>
      <x:c r="H9" s="7" t="n">
        <x:v>0.23790923849378104</x:v>
      </x:c>
      <x:c r="I9" s="7" t="n">
        <x:v>1.6317086363363043</x:v>
      </x:c>
      <x:c r="J9" s="7" t="n">
        <x:f>G9+H9*I9</x:f>
        <x:v>-0.9054473006518453</x:v>
      </x:c>
      <x:c r="K9" s="7" t="n">
        <x:v>1</x:v>
      </x:c>
      <x:c r="L9" s="7" t="n">
        <x:v>-1</x:v>
      </x:c>
      <x:c r="M9" s="7" t="n">
        <x:v>-0.5</x:v>
      </x:c>
      <x:c r="N9" s="7" t="n">
        <x:f>(J9-K9)^2</x:f>
        <x:v>3.6307294155614036</x:v>
      </x:c>
    </x:row>
    <x:row r="10" ht="27" customHeight="1">
      <x:c r="A10" s="2"/>
      <x:c r="B10" s="2" t="str">
        <x:v>Beauty | organic_volume_growth | PCENDC96</x:v>
      </x:c>
      <x:c r="C10" s="2" t="str">
        <x:v>Last eight</x:v>
      </x:c>
      <x:c r="D10" s="2" t="str">
        <x:v>2023-06-30</x:v>
      </x:c>
      <x:c r="E10" s="2" t="str">
        <x:v>2024-07-01</x:v>
      </x:c>
      <x:c r="F10" s="2" t="n">
        <x:v>8</x:v>
      </x:c>
      <x:c r="G10" s="7" t="n">
        <x:v>-1.609525162755689</x:v>
      </x:c>
      <x:c r="H10" s="7" t="n">
        <x:v>0.2285770808414032</x:v>
      </x:c>
      <x:c r="I10" s="7" t="n">
        <x:v>0.06199938000619465</x:v>
      </x:c>
      <x:c r="J10" s="7" t="n">
        <x:f>G10+H10*I10</x:f>
        <x:v>-1.5953535254598963</x:v>
      </x:c>
      <x:c r="K10" s="7" t="n">
        <x:v>-1</x:v>
      </x:c>
      <x:c r="L10" s="7" t="n">
        <x:v>0</x:v>
      </x:c>
      <x:c r="M10" s="7" t="n">
        <x:v>-1.75</x:v>
      </x:c>
      <x:c r="N10" s="7" t="n">
        <x:f>(J10-K10)^2</x:f>
        <x:v>0.35444582027752736</x:v>
      </x:c>
    </x:row>
    <x:row r="11" ht="27" customHeight="1">
      <x:c r="A11" s="2"/>
      <x:c r="B11" s="2" t="str">
        <x:v>Beauty | organic_volume_growth | PCENDC96</x:v>
      </x:c>
      <x:c r="C11" s="2" t="str">
        <x:v>Last eight</x:v>
      </x:c>
      <x:c r="D11" s="2" t="str">
        <x:v>2023-09-30</x:v>
      </x:c>
      <x:c r="E11" s="2" t="str">
        <x:v>2024-07-01</x:v>
      </x:c>
      <x:c r="F11" s="2" t="n">
        <x:v>8</x:v>
      </x:c>
      <x:c r="G11" s="7" t="n">
        <x:v>-1.6102063348920492</x:v>
      </x:c>
      <x:c r="H11" s="7" t="n">
        <x:v>0.3006414660277979</x:v>
      </x:c>
      <x:c r="I11" s="7" t="n">
        <x:v>1.4338645058288524</x:v>
      </x:c>
      <x:c r="J11" s="7" t="n">
        <x:f>G11+H11*I11</x:f>
        <x:v>-1.179127207774439</x:v>
      </x:c>
      <x:c r="K11" s="7" t="n">
        <x:v>0</x:v>
      </x:c>
      <x:c r="L11" s="7" t="n">
        <x:v>-1</x:v>
      </x:c>
      <x:c r="M11" s="7" t="n">
        <x:v>-1.5</x:v>
      </x:c>
      <x:c r="N11" s="7" t="n">
        <x:f>(J11-K11)^2</x:f>
        <x:v>1.390340972113945</x:v>
      </x:c>
    </x:row>
    <x:row r="12" ht="27" customHeight="1">
      <x:c r="A12" s="2"/>
      <x:c r="B12" s="2" t="str">
        <x:v>Beauty | organic_volume_growth | PCENDC96</x:v>
      </x:c>
      <x:c r="C12" s="2" t="str">
        <x:v>Last eight</x:v>
      </x:c>
      <x:c r="D12" s="2" t="str">
        <x:v>2023-12-31</x:v>
      </x:c>
      <x:c r="E12" s="2" t="str">
        <x:v>2024-07-01</x:v>
      </x:c>
      <x:c r="F12" s="2" t="n">
        <x:v>8</x:v>
      </x:c>
      <x:c r="G12" s="7" t="n">
        <x:v>-1.4729969578340028</x:v>
      </x:c>
      <x:c r="H12" s="7" t="n">
        <x:v>0.34794977040177316</x:v>
      </x:c>
      <x:c r="I12" s="7" t="n">
        <x:v>2.0298663136464334</x:v>
      </x:c>
      <x:c r="J12" s="7" t="n">
        <x:f>G12+H12*I12</x:f>
        <x:v>-0.7667054400544325</x:v>
      </x:c>
      <x:c r="K12" s="7" t="n">
        <x:v>-1</x:v>
      </x:c>
      <x:c r="L12" s="7" t="n">
        <x:v>0</x:v>
      </x:c>
      <x:c r="M12" s="7" t="n">
        <x:v>-1.25</x:v>
      </x:c>
      <x:c r="N12" s="7" t="n">
        <x:f>(J12-K12)^2</x:f>
        <x:v>0.054426351700195975</x:v>
      </x:c>
    </x:row>
    <x:row r="13" ht="27" customHeight="1">
      <x:c r="A13" s="2"/>
      <x:c r="B13" s="2" t="str">
        <x:v>Beauty | organic_volume_growth | PCENDC96</x:v>
      </x:c>
      <x:c r="C13" s="2" t="str">
        <x:v>Last eight</x:v>
      </x:c>
      <x:c r="D13" s="2" t="str">
        <x:v>2024-03-31</x:v>
      </x:c>
      <x:c r="E13" s="2" t="str">
        <x:v>2024-07-01</x:v>
      </x:c>
      <x:c r="F13" s="2" t="n">
        <x:v>8</x:v>
      </x:c>
      <x:c r="G13" s="7" t="n">
        <x:v>-1.483926845095407</x:v>
      </x:c>
      <x:c r="H13" s="7" t="n">
        <x:v>0.31709936140417616</x:v>
      </x:c>
      <x:c r="I13" s="7" t="n">
        <x:v>1.6317086363363043</x:v>
      </x:c>
      <x:c r="J13" s="7" t="n">
        <x:f>G13+H13*I13</x:f>
        <x:v>-0.9665130785154858</x:v>
      </x:c>
      <x:c r="K13" s="7" t="n">
        <x:v>1</x:v>
      </x:c>
      <x:c r="L13" s="7" t="n">
        <x:v>-1</x:v>
      </x:c>
      <x:c r="M13" s="7" t="n">
        <x:v>-0.5</x:v>
      </x:c>
      <x:c r="N13" s="7" t="n">
        <x:f>(J13-K13)^2</x:f>
        <x:v>3.8671736879724534</x:v>
      </x:c>
    </x:row>
    <x:row r="14" ht="27" customHeight="1">
      <x:c r="A14" s="2"/>
      <x:c r="B14" s="2" t="str">
        <x:v>Grooming | organic_volume_growth | PCENDC96</x:v>
      </x:c>
      <x:c r="C14" s="2" t="str">
        <x:v>Expanding</x:v>
      </x:c>
      <x:c r="D14" s="2" t="str">
        <x:v>2023-06-30</x:v>
      </x:c>
      <x:c r="E14" s="2" t="str">
        <x:v>2024-07-01</x:v>
      </x:c>
      <x:c r="F14" s="2" t="n">
        <x:v>9</x:v>
      </x:c>
      <x:c r="G14" s="7" t="n">
        <x:v>-2.2341356401116816</x:v>
      </x:c>
      <x:c r="H14" s="7" t="n">
        <x:v>0.4686230191279915</x:v>
      </x:c>
      <x:c r="I14" s="7" t="n">
        <x:v>0.06199938000619465</x:v>
      </x:c>
      <x:c r="J14" s="7" t="n">
        <x:f>G14+H14*I14</x:f>
        <x:v>-2.205081303469115</x:v>
      </x:c>
      <x:c r="K14" s="7" t="n">
        <x:v>-1</x:v>
      </x:c>
      <x:c r="L14" s="7" t="n">
        <x:v>-1</x:v>
      </x:c>
      <x:c r="M14" s="7" t="n">
        <x:v>-2.5</x:v>
      </x:c>
      <x:c r="N14" s="7" t="n">
        <x:f>(J14-K14)^2</x:f>
        <x:v>1.4522209479708212</x:v>
      </x:c>
    </x:row>
    <x:row r="15" ht="27" customHeight="1">
      <x:c r="A15" s="2"/>
      <x:c r="B15" s="2" t="str">
        <x:v>Grooming | organic_volume_growth | PCENDC96</x:v>
      </x:c>
      <x:c r="C15" s="2" t="str">
        <x:v>Expanding</x:v>
      </x:c>
      <x:c r="D15" s="2" t="str">
        <x:v>2023-09-30</x:v>
      </x:c>
      <x:c r="E15" s="2" t="str">
        <x:v>2024-07-01</x:v>
      </x:c>
      <x:c r="F15" s="2" t="n">
        <x:v>10</x:v>
      </x:c>
      <x:c r="G15" s="7" t="n">
        <x:v>-2.0387240143615557</x:v>
      </x:c>
      <x:c r="H15" s="7" t="n">
        <x:v>0.44813927808212534</x:v>
      </x:c>
      <x:c r="I15" s="7" t="n">
        <x:v>1.4338645058288524</x:v>
      </x:c>
      <x:c r="J15" s="7" t="n">
        <x:f>G15+H15*I15</x:f>
        <x:v>-1.3961530098518304</x:v>
      </x:c>
      <x:c r="K15" s="7" t="n">
        <x:v>-2</x:v>
      </x:c>
      <x:c r="L15" s="7" t="n">
        <x:v>-1</x:v>
      </x:c>
      <x:c r="M15" s="7" t="n">
        <x:v>-2.25</x:v>
      </x:c>
      <x:c r="N15" s="7" t="n">
        <x:f>(J15-K15)^2</x:f>
        <x:v>0.3646311875110036</x:v>
      </x:c>
    </x:row>
    <x:row r="16" ht="27" customHeight="1">
      <x:c r="A16" s="2"/>
      <x:c r="B16" s="2" t="str">
        <x:v>Grooming | organic_volume_growth | PCENDC96</x:v>
      </x:c>
      <x:c r="C16" s="2" t="str">
        <x:v>Expanding</x:v>
      </x:c>
      <x:c r="D16" s="2" t="str">
        <x:v>2023-12-31</x:v>
      </x:c>
      <x:c r="E16" s="2" t="str">
        <x:v>2024-07-01</x:v>
      </x:c>
      <x:c r="F16" s="2" t="n">
        <x:v>11</x:v>
      </x:c>
      <x:c r="G16" s="7" t="n">
        <x:v>-2.1131378612561784</x:v>
      </x:c>
      <x:c r="H16" s="7" t="n">
        <x:v>0.4537892461774497</x:v>
      </x:c>
      <x:c r="I16" s="7" t="n">
        <x:v>2.0298663136464334</x:v>
      </x:c>
      <x:c r="J16" s="7" t="n">
        <x:f>G16+H16*I16</x:f>
        <x:v>-1.1920063569455648</x:v>
      </x:c>
      <x:c r="K16" s="7" t="n">
        <x:v>1</x:v>
      </x:c>
      <x:c r="L16" s="7" t="n">
        <x:v>-2</x:v>
      </x:c>
      <x:c r="M16" s="7" t="n">
        <x:v>-3</x:v>
      </x:c>
      <x:c r="N16" s="7" t="n">
        <x:f>(J16-K16)^2</x:f>
        <x:v>4.804891868889767</x:v>
      </x:c>
    </x:row>
    <x:row r="17" ht="27" customHeight="1">
      <x:c r="A17" s="2"/>
      <x:c r="B17" s="2" t="str">
        <x:v>Grooming | organic_volume_growth | PCENDC96</x:v>
      </x:c>
      <x:c r="C17" s="2" t="str">
        <x:v>Expanding</x:v>
      </x:c>
      <x:c r="D17" s="2" t="str">
        <x:v>2024-03-31</x:v>
      </x:c>
      <x:c r="E17" s="2" t="str">
        <x:v>2024-07-01</x:v>
      </x:c>
      <x:c r="F17" s="2" t="n">
        <x:v>12</x:v>
      </x:c>
      <x:c r="G17" s="7" t="n">
        <x:v>-1.886628631687749</x:v>
      </x:c>
      <x:c r="H17" s="7" t="n">
        <x:v>0.4406468293250451</x:v>
      </x:c>
      <x:c r="I17" s="7" t="n">
        <x:v>1.6317086363363043</x:v>
      </x:c>
      <x:c r="J17" s="7" t="n">
        <x:f>G17+H17*I17</x:f>
        <x:v>-1.1676213947038634</x:v>
      </x:c>
      <x:c r="K17" s="7" t="n">
        <x:v>2</x:v>
      </x:c>
      <x:c r="L17" s="7" t="n">
        <x:v>1</x:v>
      </x:c>
      <x:c r="M17" s="7" t="n">
        <x:v>-0.75</x:v>
      </x:c>
      <x:c r="N17" s="7" t="n">
        <x:f>(J17-K17)^2</x:f>
        <x:v>10.033825300185649</x:v>
      </x:c>
    </x:row>
    <x:row r="18" ht="27" customHeight="1">
      <x:c r="A18" s="2"/>
      <x:c r="B18" s="2" t="str">
        <x:v>Grooming | organic_volume_growth | PCENDC96</x:v>
      </x:c>
      <x:c r="C18" s="2" t="str">
        <x:v>Last eight</x:v>
      </x:c>
      <x:c r="D18" s="2" t="str">
        <x:v>2023-06-30</x:v>
      </x:c>
      <x:c r="E18" s="2" t="str">
        <x:v>2024-07-01</x:v>
      </x:c>
      <x:c r="F18" s="2" t="n">
        <x:v>8</x:v>
      </x:c>
      <x:c r="G18" s="7" t="n">
        <x:v>-2.1778711169930265</x:v>
      </x:c>
      <x:c r="H18" s="7" t="n">
        <x:v>0.4794449713773878</x:v>
      </x:c>
      <x:c r="I18" s="7" t="n">
        <x:v>0.06199938000619465</x:v>
      </x:c>
      <x:c r="J18" s="7" t="n">
        <x:f>G18+H18*I18</x:f>
        <x:v>-2.148145826020541</x:v>
      </x:c>
      <x:c r="K18" s="7" t="n">
        <x:v>-1</x:v>
      </x:c>
      <x:c r="L18" s="7" t="n">
        <x:v>-1</x:v>
      </x:c>
      <x:c r="M18" s="7" t="n">
        <x:v>-2.5</x:v>
      </x:c>
      <x:c r="N18" s="7" t="n">
        <x:f>(J18-K18)^2</x:f>
        <x:v>1.31823883780839</x:v>
      </x:c>
    </x:row>
    <x:row r="19" ht="27" customHeight="1">
      <x:c r="A19" s="2"/>
      <x:c r="B19" s="2" t="str">
        <x:v>Grooming | organic_volume_growth | PCENDC96</x:v>
      </x:c>
      <x:c r="C19" s="2" t="str">
        <x:v>Last eight</x:v>
      </x:c>
      <x:c r="D19" s="2" t="str">
        <x:v>2023-09-30</x:v>
      </x:c>
      <x:c r="E19" s="2" t="str">
        <x:v>2024-07-01</x:v>
      </x:c>
      <x:c r="F19" s="2" t="n">
        <x:v>8</x:v>
      </x:c>
      <x:c r="G19" s="7" t="n">
        <x:v>-2.066234012011238</x:v>
      </x:c>
      <x:c r="H19" s="7" t="n">
        <x:v>0.5253209253497313</x:v>
      </x:c>
      <x:c r="I19" s="7" t="n">
        <x:v>1.4338645058288524</x:v>
      </x:c>
      <x:c r="J19" s="7" t="n">
        <x:f>G19+H19*I19</x:f>
        <x:v>-1.31299498298309</x:v>
      </x:c>
      <x:c r="K19" s="7" t="n">
        <x:v>-2</x:v>
      </x:c>
      <x:c r="L19" s="7" t="n">
        <x:v>-1</x:v>
      </x:c>
      <x:c r="M19" s="7" t="n">
        <x:v>-2.25</x:v>
      </x:c>
      <x:c r="N19" s="7" t="n">
        <x:f>(J19-K19)^2</x:f>
        <x:v>0.4719758934064048</x:v>
      </x:c>
    </x:row>
    <x:row r="20" ht="27" customHeight="1">
      <x:c r="A20" s="2"/>
      <x:c r="B20" s="2" t="str">
        <x:v>Grooming | organic_volume_growth | PCENDC96</x:v>
      </x:c>
      <x:c r="C20" s="2" t="str">
        <x:v>Last eight</x:v>
      </x:c>
      <x:c r="D20" s="2" t="str">
        <x:v>2023-12-31</x:v>
      </x:c>
      <x:c r="E20" s="2" t="str">
        <x:v>2024-07-01</x:v>
      </x:c>
      <x:c r="F20" s="2" t="n">
        <x:v>8</x:v>
      </x:c>
      <x:c r="G20" s="7" t="n">
        <x:v>-2.1599202890979186</x:v>
      </x:c>
      <x:c r="H20" s="7" t="n">
        <x:v>0.577409283192816</x:v>
      </x:c>
      <x:c r="I20" s="7" t="n">
        <x:v>2.0298663136464334</x:v>
      </x:c>
      <x:c r="J20" s="7" t="n">
        <x:f>G20+H20*I20</x:f>
        <x:v>-0.9878566359580876</x:v>
      </x:c>
      <x:c r="K20" s="7" t="n">
        <x:v>1</x:v>
      </x:c>
      <x:c r="L20" s="7" t="n">
        <x:v>-2</x:v>
      </x:c>
      <x:c r="M20" s="7" t="n">
        <x:v>-3</x:v>
      </x:c>
      <x:c r="N20" s="7" t="n">
        <x:f>(J20-K20)^2</x:f>
        <x:v>3.951574005122605</x:v>
      </x:c>
    </x:row>
    <x:row r="21" ht="27" customHeight="1">
      <x:c r="A21" s="2"/>
      <x:c r="B21" s="2" t="str">
        <x:v>Grooming | organic_volume_growth | PCENDC96</x:v>
      </x:c>
      <x:c r="C21" s="2" t="str">
        <x:v>Last eight</x:v>
      </x:c>
      <x:c r="D21" s="2" t="str">
        <x:v>2024-03-31</x:v>
      </x:c>
      <x:c r="E21" s="2" t="str">
        <x:v>2024-07-01</x:v>
      </x:c>
      <x:c r="F21" s="2" t="n">
        <x:v>8</x:v>
      </x:c>
      <x:c r="G21" s="7" t="n">
        <x:v>-2.1501372447950273</x:v>
      </x:c>
      <x:c r="H21" s="7" t="n">
        <x:v>1.0507367173906357</x:v>
      </x:c>
      <x:c r="I21" s="7" t="n">
        <x:v>1.6317086363363043</x:v>
      </x:c>
      <x:c r="J21" s="7" t="n">
        <x:f>G21+H21*I21</x:f>
        <x:v>-0.4356410685130685</x:v>
      </x:c>
      <x:c r="K21" s="7" t="n">
        <x:v>2</x:v>
      </x:c>
      <x:c r="L21" s="7" t="n">
        <x:v>1</x:v>
      </x:c>
      <x:c r="M21" s="7" t="n">
        <x:v>-0.75</x:v>
      </x:c>
      <x:c r="N21" s="7" t="n">
        <x:f>(J21-K21)^2</x:f>
        <x:v>5.932347414627482</x:v>
      </x:c>
    </x:row>
    <x:row r="22" ht="27" customHeight="1">
      <x:c r="A22" s="2"/>
      <x:c r="B22" s="2" t="str">
        <x:v>Health Care | organic_volume_growth | PCENDC96</x:v>
      </x:c>
      <x:c r="C22" s="2" t="str">
        <x:v>Expanding</x:v>
      </x:c>
      <x:c r="D22" s="2" t="str">
        <x:v>2023-06-30</x:v>
      </x:c>
      <x:c r="E22" s="2" t="str">
        <x:v>2024-07-01</x:v>
      </x:c>
      <x:c r="F22" s="2" t="n">
        <x:v>9</x:v>
      </x:c>
      <x:c r="G22" s="7" t="n">
        <x:v>-0.3099983804247928</x:v>
      </x:c>
      <x:c r="H22" s="7" t="n">
        <x:v>0.7886523520358291</x:v>
      </x:c>
      <x:c r="I22" s="7" t="n">
        <x:v>0.06199938000619465</x:v>
      </x:c>
      <x:c r="J22" s="7" t="n">
        <x:f>G22+H22*I22</x:f>
        <x:v>-0.2611024235581442</x:v>
      </x:c>
      <x:c r="K22" s="7" t="n">
        <x:v>-3</x:v>
      </x:c>
      <x:c r="L22" s="7" t="n">
        <x:v>1</x:v>
      </x:c>
      <x:c r="M22" s="7" t="n">
        <x:v>-0.5</x:v>
      </x:c>
      <x:c r="N22" s="7" t="n">
        <x:f>(J22-K22)^2</x:f>
        <x:v>7.501559934239071</x:v>
      </x:c>
    </x:row>
    <x:row r="23" ht="27" customHeight="1">
      <x:c r="A23" s="2"/>
      <x:c r="B23" s="2" t="str">
        <x:v>Health Care | organic_volume_growth | PCENDC96</x:v>
      </x:c>
      <x:c r="C23" s="2" t="str">
        <x:v>Expanding</x:v>
      </x:c>
      <x:c r="D23" s="2" t="str">
        <x:v>2023-09-30</x:v>
      </x:c>
      <x:c r="E23" s="2" t="str">
        <x:v>2024-07-01</x:v>
      </x:c>
      <x:c r="F23" s="2" t="n">
        <x:v>10</x:v>
      </x:c>
      <x:c r="G23" s="7" t="n">
        <x:v>-0.754128105643205</x:v>
      </x:c>
      <x:c r="H23" s="7" t="n">
        <x:v>0.8352076081380356</x:v>
      </x:c>
      <x:c r="I23" s="7" t="n">
        <x:v>1.4338645058288524</x:v>
      </x:c>
      <x:c r="J23" s="7" t="n">
        <x:f>G23+H23*I23</x:f>
        <x:v>0.44344643866413724</x:v>
      </x:c>
      <x:c r="K23" s="7" t="n">
        <x:v>2</x:v>
      </x:c>
      <x:c r="L23" s="7" t="n">
        <x:v>-3</x:v>
      </x:c>
      <x:c r="M23" s="7" t="n">
        <x:v>-1.25</x:v>
      </x:c>
      <x:c r="N23" s="7" t="n">
        <x:f>(J23-K23)^2</x:f>
        <x:v>2.4228589893073575</x:v>
      </x:c>
    </x:row>
    <x:row r="24" ht="27" customHeight="1">
      <x:c r="A24" s="2"/>
      <x:c r="B24" s="2" t="str">
        <x:v>Health Care | organic_volume_growth | PCENDC96</x:v>
      </x:c>
      <x:c r="C24" s="2" t="str">
        <x:v>Expanding</x:v>
      </x:c>
      <x:c r="D24" s="2" t="str">
        <x:v>2023-12-31</x:v>
      </x:c>
      <x:c r="E24" s="2" t="str">
        <x:v>2024-07-01</x:v>
      </x:c>
      <x:c r="F24" s="2" t="n">
        <x:v>11</x:v>
      </x:c>
      <x:c r="G24" s="7" t="n">
        <x:v>-0.5623094159978272</x:v>
      </x:c>
      <x:c r="H24" s="7" t="n">
        <x:v>0.8206435246803154</x:v>
      </x:c>
      <x:c r="I24" s="7" t="n">
        <x:v>2.0298663136464334</x:v>
      </x:c>
      <x:c r="J24" s="7" t="n">
        <x:f>G24+H24*I24</x:f>
        <x:v>1.1034872302628205</x:v>
      </x:c>
      <x:c r="K24" s="7" t="n">
        <x:v>-4</x:v>
      </x:c>
      <x:c r="L24" s="7" t="n">
        <x:v>2</x:v>
      </x:c>
      <x:c r="M24" s="7" t="n">
        <x:v>-0.25</x:v>
      </x:c>
      <x:c r="N24" s="7" t="n">
        <x:f>(J24-K24)^2</x:f>
        <x:v>26.045581909455677</x:v>
      </x:c>
    </x:row>
    <x:row r="25" ht="27" customHeight="1">
      <x:c r="A25" s="2"/>
      <x:c r="B25" s="2" t="str">
        <x:v>Health Care | organic_volume_growth | PCENDC96</x:v>
      </x:c>
      <x:c r="C25" s="2" t="str">
        <x:v>Expanding</x:v>
      </x:c>
      <x:c r="D25" s="2" t="str">
        <x:v>2024-03-31</x:v>
      </x:c>
      <x:c r="E25" s="2" t="str">
        <x:v>2024-07-01</x:v>
      </x:c>
      <x:c r="F25" s="2" t="n">
        <x:v>12</x:v>
      </x:c>
      <x:c r="G25" s="7" t="n">
        <x:v>-1.0896742007651268</x:v>
      </x:c>
      <x:c r="H25" s="7" t="n">
        <x:v>0.8512420475215075</x:v>
      </x:c>
      <x:c r="I25" s="7" t="n">
        <x:v>1.6317086363363043</x:v>
      </x:c>
      <x:c r="J25" s="7" t="n">
        <x:f>G25+H25*I25</x:f>
        <x:v>0.2993047997883156</x:v>
      </x:c>
      <x:c r="K25" s="7" t="n">
        <x:v>-4</x:v>
      </x:c>
      <x:c r="L25" s="7" t="n">
        <x:v>-4</x:v>
      </x:c>
      <x:c r="M25" s="7" t="n">
        <x:v>-1</x:v>
      </x:c>
      <x:c r="N25" s="7" t="n">
        <x:f>(J25-K25)^2</x:f>
        <x:v>18.48402176148285</x:v>
      </x:c>
    </x:row>
    <x:row r="26" ht="27" customHeight="1">
      <x:c r="A26" s="2"/>
      <x:c r="B26" s="2" t="str">
        <x:v>Health Care | organic_volume_growth | PCENDC96</x:v>
      </x:c>
      <x:c r="C26" s="2" t="str">
        <x:v>Last eight</x:v>
      </x:c>
      <x:c r="D26" s="2" t="str">
        <x:v>2023-06-30</x:v>
      </x:c>
      <x:c r="E26" s="2" t="str">
        <x:v>2024-07-01</x:v>
      </x:c>
      <x:c r="F26" s="2" t="n">
        <x:v>8</x:v>
      </x:c>
      <x:c r="G26" s="7" t="n">
        <x:v>0.034931692608152876</x:v>
      </x:c>
      <x:c r="H26" s="7" t="n">
        <x:v>0.8549964099401529</x:v>
      </x:c>
      <x:c r="I26" s="7" t="n">
        <x:v>0.06199938000619465</x:v>
      </x:c>
      <x:c r="J26" s="7" t="n">
        <x:f>G26+H26*I26</x:f>
        <x:v>0.0879409399319646</x:v>
      </x:c>
      <x:c r="K26" s="7" t="n">
        <x:v>-3</x:v>
      </x:c>
      <x:c r="L26" s="7" t="n">
        <x:v>1</x:v>
      </x:c>
      <x:c r="M26" s="7" t="n">
        <x:v>-0.5</x:v>
      </x:c>
      <x:c r="N26" s="7" t="n">
        <x:f>(J26-K26)^2</x:f>
        <x:v>9.535379248507903</x:v>
      </x:c>
    </x:row>
    <x:row r="27" ht="27" customHeight="1">
      <x:c r="A27" s="2"/>
      <x:c r="B27" s="2" t="str">
        <x:v>Health Care | organic_volume_growth | PCENDC96</x:v>
      </x:c>
      <x:c r="C27" s="2" t="str">
        <x:v>Last eight</x:v>
      </x:c>
      <x:c r="D27" s="2" t="str">
        <x:v>2023-09-30</x:v>
      </x:c>
      <x:c r="E27" s="2" t="str">
        <x:v>2024-07-01</x:v>
      </x:c>
      <x:c r="F27" s="2" t="n">
        <x:v>8</x:v>
      </x:c>
      <x:c r="G27" s="7" t="n">
        <x:v>-0.3104518783337038</x:v>
      </x:c>
      <x:c r="H27" s="7" t="n">
        <x:v>0.7688162405771647</x:v>
      </x:c>
      <x:c r="I27" s="7" t="n">
        <x:v>1.4338645058288524</x:v>
      </x:c>
      <x:c r="J27" s="7" t="n">
        <x:f>G27+H27*I27</x:f>
        <x:v>0.7919264405346684</x:v>
      </x:c>
      <x:c r="K27" s="7" t="n">
        <x:v>2</x:v>
      </x:c>
      <x:c r="L27" s="7" t="n">
        <x:v>-3</x:v>
      </x:c>
      <x:c r="M27" s="7" t="n">
        <x:v>-1.25</x:v>
      </x:c>
      <x:c r="N27" s="7" t="n">
        <x:f>(J27-K27)^2</x:f>
        <x:v>1.459441725079236</x:v>
      </x:c>
    </x:row>
    <x:row r="28" ht="27" customHeight="1">
      <x:c r="A28" s="2"/>
      <x:c r="B28" s="2" t="str">
        <x:v>Health Care | organic_volume_growth | PCENDC96</x:v>
      </x:c>
      <x:c r="C28" s="2" t="str">
        <x:v>Last eight</x:v>
      </x:c>
      <x:c r="D28" s="2" t="str">
        <x:v>2023-12-31</x:v>
      </x:c>
      <x:c r="E28" s="2" t="str">
        <x:v>2024-07-01</x:v>
      </x:c>
      <x:c r="F28" s="2" t="n">
        <x:v>8</x:v>
      </x:c>
      <x:c r="G28" s="7" t="n">
        <x:v>-0.1966038321581689</x:v>
      </x:c>
      <x:c r="H28" s="7" t="n">
        <x:v>0.9722086841051575</x:v>
      </x:c>
      <x:c r="I28" s="7" t="n">
        <x:v>2.0298663136464334</x:v>
      </x:c>
      <x:c r="J28" s="7" t="n">
        <x:f>G28+H28*I28</x:f>
        <x:v>1.7768498255414171</x:v>
      </x:c>
      <x:c r="K28" s="7" t="n">
        <x:v>-4</x:v>
      </x:c>
      <x:c r="L28" s="7" t="n">
        <x:v>2</x:v>
      </x:c>
      <x:c r="M28" s="7" t="n">
        <x:v>-0.25</x:v>
      </x:c>
      <x:c r="N28" s="7" t="n">
        <x:f>(J28-K28)^2</x:f>
        <x:v>33.3719939068579</x:v>
      </x:c>
    </x:row>
    <x:row r="29" ht="27" customHeight="1">
      <x:c r="A29" s="2"/>
      <x:c r="B29" s="2" t="str">
        <x:v>Health Care | organic_volume_growth | PCENDC96</x:v>
      </x:c>
      <x:c r="C29" s="2" t="str">
        <x:v>Last eight</x:v>
      </x:c>
      <x:c r="D29" s="2" t="str">
        <x:v>2024-03-31</x:v>
      </x:c>
      <x:c r="E29" s="2" t="str">
        <x:v>2024-07-01</x:v>
      </x:c>
      <x:c r="F29" s="2" t="n">
        <x:v>8</x:v>
      </x:c>
      <x:c r="G29" s="7" t="n">
        <x:v>-0.9756244779659595</x:v>
      </x:c>
      <x:c r="H29" s="7" t="n">
        <x:v>1.4919506949553734</x:v>
      </x:c>
      <x:c r="I29" s="7" t="n">
        <x:v>1.6317086363363043</x:v>
      </x:c>
      <x:c r="J29" s="7" t="n">
        <x:f>G29+H29*I29</x:f>
        <x:v>1.458804355980674</x:v>
      </x:c>
      <x:c r="K29" s="7" t="n">
        <x:v>-4</x:v>
      </x:c>
      <x:c r="L29" s="7" t="n">
        <x:v>-4</x:v>
      </x:c>
      <x:c r="M29" s="7" t="n">
        <x:v>-1</x:v>
      </x:c>
      <x:c r="N29" s="7" t="n">
        <x:f>(J29-K29)^2</x:f>
        <x:v>29.79854499687358</x:v>
      </x:c>
    </x:row>
    <x:row r="30" ht="27" customHeight="1">
      <x:c r="A30" s="2"/>
      <x:c r="B30" s="2" t="str">
        <x:v>Fabric &amp; Home Care | organic_volume_growth | PCENDC96</x:v>
      </x:c>
      <x:c r="C30" s="2" t="str">
        <x:v>Expanding</x:v>
      </x:c>
      <x:c r="D30" s="2" t="str">
        <x:v>2023-06-30</x:v>
      </x:c>
      <x:c r="E30" s="2" t="str">
        <x:v>2024-07-01</x:v>
      </x:c>
      <x:c r="F30" s="2" t="n">
        <x:v>9</x:v>
      </x:c>
      <x:c r="G30" s="7" t="n">
        <x:v>-2.3527429472811803</x:v>
      </x:c>
      <x:c r="H30" s="7" t="n">
        <x:v>0.6074375664513489</x:v>
      </x:c>
      <x:c r="I30" s="7" t="n">
        <x:v>0.06199938000619465</x:v>
      </x:c>
      <x:c r="J30" s="7" t="n">
        <x:f>G30+H30*I30</x:f>
        <x:v>-2.315082194768725</x:v>
      </x:c>
      <x:c r="K30" s="7" t="n">
        <x:v>-2</x:v>
      </x:c>
      <x:c r="L30" s="7" t="n">
        <x:v>-5</x:v>
      </x:c>
      <x:c r="M30" s="7" t="n">
        <x:v>-4.25</x:v>
      </x:c>
      <x:c r="N30" s="7" t="n">
        <x:f>(J30-K30)^2</x:f>
        <x:v>0.09927678946027677</x:v>
      </x:c>
    </x:row>
    <x:row r="31" ht="27" customHeight="1">
      <x:c r="A31" s="2"/>
      <x:c r="B31" s="2" t="str">
        <x:v>Fabric &amp; Home Care | organic_volume_growth | PCENDC96</x:v>
      </x:c>
      <x:c r="C31" s="2" t="str">
        <x:v>Expanding</x:v>
      </x:c>
      <x:c r="D31" s="2" t="str">
        <x:v>2023-09-30</x:v>
      </x:c>
      <x:c r="E31" s="2" t="str">
        <x:v>2024-07-01</x:v>
      </x:c>
      <x:c r="F31" s="2" t="n">
        <x:v>10</x:v>
      </x:c>
      <x:c r="G31" s="7" t="n">
        <x:v>-2.30165035813601</x:v>
      </x:c>
      <x:c r="H31" s="7" t="n">
        <x:v>0.6020818596893022</x:v>
      </x:c>
      <x:c r="I31" s="7" t="n">
        <x:v>1.4338645058288524</x:v>
      </x:c>
      <x:c r="J31" s="7" t="n">
        <x:f>G31+H31*I31</x:f>
        <x:v>-1.4383465499240926</x:v>
      </x:c>
      <x:c r="K31" s="7" t="n">
        <x:v>0</x:v>
      </x:c>
      <x:c r="L31" s="7" t="n">
        <x:v>-2</x:v>
      </x:c>
      <x:c r="M31" s="7" t="n">
        <x:v>-4.5</x:v>
      </x:c>
      <x:c r="N31" s="7" t="n">
        <x:f>(J31-K31)^2</x:f>
        <x:v>2.0688407976785403</x:v>
      </x:c>
    </x:row>
    <x:row r="32" ht="27" customHeight="1">
      <x:c r="A32" s="2"/>
      <x:c r="B32" s="2" t="str">
        <x:v>Fabric &amp; Home Care | organic_volume_growth | PCENDC96</x:v>
      </x:c>
      <x:c r="C32" s="2" t="str">
        <x:v>Expanding</x:v>
      </x:c>
      <x:c r="D32" s="2" t="str">
        <x:v>2023-12-31</x:v>
      </x:c>
      <x:c r="E32" s="2" t="str">
        <x:v>2024-07-01</x:v>
      </x:c>
      <x:c r="F32" s="2" t="n">
        <x:v>11</x:v>
      </x:c>
      <x:c r="G32" s="7" t="n">
        <x:v>-2.1243986674035664</x:v>
      </x:c>
      <x:c r="H32" s="7" t="n">
        <x:v>0.5886237945673799</x:v>
      </x:c>
      <x:c r="I32" s="7" t="n">
        <x:v>2.0298663136464334</x:v>
      </x:c>
      <x:c r="J32" s="7" t="n">
        <x:f>G32+H32*I32</x:f>
        <x:v>-0.9295710554005034</x:v>
      </x:c>
      <x:c r="K32" s="7" t="n">
        <x:v>1</x:v>
      </x:c>
      <x:c r="L32" s="7" t="n">
        <x:v>0</x:v>
      </x:c>
      <x:c r="M32" s="7" t="n">
        <x:v>-3.5</x:v>
      </x:c>
      <x:c r="N32" s="7" t="n">
        <x:f>(J32-K32)^2</x:f>
        <x:v>3.723244457839413</x:v>
      </x:c>
    </x:row>
    <x:row r="33" ht="27" customHeight="1">
      <x:c r="A33" s="2"/>
      <x:c r="B33" s="2" t="str">
        <x:v>Fabric &amp; Home Care | organic_volume_growth | PCENDC96</x:v>
      </x:c>
      <x:c r="C33" s="2" t="str">
        <x:v>Expanding</x:v>
      </x:c>
      <x:c r="D33" s="2" t="str">
        <x:v>2024-03-31</x:v>
      </x:c>
      <x:c r="E33" s="2" t="str">
        <x:v>2024-07-01</x:v>
      </x:c>
      <x:c r="F33" s="2" t="n">
        <x:v>12</x:v>
      </x:c>
      <x:c r="G33" s="7" t="n">
        <x:v>-1.9250079805237454</x:v>
      </x:c>
      <x:c r="H33" s="7" t="n">
        <x:v>0.5770548376270613</x:v>
      </x:c>
      <x:c r="I33" s="7" t="n">
        <x:v>1.6317086363363043</x:v>
      </x:c>
      <x:c r="J33" s="7" t="n">
        <x:f>G33+H33*I33</x:f>
        <x:v>-0.9834226183280257</x:v>
      </x:c>
      <x:c r="K33" s="7" t="n">
        <x:v>1</x:v>
      </x:c>
      <x:c r="L33" s="7" t="n">
        <x:v>1</x:v>
      </x:c>
      <x:c r="M33" s="7" t="n">
        <x:v>-1.5</x:v>
      </x:c>
      <x:c r="N33" s="7" t="n">
        <x:f>(J33-K33)^2</x:f>
        <x:v>3.933965282895201</x:v>
      </x:c>
    </x:row>
    <x:row r="34" ht="27" customHeight="1">
      <x:c r="A34" s="2"/>
      <x:c r="B34" s="2" t="str">
        <x:v>Fabric &amp; Home Care | organic_volume_growth | PCENDC96</x:v>
      </x:c>
      <x:c r="C34" s="2" t="str">
        <x:v>Last eight</x:v>
      </x:c>
      <x:c r="D34" s="2" t="str">
        <x:v>2023-06-30</x:v>
      </x:c>
      <x:c r="E34" s="2" t="str">
        <x:v>2024-07-01</x:v>
      </x:c>
      <x:c r="F34" s="2" t="n">
        <x:v>8</x:v>
      </x:c>
      <x:c r="G34" s="7" t="n">
        <x:v>-2.458021364997953</x:v>
      </x:c>
      <x:c r="H34" s="7" t="n">
        <x:v>0.5871882522072704</x:v>
      </x:c>
      <x:c r="I34" s="7" t="n">
        <x:v>0.06199938000619465</x:v>
      </x:c>
      <x:c r="J34" s="7" t="n">
        <x:f>G34+H34*I34</x:f>
        <x:v>-2.421616057414181</x:v>
      </x:c>
      <x:c r="K34" s="7" t="n">
        <x:v>-2</x:v>
      </x:c>
      <x:c r="L34" s="7" t="n">
        <x:v>-5</x:v>
      </x:c>
      <x:c r="M34" s="7" t="n">
        <x:v>-4.25</x:v>
      </x:c>
      <x:c r="N34" s="7" t="n">
        <x:f>(J34-K34)^2</x:f>
        <x:v>0.17776009986947813</x:v>
      </x:c>
    </x:row>
    <x:row r="35" ht="27" customHeight="1">
      <x:c r="A35" s="2"/>
      <x:c r="B35" s="2" t="str">
        <x:v>Fabric &amp; Home Care | organic_volume_growth | PCENDC96</x:v>
      </x:c>
      <x:c r="C35" s="2" t="str">
        <x:v>Last eight</x:v>
      </x:c>
      <x:c r="D35" s="2" t="str">
        <x:v>2023-09-30</x:v>
      </x:c>
      <x:c r="E35" s="2" t="str">
        <x:v>2024-07-01</x:v>
      </x:c>
      <x:c r="F35" s="2" t="n">
        <x:v>8</x:v>
      </x:c>
      <x:c r="G35" s="7" t="n">
        <x:v>-3.258093779591349</x:v>
      </x:c>
      <x:c r="H35" s="7" t="n">
        <x:v>1.2972942574007569</x:v>
      </x:c>
      <x:c r="I35" s="7" t="n">
        <x:v>1.4338645058288524</x:v>
      </x:c>
      <x:c r="J35" s="7" t="n">
        <x:f>G35+H35*I35</x:f>
        <x:v>-1.3979495902888046</x:v>
      </x:c>
      <x:c r="K35" s="7" t="n">
        <x:v>0</x:v>
      </x:c>
      <x:c r="L35" s="7" t="n">
        <x:v>-2</x:v>
      </x:c>
      <x:c r="M35" s="7" t="n">
        <x:v>-4.5</x:v>
      </x:c>
      <x:c r="N35" s="7" t="n">
        <x:f>(J35-K35)^2</x:f>
        <x:v>1.9542630569886368</x:v>
      </x:c>
    </x:row>
    <x:row r="36" ht="27" customHeight="1">
      <x:c r="A36" s="2"/>
      <x:c r="B36" s="2" t="str">
        <x:v>Fabric &amp; Home Care | organic_volume_growth | PCENDC96</x:v>
      </x:c>
      <x:c r="C36" s="2" t="str">
        <x:v>Last eight</x:v>
      </x:c>
      <x:c r="D36" s="2" t="str">
        <x:v>2023-12-31</x:v>
      </x:c>
      <x:c r="E36" s="2" t="str">
        <x:v>2024-07-01</x:v>
      </x:c>
      <x:c r="F36" s="2" t="n">
        <x:v>8</x:v>
      </x:c>
      <x:c r="G36" s="7" t="n">
        <x:v>-3.1507582865421466</x:v>
      </x:c>
      <x:c r="H36" s="7" t="n">
        <x:v>1.6741113450674043</x:v>
      </x:c>
      <x:c r="I36" s="7" t="n">
        <x:v>2.0298663136464334</x:v>
      </x:c>
      <x:c r="J36" s="7" t="n">
        <x:f>G36+H36*I36</x:f>
        <x:v>0.24746393810349776</x:v>
      </x:c>
      <x:c r="K36" s="7" t="n">
        <x:v>1</x:v>
      </x:c>
      <x:c r="L36" s="7" t="n">
        <x:v>0</x:v>
      </x:c>
      <x:c r="M36" s="7" t="n">
        <x:v>-3.5</x:v>
      </x:c>
      <x:c r="N36" s="7" t="n">
        <x:f>(J36-K36)^2</x:f>
        <x:v>0.5663105244546962</x:v>
      </x:c>
    </x:row>
    <x:row r="37" ht="27" customHeight="1">
      <x:c r="A37" s="2"/>
      <x:c r="B37" s="2" t="str">
        <x:v>Fabric &amp; Home Care | organic_volume_growth | PCENDC96</x:v>
      </x:c>
      <x:c r="C37" s="2" t="str">
        <x:v>Last eight</x:v>
      </x:c>
      <x:c r="D37" s="2" t="str">
        <x:v>2024-03-31</x:v>
      </x:c>
      <x:c r="E37" s="2" t="str">
        <x:v>2024-07-01</x:v>
      </x:c>
      <x:c r="F37" s="2" t="n">
        <x:v>8</x:v>
      </x:c>
      <x:c r="G37" s="7" t="n">
        <x:v>-3.3265554736267395</x:v>
      </x:c>
      <x:c r="H37" s="7" t="n">
        <x:v>2.306542260512081</x:v>
      </x:c>
      <x:c r="I37" s="7" t="n">
        <x:v>1.6317086363363043</x:v>
      </x:c>
      <x:c r="J37" s="7" t="n">
        <x:f>G37+H37*I37</x:f>
        <x:v>0.43704945292548514</x:v>
      </x:c>
      <x:c r="K37" s="7" t="n">
        <x:v>1</x:v>
      </x:c>
      <x:c r="L37" s="7" t="n">
        <x:v>1</x:v>
      </x:c>
      <x:c r="M37" s="7" t="n">
        <x:v>-1.5</x:v>
      </x:c>
      <x:c r="N37" s="7" t="n">
        <x:f>(J37-K37)^2</x:f>
        <x:v>0.31691331845149556</x:v>
      </x:c>
    </x:row>
    <x:row r="38" ht="27" customHeight="1">
      <x:c r="A38" s="2"/>
      <x:c r="B38" s="2" t="str">
        <x:v>Baby, Feminine &amp; Family Care | organic_volume_growth | PCENDC96</x:v>
      </x:c>
      <x:c r="C38" s="2" t="str">
        <x:v>Expanding</x:v>
      </x:c>
      <x:c r="D38" s="2" t="str">
        <x:v>2023-06-30</x:v>
      </x:c>
      <x:c r="E38" s="2" t="str">
        <x:v>2024-07-01</x:v>
      </x:c>
      <x:c r="F38" s="2" t="n">
        <x:v>9</x:v>
      </x:c>
      <x:c r="G38" s="7" t="n">
        <x:v>-2.3264686352420307</x:v>
      </x:c>
      <x:c r="H38" s="7" t="n">
        <x:v>0.13527401838470535</x:v>
      </x:c>
      <x:c r="I38" s="7" t="n">
        <x:v>0.06199938000619465</x:v>
      </x:c>
      <x:c r="J38" s="7" t="n">
        <x:f>G38+H38*I38</x:f>
        <x:v>-2.3180817299712326</x:v>
      </x:c>
      <x:c r="K38" s="7" t="n">
        <x:v>0</x:v>
      </x:c>
      <x:c r="L38" s="7" t="n">
        <x:v>-4</x:v>
      </x:c>
      <x:c r="M38" s="7" t="n">
        <x:v>-3.25</x:v>
      </x:c>
      <x:c r="N38" s="7" t="n">
        <x:f>(J38-K38)^2</x:f>
        <x:v>5.373502906826423</x:v>
      </x:c>
    </x:row>
    <x:row r="39" ht="27" customHeight="1">
      <x:c r="A39" s="2"/>
      <x:c r="B39" s="2" t="str">
        <x:v>Baby, Feminine &amp; Family Care | organic_volume_growth | PCENDC96</x:v>
      </x:c>
      <x:c r="C39" s="2" t="str">
        <x:v>Expanding</x:v>
      </x:c>
      <x:c r="D39" s="2" t="str">
        <x:v>2023-09-30</x:v>
      </x:c>
      <x:c r="E39" s="2" t="str">
        <x:v>2024-07-01</x:v>
      </x:c>
      <x:c r="F39" s="2" t="n">
        <x:v>10</x:v>
      </x:c>
      <x:c r="G39" s="7" t="n">
        <x:v>-1.9505768857216195</x:v>
      </x:c>
      <x:c r="H39" s="7" t="n">
        <x:v>0.09587170939261237</x:v>
      </x:c>
      <x:c r="I39" s="7" t="n">
        <x:v>1.4338645058288524</x:v>
      </x:c>
      <x:c r="J39" s="7" t="n">
        <x:f>G39+H39*I39</x:f>
        <x:v>-1.813109844510414</x:v>
      </x:c>
      <x:c r="K39" s="7" t="n">
        <x:v>-3</x:v>
      </x:c>
      <x:c r="L39" s="7" t="n">
        <x:v>0</x:v>
      </x:c>
      <x:c r="M39" s="7" t="n">
        <x:v>-3.25</x:v>
      </x:c>
      <x:c r="N39" s="7" t="n">
        <x:f>(J39-K39)^2</x:f>
        <x:v>1.4087082411980938</x:v>
      </x:c>
    </x:row>
    <x:row r="40" ht="27" customHeight="1">
      <x:c r="A40" s="2"/>
      <x:c r="B40" s="2" t="str">
        <x:v>Baby, Feminine &amp; Family Care | organic_volume_growth | PCENDC96</x:v>
      </x:c>
      <x:c r="C40" s="2" t="str">
        <x:v>Expanding</x:v>
      </x:c>
      <x:c r="D40" s="2" t="str">
        <x:v>2023-12-31</x:v>
      </x:c>
      <x:c r="E40" s="2" t="str">
        <x:v>2024-07-01</x:v>
      </x:c>
      <x:c r="F40" s="2" t="n">
        <x:v>11</x:v>
      </x:c>
      <x:c r="G40" s="7" t="n">
        <x:v>-2.096840862775915</x:v>
      </x:c>
      <x:c r="H40" s="7" t="n">
        <x:v>0.10697699205623092</x:v>
      </x:c>
      <x:c r="I40" s="7" t="n">
        <x:v>2.0298663136464334</x:v>
      </x:c>
      <x:c r="J40" s="7" t="n">
        <x:f>G40+H40*I40</x:f>
        <x:v>-1.8796918702657497</x:v>
      </x:c>
      <x:c r="K40" s="7" t="n">
        <x:v>-2</x:v>
      </x:c>
      <x:c r="L40" s="7" t="n">
        <x:v>-3</x:v>
      </x:c>
      <x:c r="M40" s="7" t="n">
        <x:v>-3.25</x:v>
      </x:c>
      <x:c r="N40" s="7" t="n">
        <x:f>(J40-K40)^2</x:f>
        <x:v>0.014474046080153204</x:v>
      </x:c>
    </x:row>
    <x:row r="41" ht="27" customHeight="1">
      <x:c r="A41" s="2"/>
      <x:c r="B41" s="2" t="str">
        <x:v>Baby, Feminine &amp; Family Care | organic_volume_growth | PCENDC96</x:v>
      </x:c>
      <x:c r="C41" s="2" t="str">
        <x:v>Expanding</x:v>
      </x:c>
      <x:c r="D41" s="2" t="str">
        <x:v>2024-03-31</x:v>
      </x:c>
      <x:c r="E41" s="2" t="str">
        <x:v>2024-07-01</x:v>
      </x:c>
      <x:c r="F41" s="2" t="n">
        <x:v>12</x:v>
      </x:c>
      <x:c r="G41" s="7" t="n">
        <x:v>-2.1092728074600973</x:v>
      </x:c>
      <x:c r="H41" s="7" t="n">
        <x:v>0.10769831277078572</x:v>
      </x:c>
      <x:c r="I41" s="7" t="n">
        <x:v>1.6317086363363043</x:v>
      </x:c>
      <x:c r="J41" s="7" t="n">
        <x:f>G41+H41*I41</x:f>
        <x:v>-1.9335405403931578</x:v>
      </x:c>
      <x:c r="K41" s="7" t="n">
        <x:v>-3</x:v>
      </x:c>
      <x:c r="L41" s="7" t="n">
        <x:v>-2</x:v>
      </x:c>
      <x:c r="M41" s="7" t="n">
        <x:v>-2.25</x:v>
      </x:c>
      <x:c r="N41" s="7" t="n">
        <x:f>(J41-K41)^2</x:f>
        <x:v>1.1373357789849179</x:v>
      </x:c>
    </x:row>
    <x:row r="42" ht="27" customHeight="1">
      <x:c r="A42" s="2"/>
      <x:c r="B42" s="2" t="str">
        <x:v>Baby, Feminine &amp; Family Care | organic_volume_growth | PCENDC96</x:v>
      </x:c>
      <x:c r="C42" s="2" t="str">
        <x:v>Last eight</x:v>
      </x:c>
      <x:c r="D42" s="2" t="str">
        <x:v>2023-06-30</x:v>
      </x:c>
      <x:c r="E42" s="2" t="str">
        <x:v>2024-07-01</x:v>
      </x:c>
      <x:c r="F42" s="2" t="n">
        <x:v>8</x:v>
      </x:c>
      <x:c r="G42" s="7" t="n">
        <x:v>-2.142054796699003</x:v>
      </x:c>
      <x:c r="H42" s="7" t="n">
        <x:v>0.1707442871121546</x:v>
      </x:c>
      <x:c r="I42" s="7" t="n">
        <x:v>0.06199938000619465</x:v>
      </x:c>
      <x:c r="J42" s="7" t="n">
        <x:f>G42+H42*I42</x:f>
        <x:v>-2.13146875675845</x:v>
      </x:c>
      <x:c r="K42" s="7" t="n">
        <x:v>0</x:v>
      </x:c>
      <x:c r="L42" s="7" t="n">
        <x:v>-4</x:v>
      </x:c>
      <x:c r="M42" s="7" t="n">
        <x:v>-3.25</x:v>
      </x:c>
      <x:c r="N42" s="7" t="n">
        <x:f>(J42-K42)^2</x:f>
        <x:v>4.543159061037413</x:v>
      </x:c>
    </x:row>
    <x:row r="43" ht="27" customHeight="1">
      <x:c r="A43" s="2"/>
      <x:c r="B43" s="2" t="str">
        <x:v>Baby, Feminine &amp; Family Care | organic_volume_growth | PCENDC96</x:v>
      </x:c>
      <x:c r="C43" s="2" t="str">
        <x:v>Last eight</x:v>
      </x:c>
      <x:c r="D43" s="2" t="str">
        <x:v>2023-09-30</x:v>
      </x:c>
      <x:c r="E43" s="2" t="str">
        <x:v>2024-07-01</x:v>
      </x:c>
      <x:c r="F43" s="2" t="n">
        <x:v>8</x:v>
      </x:c>
      <x:c r="G43" s="7" t="n">
        <x:v>-2.366299872811857</x:v>
      </x:c>
      <x:c r="H43" s="7" t="n">
        <x:v>0.6115738106984675</x:v>
      </x:c>
      <x:c r="I43" s="7" t="n">
        <x:v>1.4338645058288524</x:v>
      </x:c>
      <x:c r="J43" s="7" t="n">
        <x:f>G43+H43*I43</x:f>
        <x:v>-1.489385892956831</x:v>
      </x:c>
      <x:c r="K43" s="7" t="n">
        <x:v>-3</x:v>
      </x:c>
      <x:c r="L43" s="7" t="n">
        <x:v>0</x:v>
      </x:c>
      <x:c r="M43" s="7" t="n">
        <x:v>-3.25</x:v>
      </x:c>
      <x:c r="N43" s="7" t="n">
        <x:f>(J43-K43)^2</x:f>
        <x:v>2.2819549803978307</x:v>
      </x:c>
    </x:row>
    <x:row r="44" ht="27" customHeight="1">
      <x:c r="A44" s="2"/>
      <x:c r="B44" s="2" t="str">
        <x:v>Baby, Feminine &amp; Family Care | organic_volume_growth | PCENDC96</x:v>
      </x:c>
      <x:c r="C44" s="2" t="str">
        <x:v>Last eight</x:v>
      </x:c>
      <x:c r="D44" s="2" t="str">
        <x:v>2023-12-31</x:v>
      </x:c>
      <x:c r="E44" s="2" t="str">
        <x:v>2024-07-01</x:v>
      </x:c>
      <x:c r="F44" s="2" t="n">
        <x:v>8</x:v>
      </x:c>
      <x:c r="G44" s="7" t="n">
        <x:v>-2.5665213452858087</x:v>
      </x:c>
      <x:c r="H44" s="7" t="n">
        <x:v>0.6926093931359639</x:v>
      </x:c>
      <x:c r="I44" s="7" t="n">
        <x:v>2.0298663136464334</x:v>
      </x:c>
      <x:c r="J44" s="7" t="n">
        <x:f>G44+H44*I44</x:f>
        <x:v>-1.1606168696440162</x:v>
      </x:c>
      <x:c r="K44" s="7" t="n">
        <x:v>-2</x:v>
      </x:c>
      <x:c r="L44" s="7" t="n">
        <x:v>-3</x:v>
      </x:c>
      <x:c r="M44" s="7" t="n">
        <x:v>-3.25</x:v>
      </x:c>
      <x:c r="N44" s="7" t="n">
        <x:f>(J44-K44)^2</x:f>
        <x:v>0.7045640395262105</x:v>
      </x:c>
    </x:row>
    <x:row r="45" ht="27" customHeight="1">
      <x:c r="A45" s="2"/>
      <x:c r="B45" s="2" t="str">
        <x:v>Baby, Feminine &amp; Family Care | organic_volume_growth | PCENDC96</x:v>
      </x:c>
      <x:c r="C45" s="2" t="str">
        <x:v>Last eight</x:v>
      </x:c>
      <x:c r="D45" s="2" t="str">
        <x:v>2024-03-31</x:v>
      </x:c>
      <x:c r="E45" s="2" t="str">
        <x:v>2024-07-01</x:v>
      </x:c>
      <x:c r="F45" s="2" t="n">
        <x:v>8</x:v>
      </x:c>
      <x:c r="G45" s="7" t="n">
        <x:v>-2.8107610575536115</x:v>
      </x:c>
      <x:c r="H45" s="7" t="n">
        <x:v>1.0990265503592365</x:v>
      </x:c>
      <x:c r="I45" s="7" t="n">
        <x:v>1.6317086363363043</x:v>
      </x:c>
      <x:c r="J45" s="7" t="n">
        <x:f>G45+H45*I45</x:f>
        <x:v>-1.0174699437695491</x:v>
      </x:c>
      <x:c r="K45" s="7" t="n">
        <x:v>-3</x:v>
      </x:c>
      <x:c r="L45" s="7" t="n">
        <x:v>-2</x:v>
      </x:c>
      <x:c r="M45" s="7" t="n">
        <x:v>-2.25</x:v>
      </x:c>
      <x:c r="N45" s="7" t="n">
        <x:f>(J45-K45)^2</x:f>
        <x:v>3.930425423857115</x:v>
      </x:c>
    </x:row>
    <x:row r="46" ht="27" customHeight="1">
      <x:c r="A46" s="2"/>
      <x:c r="B46" s="2" t="str">
        <x:v>Beauty | price_contribution | CUUR0000SEGB</x:v>
      </x:c>
      <x:c r="C46" s="2" t="str">
        <x:v>Expanding</x:v>
      </x:c>
      <x:c r="D46" s="2" t="str">
        <x:v>2023-06-30</x:v>
      </x:c>
      <x:c r="E46" s="2" t="str">
        <x:v>2024-07-01</x:v>
      </x:c>
      <x:c r="F46" s="2" t="n">
        <x:v>9</x:v>
      </x:c>
      <x:c r="G46" s="7" t="n">
        <x:v>2.837690650263175</x:v>
      </x:c>
      <x:c r="H46" s="7" t="n">
        <x:v>0.8047143533222044</x:v>
      </x:c>
      <x:c r="I46" s="7" t="n">
        <x:v>7.05822723217906</x:v>
      </x:c>
      <x:c r="J46" s="7" t="n">
        <x:f>G46+H46*I46</x:f>
        <x:v>8.51754741300732</x:v>
      </x:c>
      <x:c r="K46" s="7" t="n">
        <x:v>8</x:v>
      </x:c>
      <x:c r="L46" s="7" t="n">
        <x:v>8</x:v>
      </x:c>
      <x:c r="M46" s="7" t="n">
        <x:v>7.5</x:v>
      </x:c>
      <x:c r="N46" s="7" t="n">
        <x:f>(J46-K46)^2</x:f>
        <x:v>0.2678553247105689</x:v>
      </x:c>
    </x:row>
    <x:row r="47" ht="27" customHeight="1">
      <x:c r="A47" s="2"/>
      <x:c r="B47" s="2" t="str">
        <x:v>Beauty | price_contribution | CUUR0000SEGB</x:v>
      </x:c>
      <x:c r="C47" s="2" t="str">
        <x:v>Expanding</x:v>
      </x:c>
      <x:c r="D47" s="2" t="str">
        <x:v>2023-09-30</x:v>
      </x:c>
      <x:c r="E47" s="2" t="str">
        <x:v>2024-07-01</x:v>
      </x:c>
      <x:c r="F47" s="2" t="n">
        <x:v>10</x:v>
      </x:c>
      <x:c r="G47" s="7" t="n">
        <x:v>2.8474738055763336</x:v>
      </x:c>
      <x:c r="H47" s="7" t="n">
        <x:v>0.7842010501078015</x:v>
      </x:c>
      <x:c r="I47" s="7" t="n">
        <x:v>5.4935927157217845</x:v>
      </x:c>
      <x:c r="J47" s="7" t="n">
        <x:f>G47+H47*I47</x:f>
        <x:v>7.155554982109926</x:v>
      </x:c>
      <x:c r="K47" s="7" t="n">
        <x:v>7</x:v>
      </x:c>
      <x:c r="L47" s="7" t="n">
        <x:v>8</x:v>
      </x:c>
      <x:c r="M47" s="7" t="n">
        <x:v>8</x:v>
      </x:c>
      <x:c r="N47" s="7" t="n">
        <x:f>(J47-K47)^2</x:f>
        <x:v>0.024197352459219473</x:v>
      </x:c>
    </x:row>
    <x:row r="48" ht="27" customHeight="1">
      <x:c r="A48" s="2"/>
      <x:c r="B48" s="2" t="str">
        <x:v>Beauty | price_contribution | CUUR0000SEGB</x:v>
      </x:c>
      <x:c r="C48" s="2" t="str">
        <x:v>Expanding</x:v>
      </x:c>
      <x:c r="D48" s="2" t="str">
        <x:v>2023-12-31</x:v>
      </x:c>
      <x:c r="E48" s="2" t="str">
        <x:v>2024-07-01</x:v>
      </x:c>
      <x:c r="F48" s="2" t="n">
        <x:v>11</x:v>
      </x:c>
      <x:c r="G48" s="7" t="n">
        <x:v>2.8438636497771643</x:v>
      </x:c>
      <x:c r="H48" s="7" t="n">
        <x:v>0.7809371801418561</x:v>
      </x:c>
      <x:c r="I48" s="7" t="n">
        <x:v>4.212216519153356</x:v>
      </x:c>
      <x:c r="J48" s="7" t="n">
        <x:f>G48+H48*I48</x:f>
        <x:v>6.133340140391731</x:v>
      </x:c>
      <x:c r="K48" s="7" t="n">
        <x:v>4</x:v>
      </x:c>
      <x:c r="L48" s="7" t="n">
        <x:v>7</x:v>
      </x:c>
      <x:c r="M48" s="7" t="n">
        <x:v>8</x:v>
      </x:c>
      <x:c r="N48" s="7" t="n">
        <x:f>(J48-K48)^2</x:f>
        <x:v>4.5511401546066095</x:v>
      </x:c>
    </x:row>
    <x:row r="49" ht="27" customHeight="1">
      <x:c r="A49" s="2"/>
      <x:c r="B49" s="2" t="str">
        <x:v>Beauty | price_contribution | CUUR0000SEGB</x:v>
      </x:c>
      <x:c r="C49" s="2" t="str">
        <x:v>Expanding</x:v>
      </x:c>
      <x:c r="D49" s="2" t="str">
        <x:v>2024-03-31</x:v>
      </x:c>
      <x:c r="E49" s="2" t="str">
        <x:v>2024-07-01</x:v>
      </x:c>
      <x:c r="F49" s="2" t="n">
        <x:v>12</x:v>
      </x:c>
      <x:c r="G49" s="7" t="n">
        <x:v>2.724628362686719</x:v>
      </x:c>
      <x:c r="H49" s="7" t="n">
        <x:v>0.763243697199014</x:v>
      </x:c>
      <x:c r="I49" s="7" t="n">
        <x:v>3.636809635836169</x:v>
      </x:c>
      <x:c r="J49" s="7" t="n">
        <x:f>G49+H49*I49</x:f>
        <x:v>5.500400395151316</x:v>
      </x:c>
      <x:c r="K49" s="7" t="n">
        <x:v>4</x:v>
      </x:c>
      <x:c r="L49" s="7" t="n">
        <x:v>4</x:v>
      </x:c>
      <x:c r="M49" s="7" t="n">
        <x:v>6.75</x:v>
      </x:c>
      <x:c r="N49" s="7" t="n">
        <x:f>(J49-K49)^2</x:f>
        <x:v>2.2512013457702253</x:v>
      </x:c>
    </x:row>
    <x:row r="50" ht="27" customHeight="1">
      <x:c r="A50" s="2"/>
      <x:c r="B50" s="2" t="str">
        <x:v>Beauty | price_contribution | CUUR0000SEGB</x:v>
      </x:c>
      <x:c r="C50" s="2" t="str">
        <x:v>Last eight</x:v>
      </x:c>
      <x:c r="D50" s="2" t="str">
        <x:v>2023-06-30</x:v>
      </x:c>
      <x:c r="E50" s="2" t="str">
        <x:v>2024-07-01</x:v>
      </x:c>
      <x:c r="F50" s="2" t="n">
        <x:v>8</x:v>
      </x:c>
      <x:c r="G50" s="7" t="n">
        <x:v>2.9766258161442654</x:v>
      </x:c>
      <x:c r="H50" s="7" t="n">
        <x:v>0.7806080866495374</x:v>
      </x:c>
      <x:c r="I50" s="7" t="n">
        <x:v>7.05822723217906</x:v>
      </x:c>
      <x:c r="J50" s="7" t="n">
        <x:f>G50+H50*I50</x:f>
        <x:v>8.48633507099322</x:v>
      </x:c>
      <x:c r="K50" s="7" t="n">
        <x:v>8</x:v>
      </x:c>
      <x:c r="L50" s="7" t="n">
        <x:v>8</x:v>
      </x:c>
      <x:c r="M50" s="7" t="n">
        <x:v>7.5</x:v>
      </x:c>
      <x:c r="N50" s="7" t="n">
        <x:f>(J50-K50)^2</x:f>
        <x:v>0.23652180127798092</x:v>
      </x:c>
    </x:row>
    <x:row r="51" ht="27" customHeight="1">
      <x:c r="A51" s="2"/>
      <x:c r="B51" s="2" t="str">
        <x:v>Beauty | price_contribution | CUUR0000SEGB</x:v>
      </x:c>
      <x:c r="C51" s="2" t="str">
        <x:v>Last eight</x:v>
      </x:c>
      <x:c r="D51" s="2" t="str">
        <x:v>2023-09-30</x:v>
      </x:c>
      <x:c r="E51" s="2" t="str">
        <x:v>2024-07-01</x:v>
      </x:c>
      <x:c r="F51" s="2" t="n">
        <x:v>8</x:v>
      </x:c>
      <x:c r="G51" s="7" t="n">
        <x:v>2.6011314739130866</x:v>
      </x:c>
      <x:c r="H51" s="7" t="n">
        <x:v>0.8238533032218744</x:v>
      </x:c>
      <x:c r="I51" s="7" t="n">
        <x:v>5.4935927157217845</x:v>
      </x:c>
      <x:c r="J51" s="7" t="n">
        <x:f>G51+H51*I51</x:f>
        <x:v>7.127045979316106</x:v>
      </x:c>
      <x:c r="K51" s="7" t="n">
        <x:v>7</x:v>
      </x:c>
      <x:c r="L51" s="7" t="n">
        <x:v>8</x:v>
      </x:c>
      <x:c r="M51" s="7" t="n">
        <x:v>8</x:v>
      </x:c>
      <x:c r="N51" s="7" t="n">
        <x:f>(J51-K51)^2</x:f>
        <x:v>0.016140680860388504</x:v>
      </x:c>
    </x:row>
    <x:row r="52" ht="27" customHeight="1">
      <x:c r="A52" s="2"/>
      <x:c r="B52" s="2" t="str">
        <x:v>Beauty | price_contribution | CUUR0000SEGB</x:v>
      </x:c>
      <x:c r="C52" s="2" t="str">
        <x:v>Last eight</x:v>
      </x:c>
      <x:c r="D52" s="2" t="str">
        <x:v>2023-12-31</x:v>
      </x:c>
      <x:c r="E52" s="2" t="str">
        <x:v>2024-07-01</x:v>
      </x:c>
      <x:c r="F52" s="2" t="n">
        <x:v>8</x:v>
      </x:c>
      <x:c r="G52" s="7" t="n">
        <x:v>2.764575698177594</x:v>
      </x:c>
      <x:c r="H52" s="7" t="n">
        <x:v>0.7934573534397317</x:v>
      </x:c>
      <x:c r="I52" s="7" t="n">
        <x:v>4.212216519153356</x:v>
      </x:c>
      <x:c r="J52" s="7" t="n">
        <x:f>G52+H52*I52</x:f>
        <x:v>6.106789869580135</x:v>
      </x:c>
      <x:c r="K52" s="7" t="n">
        <x:v>4</x:v>
      </x:c>
      <x:c r="L52" s="7" t="n">
        <x:v>7</x:v>
      </x:c>
      <x:c r="M52" s="7" t="n">
        <x:v>8</x:v>
      </x:c>
      <x:c r="N52" s="7" t="n">
        <x:f>(J52-K52)^2</x:f>
        <x:v>4.438563554565483</x:v>
      </x:c>
    </x:row>
    <x:row r="53" ht="27" customHeight="1">
      <x:c r="A53" s="2"/>
      <x:c r="B53" s="2" t="str">
        <x:v>Beauty | price_contribution | CUUR0000SEGB</x:v>
      </x:c>
      <x:c r="C53" s="2" t="str">
        <x:v>Last eight</x:v>
      </x:c>
      <x:c r="D53" s="2" t="str">
        <x:v>2024-03-31</x:v>
      </x:c>
      <x:c r="E53" s="2" t="str">
        <x:v>2024-07-01</x:v>
      </x:c>
      <x:c r="F53" s="2" t="n">
        <x:v>8</x:v>
      </x:c>
      <x:c r="G53" s="7" t="n">
        <x:v>2.9216900271114983</x:v>
      </x:c>
      <x:c r="H53" s="7" t="n">
        <x:v>0.7300216655766142</x:v>
      </x:c>
      <x:c r="I53" s="7" t="n">
        <x:v>3.636809635836169</x:v>
      </x:c>
      <x:c r="J53" s="7" t="n">
        <x:f>G53+H53*I53</x:f>
        <x:v>5.576639854849699</x:v>
      </x:c>
      <x:c r="K53" s="7" t="n">
        <x:v>4</x:v>
      </x:c>
      <x:c r="L53" s="7" t="n">
        <x:v>4</x:v>
      </x:c>
      <x:c r="M53" s="7" t="n">
        <x:v>6.75</x:v>
      </x:c>
      <x:c r="N53" s="7" t="n">
        <x:f>(J53-K53)^2</x:f>
        <x:v>2.485793231900479</x:v>
      </x:c>
    </x:row>
    <x:row r="54" ht="27" customHeight="1">
      <x:c r="A54" s="2"/>
      <x:c r="B54" s="2" t="str">
        <x:v>Grooming | price_contribution | CUUR0000SEGB</x:v>
      </x:c>
      <x:c r="C54" s="2" t="str">
        <x:v>Expanding</x:v>
      </x:c>
      <x:c r="D54" s="2" t="str">
        <x:v>2023-06-30</x:v>
      </x:c>
      <x:c r="E54" s="2" t="str">
        <x:v>2024-07-01</x:v>
      </x:c>
      <x:c r="F54" s="2" t="n">
        <x:v>9</x:v>
      </x:c>
      <x:c r="G54" s="7" t="n">
        <x:v>3.0509614932232583</x:v>
      </x:c>
      <x:c r="H54" s="7" t="n">
        <x:v>1.0261784831383824</x:v>
      </x:c>
      <x:c r="I54" s="7" t="n">
        <x:v>7.05822723217906</x:v>
      </x:c>
      <x:c r="J54" s="7" t="n">
        <x:f>G54+H54*I54</x:f>
        <x:v>10.29396240798679</x:v>
      </x:c>
      <x:c r="K54" s="7" t="n">
        <x:v>9</x:v>
      </x:c>
      <x:c r="L54" s="7" t="n">
        <x:v>10</x:v>
      </x:c>
      <x:c r="M54" s="7" t="n">
        <x:v>8.75</x:v>
      </x:c>
      <x:c r="N54" s="7" t="n">
        <x:f>(J54-K54)^2</x:f>
        <x:v>1.6743387132829712</x:v>
      </x:c>
    </x:row>
    <x:row r="55" ht="27" customHeight="1">
      <x:c r="A55" s="2"/>
      <x:c r="B55" s="2" t="str">
        <x:v>Grooming | price_contribution | CUUR0000SEGB</x:v>
      </x:c>
      <x:c r="C55" s="2" t="str">
        <x:v>Expanding</x:v>
      </x:c>
      <x:c r="D55" s="2" t="str">
        <x:v>2023-09-30</x:v>
      </x:c>
      <x:c r="E55" s="2" t="str">
        <x:v>2024-07-01</x:v>
      </x:c>
      <x:c r="F55" s="2" t="n">
        <x:v>10</x:v>
      </x:c>
      <x:c r="G55" s="7" t="n">
        <x:v>3.0754211560262563</x:v>
      </x:c>
      <x:c r="H55" s="7" t="n">
        <x:v>0.97489150429168</x:v>
      </x:c>
      <x:c r="I55" s="7" t="n">
        <x:v>5.4935927157217845</x:v>
      </x:c>
      <x:c r="J55" s="7" t="n">
        <x:f>G55+H55*I55</x:f>
        <x:v>8.431078022622081</x:v>
      </x:c>
      <x:c r="K55" s="7" t="n">
        <x:v>9</x:v>
      </x:c>
      <x:c r="L55" s="7" t="n">
        <x:v>9</x:v>
      </x:c>
      <x:c r="M55" s="7" t="n">
        <x:v>9.5</x:v>
      </x:c>
      <x:c r="N55" s="7" t="n">
        <x:f>(J55-K55)^2</x:f>
        <x:v>0.32367221634360094</x:v>
      </x:c>
    </x:row>
    <x:row r="56" ht="27" customHeight="1">
      <x:c r="A56" s="2"/>
      <x:c r="B56" s="2" t="str">
        <x:v>Grooming | price_contribution | CUUR0000SEGB</x:v>
      </x:c>
      <x:c r="C56" s="2" t="str">
        <x:v>Expanding</x:v>
      </x:c>
      <x:c r="D56" s="2" t="str">
        <x:v>2023-12-31</x:v>
      </x:c>
      <x:c r="E56" s="2" t="str">
        <x:v>2024-07-01</x:v>
      </x:c>
      <x:c r="F56" s="2" t="n">
        <x:v>11</x:v>
      </x:c>
      <x:c r="G56" s="7" t="n">
        <x:v>3.088624828117284</x:v>
      </x:c>
      <x:c r="H56" s="7" t="n">
        <x:v>0.9868286812933008</x:v>
      </x:c>
      <x:c r="I56" s="7" t="n">
        <x:v>4.212216519153356</x:v>
      </x:c>
      <x:c r="J56" s="7" t="n">
        <x:f>G56+H56*I56</x:f>
        <x:v>7.245360901035248</x:v>
      </x:c>
      <x:c r="K56" s="7" t="n">
        <x:v>7</x:v>
      </x:c>
      <x:c r="L56" s="7" t="n">
        <x:v>9</x:v>
      </x:c>
      <x:c r="M56" s="7" t="n">
        <x:v>9.75</x:v>
      </x:c>
      <x:c r="N56" s="7" t="n">
        <x:f>(J56-K56)^2</x:f>
        <x:v>0.06020197175682876</x:v>
      </x:c>
    </x:row>
    <x:row r="57" ht="27" customHeight="1">
      <x:c r="A57" s="2"/>
      <x:c r="B57" s="2" t="str">
        <x:v>Grooming | price_contribution | CUUR0000SEGB</x:v>
      </x:c>
      <x:c r="C57" s="2" t="str">
        <x:v>Expanding</x:v>
      </x:c>
      <x:c r="D57" s="2" t="str">
        <x:v>2024-03-31</x:v>
      </x:c>
      <x:c r="E57" s="2" t="str">
        <x:v>2024-07-01</x:v>
      </x:c>
      <x:c r="F57" s="2" t="n">
        <x:v>12</x:v>
      </x:c>
      <x:c r="G57" s="7" t="n">
        <x:v>3.074911273057876</x:v>
      </x:c>
      <x:c r="H57" s="7" t="n">
        <x:v>0.984793708606521</x:v>
      </x:c>
      <x:c r="I57" s="7" t="n">
        <x:v>3.636809635836169</x:v>
      </x:c>
      <x:c r="J57" s="7" t="n">
        <x:f>G57+H57*I57</x:f>
        <x:v>6.656418521828908</x:v>
      </x:c>
      <x:c r="K57" s="7" t="n">
        <x:v>10</x:v>
      </x:c>
      <x:c r="L57" s="7" t="n">
        <x:v>7</x:v>
      </x:c>
      <x:c r="M57" s="7" t="n">
        <x:v>8.75</x:v>
      </x:c>
      <x:c r="N57" s="7" t="n">
        <x:f>(J57-K57)^2</x:f>
        <x:v>11.179537101168787</x:v>
      </x:c>
    </x:row>
    <x:row r="58" ht="27" customHeight="1">
      <x:c r="A58" s="2"/>
      <x:c r="B58" s="2" t="str">
        <x:v>Grooming | price_contribution | CUUR0000SEGB</x:v>
      </x:c>
      <x:c r="C58" s="2" t="str">
        <x:v>Last eight</x:v>
      </x:c>
      <x:c r="D58" s="2" t="str">
        <x:v>2023-06-30</x:v>
      </x:c>
      <x:c r="E58" s="2" t="str">
        <x:v>2024-07-01</x:v>
      </x:c>
      <x:c r="F58" s="2" t="n">
        <x:v>8</x:v>
      </x:c>
      <x:c r="G58" s="7" t="n">
        <x:v>3.2237693030375247</x:v>
      </x:c>
      <x:c r="H58" s="7" t="n">
        <x:v>0.9961950651888365</x:v>
      </x:c>
      <x:c r="I58" s="7" t="n">
        <x:v>7.05822723217906</x:v>
      </x:c>
      <x:c r="J58" s="7" t="n">
        <x:f>G58+H58*I58</x:f>
        <x:v>10.255140440715763</x:v>
      </x:c>
      <x:c r="K58" s="7" t="n">
        <x:v>9</x:v>
      </x:c>
      <x:c r="L58" s="7" t="n">
        <x:v>10</x:v>
      </x:c>
      <x:c r="M58" s="7" t="n">
        <x:v>8.75</x:v>
      </x:c>
      <x:c r="N58" s="7" t="n">
        <x:f>(J58-K58)^2</x:f>
        <x:v>1.5753775259201608</x:v>
      </x:c>
    </x:row>
    <x:row r="59" ht="27" customHeight="1">
      <x:c r="A59" s="2"/>
      <x:c r="B59" s="2" t="str">
        <x:v>Grooming | price_contribution | CUUR0000SEGB</x:v>
      </x:c>
      <x:c r="C59" s="2" t="str">
        <x:v>Last eight</x:v>
      </x:c>
      <x:c r="D59" s="2" t="str">
        <x:v>2023-09-30</x:v>
      </x:c>
      <x:c r="E59" s="2" t="str">
        <x:v>2024-07-01</x:v>
      </x:c>
      <x:c r="F59" s="2" t="n">
        <x:v>8</x:v>
      </x:c>
      <x:c r="G59" s="7" t="n">
        <x:v>3.60445072778273</x:v>
      </x:c>
      <x:c r="H59" s="7" t="n">
        <x:v>0.888393548664666</x:v>
      </x:c>
      <x:c r="I59" s="7" t="n">
        <x:v>5.4935927157217845</x:v>
      </x:c>
      <x:c r="J59" s="7" t="n">
        <x:f>G59+H59*I59</x:f>
        <x:v>8.484923055421167</x:v>
      </x:c>
      <x:c r="K59" s="7" t="n">
        <x:v>9</x:v>
      </x:c>
      <x:c r="L59" s="7" t="n">
        <x:v>9</x:v>
      </x:c>
      <x:c r="M59" s="7" t="n">
        <x:v>9.5</x:v>
      </x:c>
      <x:c r="N59" s="7" t="n">
        <x:f>(J59-K59)^2</x:f>
        <x:v>0.2653042588366667</x:v>
      </x:c>
    </x:row>
    <x:row r="60" ht="27" customHeight="1">
      <x:c r="A60" s="2"/>
      <x:c r="B60" s="2" t="str">
        <x:v>Grooming | price_contribution | CUUR0000SEGB</x:v>
      </x:c>
      <x:c r="C60" s="2" t="str">
        <x:v>Last eight</x:v>
      </x:c>
      <x:c r="D60" s="2" t="str">
        <x:v>2023-12-31</x:v>
      </x:c>
      <x:c r="E60" s="2" t="str">
        <x:v>2024-07-01</x:v>
      </x:c>
      <x:c r="F60" s="2" t="n">
        <x:v>8</x:v>
      </x:c>
      <x:c r="G60" s="7" t="n">
        <x:v>4.307320226598791</x:v>
      </x:c>
      <x:c r="H60" s="7" t="n">
        <x:v>0.7840634546733201</x:v>
      </x:c>
      <x:c r="I60" s="7" t="n">
        <x:v>4.212216519153356</x:v>
      </x:c>
      <x:c r="J60" s="7" t="n">
        <x:f>G60+H60*I60</x:f>
        <x:v>7.609965262438198</x:v>
      </x:c>
      <x:c r="K60" s="7" t="n">
        <x:v>7</x:v>
      </x:c>
      <x:c r="L60" s="7" t="n">
        <x:v>9</x:v>
      </x:c>
      <x:c r="M60" s="7" t="n">
        <x:v>9.75</x:v>
      </x:c>
      <x:c r="N60" s="7" t="n">
        <x:f>(J60-K60)^2</x:f>
        <x:v>0.37205762138129994</x:v>
      </x:c>
    </x:row>
    <x:row r="61" ht="27" customHeight="1">
      <x:c r="A61" s="2"/>
      <x:c r="B61" s="2" t="str">
        <x:v>Grooming | price_contribution | CUUR0000SEGB</x:v>
      </x:c>
      <x:c r="C61" s="2" t="str">
        <x:v>Last eight</x:v>
      </x:c>
      <x:c r="D61" s="2" t="str">
        <x:v>2024-03-31</x:v>
      </x:c>
      <x:c r="E61" s="2" t="str">
        <x:v>2024-07-01</x:v>
      </x:c>
      <x:c r="F61" s="2" t="n">
        <x:v>8</x:v>
      </x:c>
      <x:c r="G61" s="7" t="n">
        <x:v>4.443026851964927</x:v>
      </x:c>
      <x:c r="H61" s="7" t="n">
        <x:v>0.7504564561648928</x:v>
      </x:c>
      <x:c r="I61" s="7" t="n">
        <x:v>3.636809635836169</x:v>
      </x:c>
      <x:c r="J61" s="7" t="n">
        <x:f>G61+H61*I61</x:f>
        <x:v>7.1722941230208725</x:v>
      </x:c>
      <x:c r="K61" s="7" t="n">
        <x:v>10</x:v>
      </x:c>
      <x:c r="L61" s="7" t="n">
        <x:v>7</x:v>
      </x:c>
      <x:c r="M61" s="7" t="n">
        <x:v>8.75</x:v>
      </x:c>
      <x:c r="N61" s="7" t="n">
        <x:f>(J61-K61)^2</x:f>
        <x:v>7.995920526702296</x:v>
      </x:c>
    </x:row>
    <x:row r="62" ht="27" customHeight="1">
      <x:c r="A62" s="2"/>
      <x:c r="B62" s="2" t="str">
        <x:v>Health Care | price_contribution | CUUR0000SEGB</x:v>
      </x:c>
      <x:c r="C62" s="2" t="str">
        <x:v>Expanding</x:v>
      </x:c>
      <x:c r="D62" s="2" t="str">
        <x:v>2023-06-30</x:v>
      </x:c>
      <x:c r="E62" s="2" t="str">
        <x:v>2024-07-01</x:v>
      </x:c>
      <x:c r="F62" s="2" t="n">
        <x:v>9</x:v>
      </x:c>
      <x:c r="G62" s="7" t="n">
        <x:v>1.3599860195185296</x:v>
      </x:c>
      <x:c r="H62" s="7" t="n">
        <x:v>0.686991373691571</x:v>
      </x:c>
      <x:c r="I62" s="7" t="n">
        <x:v>7.05822723217906</x:v>
      </x:c>
      <x:c r="J62" s="7" t="n">
        <x:f>G62+H62*I62</x:f>
        <x:v>6.2089272415804775</x:v>
      </x:c>
      <x:c r="K62" s="7" t="n">
        <x:v>6</x:v>
      </x:c>
      <x:c r="L62" s="7" t="n">
        <x:v>6</x:v>
      </x:c>
      <x:c r="M62" s="7" t="n">
        <x:v>5.5</x:v>
      </x:c>
      <x:c r="N62" s="7" t="n">
        <x:f>(J62-K62)^2</x:f>
        <x:v>0.0436505922744272</x:v>
      </x:c>
    </x:row>
    <x:row r="63" ht="27" customHeight="1">
      <x:c r="A63" s="2"/>
      <x:c r="B63" s="2" t="str">
        <x:v>Health Care | price_contribution | CUUR0000SEGB</x:v>
      </x:c>
      <x:c r="C63" s="2" t="str">
        <x:v>Expanding</x:v>
      </x:c>
      <x:c r="D63" s="2" t="str">
        <x:v>2023-09-30</x:v>
      </x:c>
      <x:c r="E63" s="2" t="str">
        <x:v>2024-07-01</x:v>
      </x:c>
      <x:c r="F63" s="2" t="n">
        <x:v>10</x:v>
      </x:c>
      <x:c r="G63" s="7" t="n">
        <x:v>1.3639353536320065</x:v>
      </x:c>
      <x:c r="H63" s="7" t="n">
        <x:v>0.6787104167230381</x:v>
      </x:c>
      <x:c r="I63" s="7" t="n">
        <x:v>5.4935927157217845</x:v>
      </x:c>
      <x:c r="J63" s="7" t="n">
        <x:f>G63+H63*I63</x:f>
        <x:v>5.092493955026185</x:v>
      </x:c>
      <x:c r="K63" s="7" t="n">
        <x:v>6</x:v>
      </x:c>
      <x:c r="L63" s="7" t="n">
        <x:v>6</x:v>
      </x:c>
      <x:c r="M63" s="7" t="n">
        <x:v>5.75</x:v>
      </x:c>
      <x:c r="N63" s="7" t="n">
        <x:f>(J63-K63)^2</x:f>
        <x:v>0.8235672216640152</x:v>
      </x:c>
    </x:row>
    <x:row r="64" ht="27" customHeight="1">
      <x:c r="A64" s="2"/>
      <x:c r="B64" s="2" t="str">
        <x:v>Health Care | price_contribution | CUUR0000SEGB</x:v>
      </x:c>
      <x:c r="C64" s="2" t="str">
        <x:v>Expanding</x:v>
      </x:c>
      <x:c r="D64" s="2" t="str">
        <x:v>2023-12-31</x:v>
      </x:c>
      <x:c r="E64" s="2" t="str">
        <x:v>2024-07-01</x:v>
      </x:c>
      <x:c r="F64" s="2" t="n">
        <x:v>11</x:v>
      </x:c>
      <x:c r="G64" s="7" t="n">
        <x:v>1.3849969626309875</x:v>
      </x:c>
      <x:c r="H64" s="7" t="n">
        <x:v>0.6977517980014006</x:v>
      </x:c>
      <x:c r="I64" s="7" t="n">
        <x:v>4.212216519153356</x:v>
      </x:c>
      <x:c r="J64" s="7" t="n">
        <x:f>G64+H64*I64</x:f>
        <x:v>4.3240786124414425</x:v>
      </x:c>
      <x:c r="K64" s="7" t="n">
        <x:v>5</x:v>
      </x:c>
      <x:c r="L64" s="7" t="n">
        <x:v>6</x:v>
      </x:c>
      <x:c r="M64" s="7" t="n">
        <x:v>5.75</x:v>
      </x:c>
      <x:c r="N64" s="7" t="n">
        <x:f>(J64-K64)^2</x:f>
        <x:v>0.4568697221590856</x:v>
      </x:c>
    </x:row>
    <x:row r="65" ht="27" customHeight="1">
      <x:c r="A65" s="2"/>
      <x:c r="B65" s="2" t="str">
        <x:v>Health Care | price_contribution | CUUR0000SEGB</x:v>
      </x:c>
      <x:c r="C65" s="2" t="str">
        <x:v>Expanding</x:v>
      </x:c>
      <x:c r="D65" s="2" t="str">
        <x:v>2024-03-31</x:v>
      </x:c>
      <x:c r="E65" s="2" t="str">
        <x:v>2024-07-01</x:v>
      </x:c>
      <x:c r="F65" s="2" t="n">
        <x:v>12</x:v>
      </x:c>
      <x:c r="G65" s="7" t="n">
        <x:v>1.4227751299143905</x:v>
      </x:c>
      <x:c r="H65" s="7" t="n">
        <x:v>0.7033577505239428</x:v>
      </x:c>
      <x:c r="I65" s="7" t="n">
        <x:v>3.636809635836169</x:v>
      </x:c>
      <x:c r="J65" s="7" t="n">
        <x:f>G65+H65*I65</x:f>
        <x:v>3.9807533744599177</x:v>
      </x:c>
      <x:c r="K65" s="7" t="n">
        <x:v>4</x:v>
      </x:c>
      <x:c r="L65" s="7" t="n">
        <x:v>5</x:v>
      </x:c>
      <x:c r="M65" s="7" t="n">
        <x:v>5.75</x:v>
      </x:c>
      <x:c r="N65" s="7" t="n">
        <x:f>(J65-K65)^2</x:f>
        <x:v>0.00037043259468014727</x:v>
      </x:c>
    </x:row>
    <x:row r="66" ht="27" customHeight="1">
      <x:c r="A66" s="2"/>
      <x:c r="B66" s="2" t="str">
        <x:v>Health Care | price_contribution | CUUR0000SEGB</x:v>
      </x:c>
      <x:c r="C66" s="2" t="str">
        <x:v>Last eight</x:v>
      </x:c>
      <x:c r="D66" s="2" t="str">
        <x:v>2023-06-30</x:v>
      </x:c>
      <x:c r="E66" s="2" t="str">
        <x:v>2024-07-01</x:v>
      </x:c>
      <x:c r="F66" s="2" t="n">
        <x:v>8</x:v>
      </x:c>
      <x:c r="G66" s="7" t="n">
        <x:v>1.6415363336431525</x:v>
      </x:c>
      <x:c r="H66" s="7" t="n">
        <x:v>0.638140336511609</x:v>
      </x:c>
      <x:c r="I66" s="7" t="n">
        <x:v>7.05822723217906</x:v>
      </x:c>
      <x:c r="J66" s="7" t="n">
        <x:f>G66+H66*I66</x:f>
        <x:v>6.1456758347613</x:v>
      </x:c>
      <x:c r="K66" s="7" t="n">
        <x:v>6</x:v>
      </x:c>
      <x:c r="L66" s="7" t="n">
        <x:v>6</x:v>
      </x:c>
      <x:c r="M66" s="7" t="n">
        <x:v>5.5</x:v>
      </x:c>
      <x:c r="N66" s="7" t="n">
        <x:f>(J66-K66)^2</x:f>
        <x:v>0.02122144883340154</x:v>
      </x:c>
    </x:row>
    <x:row r="67" ht="27" customHeight="1">
      <x:c r="A67" s="2"/>
      <x:c r="B67" s="2" t="str">
        <x:v>Health Care | price_contribution | CUUR0000SEGB</x:v>
      </x:c>
      <x:c r="C67" s="2" t="str">
        <x:v>Last eight</x:v>
      </x:c>
      <x:c r="D67" s="2" t="str">
        <x:v>2023-09-30</x:v>
      </x:c>
      <x:c r="E67" s="2" t="str">
        <x:v>2024-07-01</x:v>
      </x:c>
      <x:c r="F67" s="2" t="n">
        <x:v>8</x:v>
      </x:c>
      <x:c r="G67" s="7" t="n">
        <x:v>1.8126051907622416</x:v>
      </x:c>
      <x:c r="H67" s="7" t="n">
        <x:v>0.605002745005385</x:v>
      </x:c>
      <x:c r="I67" s="7" t="n">
        <x:v>5.4935927157217845</x:v>
      </x:c>
      <x:c r="J67" s="7" t="n">
        <x:f>G67+H67*I67</x:f>
        <x:v>5.136243863715508</x:v>
      </x:c>
      <x:c r="K67" s="7" t="n">
        <x:v>6</x:v>
      </x:c>
      <x:c r="L67" s="7" t="n">
        <x:v>6</x:v>
      </x:c>
      <x:c r="M67" s="7" t="n">
        <x:v>5.75</x:v>
      </x:c>
      <x:c r="N67" s="7" t="n">
        <x:f>(J67-K67)^2</x:f>
        <x:v>0.7460746629691133</x:v>
      </x:c>
    </x:row>
    <x:row r="68" ht="27" customHeight="1">
      <x:c r="A68" s="2"/>
      <x:c r="B68" s="2" t="str">
        <x:v>Health Care | price_contribution | CUUR0000SEGB</x:v>
      </x:c>
      <x:c r="C68" s="2" t="str">
        <x:v>Last eight</x:v>
      </x:c>
      <x:c r="D68" s="2" t="str">
        <x:v>2023-12-31</x:v>
      </x:c>
      <x:c r="E68" s="2" t="str">
        <x:v>2024-07-01</x:v>
      </x:c>
      <x:c r="F68" s="2" t="n">
        <x:v>8</x:v>
      </x:c>
      <x:c r="G68" s="7" t="n">
        <x:v>2.171685225237884</x:v>
      </x:c>
      <x:c r="H68" s="7" t="n">
        <x:v>0.5666322422227971</x:v>
      </x:c>
      <x:c r="I68" s="7" t="n">
        <x:v>4.212216519153356</x:v>
      </x:c>
      <x:c r="J68" s="7" t="n">
        <x:f>G68+H68*I68</x:f>
        <x:v>4.558462916213655</x:v>
      </x:c>
      <x:c r="K68" s="7" t="n">
        <x:v>5</x:v>
      </x:c>
      <x:c r="L68" s="7" t="n">
        <x:v>6</x:v>
      </x:c>
      <x:c r="M68" s="7" t="n">
        <x:v>5.75</x:v>
      </x:c>
      <x:c r="N68" s="7" t="n">
        <x:f>(J68-K68)^2</x:f>
        <x:v>0.19495499635855007</x:v>
      </x:c>
    </x:row>
    <x:row r="69" ht="27" customHeight="1">
      <x:c r="A69" s="2"/>
      <x:c r="B69" s="2" t="str">
        <x:v>Health Care | price_contribution | CUUR0000SEGB</x:v>
      </x:c>
      <x:c r="C69" s="2" t="str">
        <x:v>Last eight</x:v>
      </x:c>
      <x:c r="D69" s="2" t="str">
        <x:v>2024-03-31</x:v>
      </x:c>
      <x:c r="E69" s="2" t="str">
        <x:v>2024-07-01</x:v>
      </x:c>
      <x:c r="F69" s="2" t="n">
        <x:v>8</x:v>
      </x:c>
      <x:c r="G69" s="7" t="n">
        <x:v>3.3227974451116475</x:v>
      </x:c>
      <x:c r="H69" s="7" t="n">
        <x:v>0.3799032836362196</x:v>
      </x:c>
      <x:c r="I69" s="7" t="n">
        <x:v>3.636809635836169</x:v>
      </x:c>
      <x:c r="J69" s="7" t="n">
        <x:f>G69+H69*I69</x:f>
        <x:v>4.7044333677256525</x:v>
      </x:c>
      <x:c r="K69" s="7" t="n">
        <x:v>4</x:v>
      </x:c>
      <x:c r="L69" s="7" t="n">
        <x:v>5</x:v>
      </x:c>
      <x:c r="M69" s="7" t="n">
        <x:v>5.75</x:v>
      </x:c>
      <x:c r="N69" s="7" t="n">
        <x:f>(J69-K69)^2</x:f>
        <x:v>0.4962263695653043</x:v>
      </x:c>
    </x:row>
    <x:row r="70" ht="27" customHeight="1">
      <x:c r="A70" s="2"/>
      <x:c r="B70" s="2" t="str">
        <x:v>Beauty | organic_sales_growth | RSHPCS</x:v>
      </x:c>
      <x:c r="C70" s="2" t="str">
        <x:v>Expanding</x:v>
      </x:c>
      <x:c r="D70" s="2" t="str">
        <x:v>2023-06-30</x:v>
      </x:c>
      <x:c r="E70" s="2" t="str">
        <x:v>2024-07-01</x:v>
      </x:c>
      <x:c r="F70" s="2" t="n">
        <x:v>9</x:v>
      </x:c>
      <x:c r="G70" s="7" t="n">
        <x:v>2.82540360348365</x:v>
      </x:c>
      <x:c r="H70" s="7" t="n">
        <x:v>0.1362440278204246</x:v>
      </x:c>
      <x:c r="I70" s="7" t="n">
        <x:v>8.518514822834454</x:v>
      </x:c>
      <x:c r="J70" s="7" t="n">
        <x:f>G70+H70*I70</x:f>
        <x:v>3.9860003739946066</x:v>
      </x:c>
      <x:c r="K70" s="7" t="n">
        <x:v>11</x:v>
      </x:c>
      <x:c r="L70" s="7" t="n">
        <x:v>7</x:v>
      </x:c>
      <x:c r="M70" s="7" t="n">
        <x:v>3.5</x:v>
      </x:c>
      <x:c r="N70" s="7" t="n">
        <x:f>(J70-K70)^2</x:f>
        <x:v>49.1961907536038</x:v>
      </x:c>
    </x:row>
    <x:row r="71" ht="27" customHeight="1">
      <x:c r="A71" s="2"/>
      <x:c r="B71" s="2" t="str">
        <x:v>Beauty | organic_sales_growth | RSHPCS</x:v>
      </x:c>
      <x:c r="C71" s="2" t="str">
        <x:v>Expanding</x:v>
      </x:c>
      <x:c r="D71" s="2" t="str">
        <x:v>2023-09-30</x:v>
      </x:c>
      <x:c r="E71" s="2" t="str">
        <x:v>2024-07-01</x:v>
      </x:c>
      <x:c r="F71" s="2" t="n">
        <x:v>10</x:v>
      </x:c>
      <x:c r="G71" s="7" t="n">
        <x:v>3.147019131384056</x:v>
      </x:c>
      <x:c r="H71" s="7" t="n">
        <x:v>0.18941249338790672</x:v>
      </x:c>
      <x:c r="I71" s="7" t="n">
        <x:v>7.241291435516439</x:v>
      </x:c>
      <x:c r="J71" s="7" t="n">
        <x:f>G71+H71*I71</x:f>
        <x:v>4.518610197533719</x:v>
      </x:c>
      <x:c r="K71" s="7" t="n">
        <x:v>5</x:v>
      </x:c>
      <x:c r="L71" s="7" t="n">
        <x:v>11</x:v>
      </x:c>
      <x:c r="M71" s="7" t="n">
        <x:v>6.25</x:v>
      </x:c>
      <x:c r="N71" s="7" t="n">
        <x:f>(J71-K71)^2</x:f>
        <x:v>0.2317361419185251</x:v>
      </x:c>
    </x:row>
    <x:row r="72" ht="27" customHeight="1">
      <x:c r="A72" s="2"/>
      <x:c r="B72" s="2" t="str">
        <x:v>Beauty | organic_sales_growth | RSHPCS</x:v>
      </x:c>
      <x:c r="C72" s="2" t="str">
        <x:v>Expanding</x:v>
      </x:c>
      <x:c r="D72" s="2" t="str">
        <x:v>2023-12-31</x:v>
      </x:c>
      <x:c r="E72" s="2" t="str">
        <x:v>2024-07-01</x:v>
      </x:c>
      <x:c r="F72" s="2" t="n">
        <x:v>11</x:v>
      </x:c>
      <x:c r="G72" s="7" t="n">
        <x:v>3.189087164171661</x:v>
      </x:c>
      <x:c r="H72" s="7" t="n">
        <x:v>0.18964944575687026</x:v>
      </x:c>
      <x:c r="I72" s="7" t="n">
        <x:v>9.637550476339829</x:v>
      </x:c>
      <x:c r="J72" s="7" t="n">
        <x:f>G72+H72*I72</x:f>
        <x:v>5.0168432704633705</x:v>
      </x:c>
      <x:c r="K72" s="7" t="n">
        <x:v>1</x:v>
      </x:c>
      <x:c r="L72" s="7" t="n">
        <x:v>5</x:v>
      </x:c>
      <x:c r="M72" s="7" t="n">
        <x:v>6.5</x:v>
      </x:c>
      <x:c r="N72" s="7" t="n">
        <x:f>(J72-K72)^2</x:f>
        <x:v>16.135029859466865</x:v>
      </x:c>
    </x:row>
    <x:row r="73" ht="27" customHeight="1">
      <x:c r="A73" s="2"/>
      <x:c r="B73" s="2" t="str">
        <x:v>Beauty | organic_sales_growth | RSHPCS</x:v>
      </x:c>
      <x:c r="C73" s="2" t="str">
        <x:v>Expanding</x:v>
      </x:c>
      <x:c r="D73" s="2" t="str">
        <x:v>2024-03-31</x:v>
      </x:c>
      <x:c r="E73" s="2" t="str">
        <x:v>2024-07-01</x:v>
      </x:c>
      <x:c r="F73" s="2" t="n">
        <x:v>12</x:v>
      </x:c>
      <x:c r="G73" s="7" t="n">
        <x:v>3.2142790002618264</x:v>
      </x:c>
      <x:c r="H73" s="7" t="n">
        <x:v>0.14074011766624223</x:v>
      </x:c>
      <x:c r="I73" s="7" t="n">
        <x:v>2.1559106393390204</x:v>
      </x:c>
      <x:c r="J73" s="7" t="n">
        <x:f>G73+H73*I73</x:f>
        <x:v>3.5177021173203036</x:v>
      </x:c>
      <x:c r="K73" s="7" t="n">
        <x:v>3</x:v>
      </x:c>
      <x:c r="L73" s="7" t="n">
        <x:v>1</x:v>
      </x:c>
      <x:c r="M73" s="7" t="n">
        <x:v>6</x:v>
      </x:c>
      <x:c r="N73" s="7" t="n">
        <x:f>(J73-K73)^2</x:f>
        <x:v>0.2680154822779254</x:v>
      </x:c>
    </x:row>
    <x:row r="74" ht="27" customHeight="1">
      <x:c r="A74" s="2"/>
      <x:c r="B74" s="2" t="str">
        <x:v>Beauty | organic_sales_growth | RSHPCS</x:v>
      </x:c>
      <x:c r="C74" s="2" t="str">
        <x:v>Last eight</x:v>
      </x:c>
      <x:c r="D74" s="2" t="str">
        <x:v>2023-06-30</x:v>
      </x:c>
      <x:c r="E74" s="2" t="str">
        <x:v>2024-07-01</x:v>
      </x:c>
      <x:c r="F74" s="2" t="n">
        <x:v>8</x:v>
      </x:c>
      <x:c r="G74" s="7" t="n">
        <x:v>1.5721605107158085</x:v>
      </x:c>
      <x:c r="H74" s="7" t="n">
        <x:v>0.24075492830951425</x:v>
      </x:c>
      <x:c r="I74" s="7" t="n">
        <x:v>8.518514822834454</x:v>
      </x:c>
      <x:c r="J74" s="7" t="n">
        <x:f>G74+H74*I74</x:f>
        <x:v>3.623034936190852</x:v>
      </x:c>
      <x:c r="K74" s="7" t="n">
        <x:v>11</x:v>
      </x:c>
      <x:c r="L74" s="7" t="n">
        <x:v>7</x:v>
      </x:c>
      <x:c r="M74" s="7" t="n">
        <x:v>3.5</x:v>
      </x:c>
      <x:c r="N74" s="7" t="n">
        <x:f>(J74-K74)^2</x:f>
        <x:v>54.419613552660714</x:v>
      </x:c>
    </x:row>
    <x:row r="75" ht="27" customHeight="1">
      <x:c r="A75" s="2"/>
      <x:c r="B75" s="2" t="str">
        <x:v>Beauty | organic_sales_growth | RSHPCS</x:v>
      </x:c>
      <x:c r="C75" s="2" t="str">
        <x:v>Last eight</x:v>
      </x:c>
      <x:c r="D75" s="2" t="str">
        <x:v>2023-09-30</x:v>
      </x:c>
      <x:c r="E75" s="2" t="str">
        <x:v>2024-07-01</x:v>
      </x:c>
      <x:c r="F75" s="2" t="n">
        <x:v>8</x:v>
      </x:c>
      <x:c r="G75" s="7" t="n">
        <x:v>-0.26999489991211245</x:v>
      </x:c>
      <x:c r="H75" s="7" t="n">
        <x:v>0.6800250380406828</x:v>
      </x:c>
      <x:c r="I75" s="7" t="n">
        <x:v>7.241291435516439</x:v>
      </x:c>
      <x:c r="J75" s="7" t="n">
        <x:f>G75+H75*I75</x:f>
        <x:v>4.654264583988625</x:v>
      </x:c>
      <x:c r="K75" s="7" t="n">
        <x:v>5</x:v>
      </x:c>
      <x:c r="L75" s="7" t="n">
        <x:v>11</x:v>
      </x:c>
      <x:c r="M75" s="7" t="n">
        <x:v>6.25</x:v>
      </x:c>
      <x:c r="N75" s="7" t="n">
        <x:f>(J75-K75)^2</x:f>
        <x:v>0.11953297788455856</x:v>
      </x:c>
    </x:row>
    <x:row r="76" ht="27" customHeight="1">
      <x:c r="A76" s="2"/>
      <x:c r="B76" s="2" t="str">
        <x:v>Beauty | organic_sales_growth | RSHPCS</x:v>
      </x:c>
      <x:c r="C76" s="2" t="str">
        <x:v>Last eight</x:v>
      </x:c>
      <x:c r="D76" s="2" t="str">
        <x:v>2023-12-31</x:v>
      </x:c>
      <x:c r="E76" s="2" t="str">
        <x:v>2024-07-01</x:v>
      </x:c>
      <x:c r="F76" s="2" t="n">
        <x:v>8</x:v>
      </x:c>
      <x:c r="G76" s="7" t="n">
        <x:v>-1.0797363180077815</x:v>
      </x:c>
      <x:c r="H76" s="7" t="n">
        <x:v>0.8847634551222752</x:v>
      </x:c>
      <x:c r="I76" s="7" t="n">
        <x:v>9.637550476339829</x:v>
      </x:c>
      <x:c r="J76" s="7" t="n">
        <x:f>G76+H76*I76</x:f>
        <x:v>7.447216140353974</x:v>
      </x:c>
      <x:c r="K76" s="7" t="n">
        <x:v>1</x:v>
      </x:c>
      <x:c r="L76" s="7" t="n">
        <x:v>5</x:v>
      </x:c>
      <x:c r="M76" s="7" t="n">
        <x:v>6.5</x:v>
      </x:c>
      <x:c r="N76" s="7" t="n">
        <x:f>(J76-K76)^2</x:f>
        <x:v>41.56659596044079</x:v>
      </x:c>
    </x:row>
    <x:row r="77" ht="27" customHeight="1">
      <x:c r="A77" s="2"/>
      <x:c r="B77" s="2" t="str">
        <x:v>Beauty | organic_sales_growth | RSHPCS</x:v>
      </x:c>
      <x:c r="C77" s="2" t="str">
        <x:v>Last eight</x:v>
      </x:c>
      <x:c r="D77" s="2" t="str">
        <x:v>2024-03-31</x:v>
      </x:c>
      <x:c r="E77" s="2" t="str">
        <x:v>2024-07-01</x:v>
      </x:c>
      <x:c r="F77" s="2" t="n">
        <x:v>8</x:v>
      </x:c>
      <x:c r="G77" s="7" t="n">
        <x:v>0.47551519479430215</x:v>
      </x:c>
      <x:c r="H77" s="7" t="n">
        <x:v>0.5991294484243466</x:v>
      </x:c>
      <x:c r="I77" s="7" t="n">
        <x:v>2.1559106393390204</x:v>
      </x:c>
      <x:c r="J77" s="7" t="n">
        <x:f>G77+H77*I77</x:f>
        <x:v>1.76718474699367</x:v>
      </x:c>
      <x:c r="K77" s="7" t="n">
        <x:v>3</x:v>
      </x:c>
      <x:c r="L77" s="7" t="n">
        <x:v>1</x:v>
      </x:c>
      <x:c r="M77" s="7" t="n">
        <x:v>6</x:v>
      </x:c>
      <x:c r="N77" s="7" t="n">
        <x:f>(J77-K77)^2</x:f>
        <x:v>1.5198334480450617</x:v>
      </x:c>
    </x:row>
    <x:row r="78" ht="27" customHeight="1">
      <x:c r="A78" s="2"/>
      <x:c r="B78" s="2" t="str">
        <x:v>Health Care | organic_sales_growth | RSHPCS</x:v>
      </x:c>
      <x:c r="C78" s="2" t="str">
        <x:v>Expanding</x:v>
      </x:c>
      <x:c r="D78" s="2" t="str">
        <x:v>2023-06-30</x:v>
      </x:c>
      <x:c r="E78" s="2" t="str">
        <x:v>2024-07-01</x:v>
      </x:c>
      <x:c r="F78" s="2" t="n">
        <x:v>9</x:v>
      </x:c>
      <x:c r="G78" s="7" t="n">
        <x:v>5.982720441783925</x:v>
      </x:c>
      <x:c r="H78" s="7" t="n">
        <x:v>0.4475389577850273</x:v>
      </x:c>
      <x:c r="I78" s="7" t="n">
        <x:v>8.518514822834454</x:v>
      </x:c>
      <x:c r="J78" s="7" t="n">
        <x:f>G78+H78*I78</x:f>
        <x:v>9.795087687471563</x:v>
      </x:c>
      <x:c r="K78" s="7" t="n">
        <x:v>5</x:v>
      </x:c>
      <x:c r="L78" s="7" t="n">
        <x:v>9</x:v>
      </x:c>
      <x:c r="M78" s="7" t="n">
        <x:v>8.5</x:v>
      </x:c>
      <x:c r="N78" s="7" t="n">
        <x:f>(J78-K78)^2</x:f>
        <x:v>22.99286593054138</x:v>
      </x:c>
    </x:row>
    <x:row r="79" ht="27" customHeight="1">
      <x:c r="A79" s="2"/>
      <x:c r="B79" s="2" t="str">
        <x:v>Health Care | organic_sales_growth | RSHPCS</x:v>
      </x:c>
      <x:c r="C79" s="2" t="str">
        <x:v>Expanding</x:v>
      </x:c>
      <x:c r="D79" s="2" t="str">
        <x:v>2023-09-30</x:v>
      </x:c>
      <x:c r="E79" s="2" t="str">
        <x:v>2024-07-01</x:v>
      </x:c>
      <x:c r="F79" s="2" t="n">
        <x:v>10</x:v>
      </x:c>
      <x:c r="G79" s="7" t="n">
        <x:v>5.762849506488026</x:v>
      </x:c>
      <x:c r="H79" s="7" t="n">
        <x:v>0.41119058763981975</x:v>
      </x:c>
      <x:c r="I79" s="7" t="n">
        <x:v>7.241291435516439</x:v>
      </x:c>
      <x:c r="J79" s="7" t="n">
        <x:f>G79+H79*I79</x:f>
        <x:v>8.740400387129224</x:v>
      </x:c>
      <x:c r="K79" s="7" t="n">
        <x:v>10</x:v>
      </x:c>
      <x:c r="L79" s="7" t="n">
        <x:v>5</x:v>
      </x:c>
      <x:c r="M79" s="7" t="n">
        <x:v>7.5</x:v>
      </x:c>
      <x:c r="N79" s="7" t="n">
        <x:f>(J79-K79)^2</x:f>
        <x:v>1.586591184744209</x:v>
      </x:c>
    </x:row>
    <x:row r="80" ht="27" customHeight="1">
      <x:c r="A80" s="2"/>
      <x:c r="B80" s="2" t="str">
        <x:v>Health Care | organic_sales_growth | RSHPCS</x:v>
      </x:c>
      <x:c r="C80" s="2" t="str">
        <x:v>Expanding</x:v>
      </x:c>
      <x:c r="D80" s="2" t="str">
        <x:v>2023-12-31</x:v>
      </x:c>
      <x:c r="E80" s="2" t="str">
        <x:v>2024-07-01</x:v>
      </x:c>
      <x:c r="F80" s="2" t="n">
        <x:v>11</x:v>
      </x:c>
      <x:c r="G80" s="7" t="n">
        <x:v>5.872924289007362</x:v>
      </x:c>
      <x:c r="H80" s="7" t="n">
        <x:v>0.4118105947747572</x:v>
      </x:c>
      <x:c r="I80" s="7" t="n">
        <x:v>9.637550476339829</x:v>
      </x:c>
      <x:c r="J80" s="7" t="n">
        <x:f>G80+H80*I80</x:f>
        <x:v>9.841769682840612</x:v>
      </x:c>
      <x:c r="K80" s="7" t="n">
        <x:v>2</x:v>
      </x:c>
      <x:c r="L80" s="7" t="n">
        <x:v>10</x:v>
      </x:c>
      <x:c r="M80" s="7" t="n">
        <x:v>8</x:v>
      </x:c>
      <x:c r="N80" s="7" t="n">
        <x:f>(J80-K80)^2</x:f>
        <x:v>61.49335175871815</x:v>
      </x:c>
    </x:row>
    <x:row r="81" ht="27" customHeight="1">
      <x:c r="A81" s="2"/>
      <x:c r="B81" s="2" t="str">
        <x:v>Health Care | organic_sales_growth | RSHPCS</x:v>
      </x:c>
      <x:c r="C81" s="2" t="str">
        <x:v>Expanding</x:v>
      </x:c>
      <x:c r="D81" s="2" t="str">
        <x:v>2024-03-31</x:v>
      </x:c>
      <x:c r="E81" s="2" t="str">
        <x:v>2024-07-01</x:v>
      </x:c>
      <x:c r="F81" s="2" t="n">
        <x:v>12</x:v>
      </x:c>
      <x:c r="G81" s="7" t="n">
        <x:v>5.922104344888451</x:v>
      </x:c>
      <x:c r="H81" s="7" t="n">
        <x:v>0.3163287299359157</x:v>
      </x:c>
      <x:c r="I81" s="7" t="n">
        <x:v>2.1559106393390204</x:v>
      </x:c>
      <x:c r="J81" s="7" t="n">
        <x:f>G81+H81*I81</x:f>
        <x:v>6.604080819285891</x:v>
      </x:c>
      <x:c r="K81" s="7" t="n">
        <x:v>2</x:v>
      </x:c>
      <x:c r="L81" s="7" t="n">
        <x:v>2</x:v>
      </x:c>
      <x:c r="M81" s="7" t="n">
        <x:v>6.5</x:v>
      </x:c>
      <x:c r="N81" s="7" t="n">
        <x:f>(J81-K81)^2</x:f>
        <x:v>21.197560190516246</x:v>
      </x:c>
    </x:row>
    <x:row r="82" ht="27" customHeight="1">
      <x:c r="A82" s="2"/>
      <x:c r="B82" s="2" t="str">
        <x:v>Health Care | organic_sales_growth | RSHPCS</x:v>
      </x:c>
      <x:c r="C82" s="2" t="str">
        <x:v>Last eight</x:v>
      </x:c>
      <x:c r="D82" s="2" t="str">
        <x:v>2023-06-30</x:v>
      </x:c>
      <x:c r="E82" s="2" t="str">
        <x:v>2024-07-01</x:v>
      </x:c>
      <x:c r="F82" s="2" t="n">
        <x:v>8</x:v>
      </x:c>
      <x:c r="G82" s="7" t="n">
        <x:v>7.423289648857366</x:v>
      </x:c>
      <x:c r="H82" s="7" t="n">
        <x:v>0.3274064903356423</x:v>
      </x:c>
      <x:c r="I82" s="7" t="n">
        <x:v>8.518514822834454</x:v>
      </x:c>
      <x:c r="J82" s="7" t="n">
        <x:f>G82+H82*I82</x:f>
        <x:v>10.21230668987374</x:v>
      </x:c>
      <x:c r="K82" s="7" t="n">
        <x:v>5</x:v>
      </x:c>
      <x:c r="L82" s="7" t="n">
        <x:v>9</x:v>
      </x:c>
      <x:c r="M82" s="7" t="n">
        <x:v>8.5</x:v>
      </x:c>
      <x:c r="N82" s="7" t="n">
        <x:f>(J82-K82)^2</x:f>
        <x:v>27.168141029302546</x:v>
      </x:c>
    </x:row>
    <x:row r="83" ht="27" customHeight="1">
      <x:c r="A83" s="2"/>
      <x:c r="B83" s="2" t="str">
        <x:v>Health Care | organic_sales_growth | RSHPCS</x:v>
      </x:c>
      <x:c r="C83" s="2" t="str">
        <x:v>Last eight</x:v>
      </x:c>
      <x:c r="D83" s="2" t="str">
        <x:v>2023-09-30</x:v>
      </x:c>
      <x:c r="E83" s="2" t="str">
        <x:v>2024-07-01</x:v>
      </x:c>
      <x:c r="F83" s="2" t="n">
        <x:v>8</x:v>
      </x:c>
      <x:c r="G83" s="7" t="n">
        <x:v>9.992280302675933</x:v>
      </x:c>
      <x:c r="H83" s="7" t="n">
        <x:v>-0.19784138620441466</x:v>
      </x:c>
      <x:c r="I83" s="7" t="n">
        <x:v>7.241291435516439</x:v>
      </x:c>
      <x:c r="J83" s="7" t="n">
        <x:f>G83+H83*I83</x:f>
        <x:v>8.559653167163205</x:v>
      </x:c>
      <x:c r="K83" s="7" t="n">
        <x:v>10</x:v>
      </x:c>
      <x:c r="L83" s="7" t="n">
        <x:v>5</x:v>
      </x:c>
      <x:c r="M83" s="7" t="n">
        <x:v>7.5</x:v>
      </x:c>
      <x:c r="N83" s="7" t="n">
        <x:f>(J83-K83)^2</x:f>
        <x:v>2.074598998862986</x:v>
      </x:c>
    </x:row>
    <x:row r="84" ht="27" customHeight="1">
      <x:c r="A84" s="2"/>
      <x:c r="B84" s="2" t="str">
        <x:v>Health Care | organic_sales_growth | RSHPCS</x:v>
      </x:c>
      <x:c r="C84" s="2" t="str">
        <x:v>Last eight</x:v>
      </x:c>
      <x:c r="D84" s="2" t="str">
        <x:v>2023-12-31</x:v>
      </x:c>
      <x:c r="E84" s="2" t="str">
        <x:v>2024-07-01</x:v>
      </x:c>
      <x:c r="F84" s="2" t="n">
        <x:v>8</x:v>
      </x:c>
      <x:c r="G84" s="7" t="n">
        <x:v>9.557466751531894</x:v>
      </x:c>
      <x:c r="H84" s="7" t="n">
        <x:v>-0.07014652129887244</x:v>
      </x:c>
      <x:c r="I84" s="7" t="n">
        <x:v>9.637550476339829</x:v>
      </x:c>
      <x:c r="J84" s="7" t="n">
        <x:f>G84+H84*I84</x:f>
        <x:v>8.881426111774363</x:v>
      </x:c>
      <x:c r="K84" s="7" t="n">
        <x:v>2</x:v>
      </x:c>
      <x:c r="L84" s="7" t="n">
        <x:v>10</x:v>
      </x:c>
      <x:c r="M84" s="7" t="n">
        <x:v>8</x:v>
      </x:c>
      <x:c r="N84" s="7" t="n">
        <x:f>(J84-K84)^2</x:f>
        <x:v>47.354025331810035</x:v>
      </x:c>
    </x:row>
    <x:row r="85" ht="27" customHeight="1">
      <x:c r="A85" s="2"/>
      <x:c r="B85" s="2" t="str">
        <x:v>Health Care | organic_sales_growth | RSHPCS</x:v>
      </x:c>
      <x:c r="C85" s="2" t="str">
        <x:v>Last eight</x:v>
      </x:c>
      <x:c r="D85" s="2" t="str">
        <x:v>2024-03-31</x:v>
      </x:c>
      <x:c r="E85" s="2" t="str">
        <x:v>2024-07-01</x:v>
      </x:c>
      <x:c r="F85" s="2" t="n">
        <x:v>8</x:v>
      </x:c>
      <x:c r="G85" s="7" t="n">
        <x:v>12.111015204013269</x:v>
      </x:c>
      <x:c r="H85" s="7" t="n">
        <x:v>-0.5930231128227998</x:v>
      </x:c>
      <x:c r="I85" s="7" t="n">
        <x:v>2.1559106393390204</x:v>
      </x:c>
      <x:c r="J85" s="7" t="n">
        <x:f>G85+H85*I85</x:f>
        <x:v>10.83251036570465</x:v>
      </x:c>
      <x:c r="K85" s="7" t="n">
        <x:v>2</x:v>
      </x:c>
      <x:c r="L85" s="7" t="n">
        <x:v>2</x:v>
      </x:c>
      <x:c r="M85" s="7" t="n">
        <x:v>6.5</x:v>
      </x:c>
      <x:c r="N85" s="7" t="n">
        <x:f>(J85-K85)^2</x:f>
        <x:v>78.01323936028008</x:v>
      </x:c>
    </x:row>
    <x:row r="86" ht="27" customHeight="1">
      <x:c r="A86" s="2"/>
      <x:c r="B86" s="2" t="str">
        <x:v>Beauty | price_contribution | CUUR0000SEGB02</x:v>
      </x:c>
      <x:c r="C86" s="2" t="str">
        <x:v>Expanding</x:v>
      </x:c>
      <x:c r="D86" s="2" t="str">
        <x:v>2023-06-30</x:v>
      </x:c>
      <x:c r="E86" s="2" t="str">
        <x:v>2024-07-01</x:v>
      </x:c>
      <x:c r="F86" s="2" t="n">
        <x:v>9</x:v>
      </x:c>
      <x:c r="G86" s="7" t="n">
        <x:v>3.626762996727095</x:v>
      </x:c>
      <x:c r="H86" s="7" t="n">
        <x:v>0.9750244449133881</x:v>
      </x:c>
      <x:c r="I86" s="7" t="n">
        <x:v>5.2129322350291885</x:v>
      </x:c>
      <x:c r="J86" s="7" t="n">
        <x:f>G86+H86*I86</x:f>
        <x:v>8.709499355557536</x:v>
      </x:c>
      <x:c r="K86" s="7" t="n">
        <x:v>8</x:v>
      </x:c>
      <x:c r="L86" s="7" t="n">
        <x:v>8</x:v>
      </x:c>
      <x:c r="M86" s="7" t="n">
        <x:v>7.5</x:v>
      </x:c>
      <x:c r="N86" s="7" t="n">
        <x:f>(J86-K86)^2</x:f>
        <x:v>0.5033893355365595</x:v>
      </x:c>
    </x:row>
    <x:row r="87" ht="27" customHeight="1">
      <x:c r="A87" s="2"/>
      <x:c r="B87" s="2" t="str">
        <x:v>Beauty | price_contribution | CUUR0000SEGB02</x:v>
      </x:c>
      <x:c r="C87" s="2" t="str">
        <x:v>Expanding</x:v>
      </x:c>
      <x:c r="D87" s="2" t="str">
        <x:v>2023-09-30</x:v>
      </x:c>
      <x:c r="E87" s="2" t="str">
        <x:v>2024-07-01</x:v>
      </x:c>
      <x:c r="F87" s="2" t="n">
        <x:v>10</x:v>
      </x:c>
      <x:c r="G87" s="7" t="n">
        <x:v>3.619538859126532</x:v>
      </x:c>
      <x:c r="H87" s="7" t="n">
        <x:v>0.9372342099281937</x:v>
      </x:c>
      <x:c r="I87" s="7" t="n">
        <x:v>3.4916634214587683</x:v>
      </x:c>
      <x:c r="J87" s="7" t="n">
        <x:f>G87+H87*I87</x:f>
        <x:v>6.892045267272614</x:v>
      </x:c>
      <x:c r="K87" s="7" t="n">
        <x:v>7</x:v>
      </x:c>
      <x:c r="L87" s="7" t="n">
        <x:v>8</x:v>
      </x:c>
      <x:c r="M87" s="7" t="n">
        <x:v>8</x:v>
      </x:c>
      <x:c r="N87" s="7" t="n">
        <x:f>(J87-K87)^2</x:f>
        <x:v>0.011654224318241294</x:v>
      </x:c>
    </x:row>
    <x:row r="88" ht="27" customHeight="1">
      <x:c r="A88" s="2"/>
      <x:c r="B88" s="2" t="str">
        <x:v>Beauty | price_contribution | CUUR0000SEGB02</x:v>
      </x:c>
      <x:c r="C88" s="2" t="str">
        <x:v>Expanding</x:v>
      </x:c>
      <x:c r="D88" s="2" t="str">
        <x:v>2023-12-31</x:v>
      </x:c>
      <x:c r="E88" s="2" t="str">
        <x:v>2024-07-01</x:v>
      </x:c>
      <x:c r="F88" s="2" t="n">
        <x:v>11</x:v>
      </x:c>
      <x:c r="G88" s="7" t="n">
        <x:v>3.6246133462369228</x:v>
      </x:c>
      <x:c r="H88" s="7" t="n">
        <x:v>0.9397955536809612</x:v>
      </x:c>
      <x:c r="I88" s="7" t="n">
        <x:v>2.5297096725668045</x:v>
      </x:c>
      <x:c r="J88" s="7" t="n">
        <x:f>G88+H88*I88</x:f>
        <x:v>6.002023248618926</x:v>
      </x:c>
      <x:c r="K88" s="7" t="n">
        <x:v>4</x:v>
      </x:c>
      <x:c r="L88" s="7" t="n">
        <x:v>7</x:v>
      </x:c>
      <x:c r="M88" s="7" t="n">
        <x:v>8</x:v>
      </x:c>
      <x:c r="N88" s="7" t="n">
        <x:f>(J88-K88)^2</x:f>
        <x:v>4.008097088010677</x:v>
      </x:c>
    </x:row>
    <x:row r="89" ht="27" customHeight="1">
      <x:c r="A89" s="2"/>
      <x:c r="B89" s="2" t="str">
        <x:v>Beauty | price_contribution | CUUR0000SEGB02</x:v>
      </x:c>
      <x:c r="C89" s="2" t="str">
        <x:v>Expanding</x:v>
      </x:c>
      <x:c r="D89" s="2" t="str">
        <x:v>2024-03-31</x:v>
      </x:c>
      <x:c r="E89" s="2" t="str">
        <x:v>2024-07-01</x:v>
      </x:c>
      <x:c r="F89" s="2" t="n">
        <x:v>12</x:v>
      </x:c>
      <x:c r="G89" s="7" t="n">
        <x:v>3.491936442403931</x:v>
      </x:c>
      <x:c r="H89" s="7" t="n">
        <x:v>0.9218837756353638</x:v>
      </x:c>
      <x:c r="I89" s="7" t="n">
        <x:v>1.4458208241569626</x:v>
      </x:c>
      <x:c r="J89" s="7" t="n">
        <x:f>G89+H89*I89</x:f>
        <x:v>4.824815202669985</x:v>
      </x:c>
      <x:c r="K89" s="7" t="n">
        <x:v>4</x:v>
      </x:c>
      <x:c r="L89" s="7" t="n">
        <x:v>4</x:v>
      </x:c>
      <x:c r="M89" s="7" t="n">
        <x:v>6.75</x:v>
      </x:c>
      <x:c r="N89" s="7" t="n">
        <x:f>(J89-K89)^2</x:f>
        <x:v>0.6803201185555282</x:v>
      </x:c>
    </x:row>
    <x:row r="90" ht="27" customHeight="1">
      <x:c r="A90" s="2"/>
      <x:c r="B90" s="2" t="str">
        <x:v>Beauty | price_contribution | CUUR0000SEGB02</x:v>
      </x:c>
      <x:c r="C90" s="2" t="str">
        <x:v>Last eight</x:v>
      </x:c>
      <x:c r="D90" s="2" t="str">
        <x:v>2023-06-30</x:v>
      </x:c>
      <x:c r="E90" s="2" t="str">
        <x:v>2024-07-01</x:v>
      </x:c>
      <x:c r="F90" s="2" t="n">
        <x:v>8</x:v>
      </x:c>
      <x:c r="G90" s="7" t="n">
        <x:v>3.851741984086175</x:v>
      </x:c>
      <x:c r="H90" s="7" t="n">
        <x:v>0.927159620419612</x:v>
      </x:c>
      <x:c r="I90" s="7" t="n">
        <x:v>5.2129322350291885</x:v>
      </x:c>
      <x:c r="J90" s="7" t="n">
        <x:f>G90+H90*I90</x:f>
        <x:v>8.684962256388996</x:v>
      </x:c>
      <x:c r="K90" s="7" t="n">
        <x:v>8</x:v>
      </x:c>
      <x:c r="L90" s="7" t="n">
        <x:v>8</x:v>
      </x:c>
      <x:c r="M90" s="7" t="n">
        <x:v>7.5</x:v>
      </x:c>
      <x:c r="N90" s="7" t="n">
        <x:f>(J90-K90)^2</x:f>
        <x:v>0.4691732926775045</x:v>
      </x:c>
    </x:row>
    <x:row r="91" ht="27" customHeight="1">
      <x:c r="A91" s="2"/>
      <x:c r="B91" s="2" t="str">
        <x:v>Beauty | price_contribution | CUUR0000SEGB02</x:v>
      </x:c>
      <x:c r="C91" s="2" t="str">
        <x:v>Last eight</x:v>
      </x:c>
      <x:c r="D91" s="2" t="str">
        <x:v>2023-09-30</x:v>
      </x:c>
      <x:c r="E91" s="2" t="str">
        <x:v>2024-07-01</x:v>
      </x:c>
      <x:c r="F91" s="2" t="n">
        <x:v>8</x:v>
      </x:c>
      <x:c r="G91" s="7" t="n">
        <x:v>3.7209404727311086</x:v>
      </x:c>
      <x:c r="H91" s="7" t="n">
        <x:v>0.9164100707517384</x:v>
      </x:c>
      <x:c r="I91" s="7" t="n">
        <x:v>3.4916634214587683</x:v>
      </x:c>
      <x:c r="J91" s="7" t="n">
        <x:f>G91+H91*I91</x:f>
        <x:v>6.920735995831396</x:v>
      </x:c>
      <x:c r="K91" s="7" t="n">
        <x:v>7</x:v>
      </x:c>
      <x:c r="L91" s="7" t="n">
        <x:v>8</x:v>
      </x:c>
      <x:c r="M91" s="7" t="n">
        <x:v>8</x:v>
      </x:c>
      <x:c r="N91" s="7" t="n">
        <x:f>(J91-K91)^2</x:f>
        <x:v>0.006282782356840528</x:v>
      </x:c>
    </x:row>
    <x:row r="92" ht="27" customHeight="1">
      <x:c r="A92" s="2"/>
      <x:c r="B92" s="2" t="str">
        <x:v>Beauty | price_contribution | CUUR0000SEGB02</x:v>
      </x:c>
      <x:c r="C92" s="2" t="str">
        <x:v>Last eight</x:v>
      </x:c>
      <x:c r="D92" s="2" t="str">
        <x:v>2023-12-31</x:v>
      </x:c>
      <x:c r="E92" s="2" t="str">
        <x:v>2024-07-01</x:v>
      </x:c>
      <x:c r="F92" s="2" t="n">
        <x:v>8</x:v>
      </x:c>
      <x:c r="G92" s="7" t="n">
        <x:v>4.117524529342063</x:v>
      </x:c>
      <x:c r="H92" s="7" t="n">
        <x:v>0.8320289727368597</x:v>
      </x:c>
      <x:c r="I92" s="7" t="n">
        <x:v>2.5297096725668045</x:v>
      </x:c>
      <x:c r="J92" s="7" t="n">
        <x:f>G92+H92*I92</x:f>
        <x:v>6.222316269530319</x:v>
      </x:c>
      <x:c r="K92" s="7" t="n">
        <x:v>4</x:v>
      </x:c>
      <x:c r="L92" s="7" t="n">
        <x:v>7</x:v>
      </x:c>
      <x:c r="M92" s="7" t="n">
        <x:v>8</x:v>
      </x:c>
      <x:c r="N92" s="7" t="n">
        <x:f>(J92-K92)^2</x:f>
        <x:v>4.938689601819154</x:v>
      </x:c>
    </x:row>
    <x:row r="93" ht="27" customHeight="1">
      <x:c r="A93" s="2"/>
      <x:c r="B93" s="2" t="str">
        <x:v>Beauty | price_contribution | CUUR0000SEGB02</x:v>
      </x:c>
      <x:c r="C93" s="2" t="str">
        <x:v>Last eight</x:v>
      </x:c>
      <x:c r="D93" s="2" t="str">
        <x:v>2024-03-31</x:v>
      </x:c>
      <x:c r="E93" s="2" t="str">
        <x:v>2024-07-01</x:v>
      </x:c>
      <x:c r="F93" s="2" t="n">
        <x:v>8</x:v>
      </x:c>
      <x:c r="G93" s="7" t="n">
        <x:v>4.429474273169252</x:v>
      </x:c>
      <x:c r="H93" s="7" t="n">
        <x:v>0.701820150810066</x:v>
      </x:c>
      <x:c r="I93" s="7" t="n">
        <x:v>1.4458208241569626</x:v>
      </x:c>
      <x:c r="J93" s="7" t="n">
        <x:f>G93+H93*I93</x:f>
        <x:v>5.444180462023425</x:v>
      </x:c>
      <x:c r="K93" s="7" t="n">
        <x:v>4</x:v>
      </x:c>
      <x:c r="L93" s="7" t="n">
        <x:v>4</x:v>
      </x:c>
      <x:c r="M93" s="7" t="n">
        <x:v>6.75</x:v>
      </x:c>
      <x:c r="N93" s="7" t="n">
        <x:f>(J93-K93)^2</x:f>
        <x:v>2.0856572068901937</x:v>
      </x:c>
    </x:row>
    <x:row r="94" ht="27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2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7" customHeight="1">
      <x:c r="A2" s="2"/>
      <x:c r="B2" s="3" t="str">
        <x:v>2 | Predict only the missing market months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6" customHeight="1">
      <x:c r="A5" s="2"/>
      <x:c r="B5" s="6" t="str">
        <x:v>Series</x:v>
      </x:c>
      <x:c r="C5" s="6" t="str">
        <x:v>Target quarter</x:v>
      </x:c>
      <x:c r="D5" s="6" t="str">
        <x:v>Checkpoint</x:v>
      </x:c>
      <x:c r="E5" s="6" t="str">
        <x:v>Known by</x:v>
      </x:c>
      <x:c r="F5" s="6" t="str">
        <x:v>Missing month</x:v>
      </x:c>
      <x:c r="G5" s="6" t="str">
        <x:v>Method</x:v>
      </x:c>
      <x:c r="H5" s="6" t="str">
        <x:v>Forecast level</x:v>
      </x:c>
      <x:c r="I5" s="6" t="str">
        <x:v>Later actual</x:v>
      </x:c>
      <x:c r="J5" s="6" t="str">
        <x:v>Truth version</x:v>
      </x:c>
      <x:c r="K5" s="6" t="str">
        <x:v>Error %</x:v>
      </x:c>
      <x:c r="L5" s="6" t="str">
        <x:v>Absolute error %</x:v>
      </x:c>
      <x:c r="M5" s="6" t="str">
        <x:v>Evaluation?</x:v>
      </x:c>
    </x:row>
    <x:row r="6" ht="27" customHeight="1">
      <x:c r="A6" s="2"/>
      <x:c r="B6" s="2" t="str">
        <x:v>CUUR0000SEGB</x:v>
      </x:c>
      <x:c r="C6" s="2" t="str">
        <x:v>2023-06-30</x:v>
      </x:c>
      <x:c r="D6" s="2" t="str">
        <x:v>Origin</x:v>
      </x:c>
      <x:c r="E6" s="2" t="str">
        <x:v>2023-04-01</x:v>
      </x:c>
      <x:c r="F6" s="2" t="str">
        <x:v>2023-04-01</x:v>
      </x:c>
      <x:c r="G6" s="2" t="str">
        <x:v>YoY carry</x:v>
      </x:c>
      <x:c r="H6" s="7" t="n">
        <x:v>175.3656593993077</x:v>
      </x:c>
      <x:c r="I6" s="7" t="n">
        <x:v>174.724</x:v>
      </x:c>
      <x:c r="J6" s="2" t="str">
        <x:v>2023-07-01</x:v>
      </x:c>
      <x:c r="K6" s="7" t="n">
        <x:f>100*(H6/I6-1)</x:f>
        <x:v>0.3672417065244016</x:v>
      </x:c>
      <x:c r="L6" s="7" t="n">
        <x:f>ABS(K6)</x:f>
        <x:v>0.3672417065244016</x:v>
      </x:c>
      <x:c r="M6" s="2" t="str">
        <x:v>Calibration</x:v>
      </x:c>
    </x:row>
    <x:row r="7" ht="27" customHeight="1">
      <x:c r="A7" s="2"/>
      <x:c r="B7" s="2" t="str">
        <x:v>CUUR0000SEGB</x:v>
      </x:c>
      <x:c r="C7" s="2" t="str">
        <x:v>2023-06-30</x:v>
      </x:c>
      <x:c r="D7" s="2" t="str">
        <x:v>Origin</x:v>
      </x:c>
      <x:c r="E7" s="2" t="str">
        <x:v>2023-04-01</x:v>
      </x:c>
      <x:c r="F7" s="2" t="str">
        <x:v>2023-05-01</x:v>
      </x:c>
      <x:c r="G7" s="2" t="str">
        <x:v>YoY carry</x:v>
      </x:c>
      <x:c r="H7" s="7" t="n">
        <x:v>175.85947216300443</x:v>
      </x:c>
      <x:c r="I7" s="7" t="n">
        <x:v>176.484</x:v>
      </x:c>
      <x:c r="J7" s="2" t="str">
        <x:v>2023-07-01</x:v>
      </x:c>
      <x:c r="K7" s="7" t="n">
        <x:f>100*(H7/I7-1)</x:f>
        <x:v>-0.35387221334262087</x:v>
      </x:c>
      <x:c r="L7" s="7" t="n">
        <x:f>ABS(K7)</x:f>
        <x:v>0.35387221334262087</x:v>
      </x:c>
      <x:c r="M7" s="2" t="str">
        <x:v>Calibration</x:v>
      </x:c>
    </x:row>
    <x:row r="8" ht="27" customHeight="1">
      <x:c r="A8" s="2"/>
      <x:c r="B8" s="2" t="str">
        <x:v>CUUR0000SEGB</x:v>
      </x:c>
      <x:c r="C8" s="2" t="str">
        <x:v>2023-06-30</x:v>
      </x:c>
      <x:c r="D8" s="2" t="str">
        <x:v>Origin</x:v>
      </x:c>
      <x:c r="E8" s="2" t="str">
        <x:v>2023-04-01</x:v>
      </x:c>
      <x:c r="F8" s="2" t="str">
        <x:v>2023-06-01</x:v>
      </x:c>
      <x:c r="G8" s="2" t="str">
        <x:v>YoY carry</x:v>
      </x:c>
      <x:c r="H8" s="7" t="n">
        <x:v>177.12239027232857</x:v>
      </x:c>
      <x:c r="I8" s="7" t="n">
        <x:v>176.846</x:v>
      </x:c>
      <x:c r="J8" s="2" t="str">
        <x:v>2023-07-27</x:v>
      </x:c>
      <x:c r="K8" s="7" t="n">
        <x:f>100*(H8/I8-1)</x:f>
        <x:v>0.15628867620900433</x:v>
      </x:c>
      <x:c r="L8" s="7" t="n">
        <x:f>ABS(K8)</x:f>
        <x:v>0.15628867620900433</x:v>
      </x:c>
      <x:c r="M8" s="2" t="str">
        <x:v>Calibration</x:v>
      </x:c>
    </x:row>
    <x:row r="9" ht="27" customHeight="1">
      <x:c r="A9" s="2"/>
      <x:c r="B9" s="2" t="str">
        <x:v>CUUR0000SEGB</x:v>
      </x:c>
      <x:c r="C9" s="2" t="str">
        <x:v>2023-06-30</x:v>
      </x:c>
      <x:c r="D9" s="2" t="str">
        <x:v>Origin</x:v>
      </x:c>
      <x:c r="E9" s="2" t="str">
        <x:v>2023-04-01</x:v>
      </x:c>
      <x:c r="F9" s="2" t="str">
        <x:v>2023-04-01</x:v>
      </x:c>
      <x:c r="G9" s="2" t="str">
        <x:v>Flat level</x:v>
      </x:c>
      <x:c r="H9" s="7" t="n">
        <x:v>172.394</x:v>
      </x:c>
      <x:c r="I9" s="7" t="n">
        <x:v>174.724</x:v>
      </x:c>
      <x:c r="J9" s="2" t="str">
        <x:v>2023-07-01</x:v>
      </x:c>
      <x:c r="K9" s="7" t="n">
        <x:f>100*(H9/I9-1)</x:f>
        <x:v>-1.3335317414894243</x:v>
      </x:c>
      <x:c r="L9" s="7" t="n">
        <x:f>ABS(K9)</x:f>
        <x:v>1.3335317414894243</x:v>
      </x:c>
      <x:c r="M9" s="2" t="str">
        <x:v>Calibration</x:v>
      </x:c>
    </x:row>
    <x:row r="10" ht="27" customHeight="1">
      <x:c r="A10" s="2"/>
      <x:c r="B10" s="2" t="str">
        <x:v>CUUR0000SEGB</x:v>
      </x:c>
      <x:c r="C10" s="2" t="str">
        <x:v>2023-06-30</x:v>
      </x:c>
      <x:c r="D10" s="2" t="str">
        <x:v>Origin</x:v>
      </x:c>
      <x:c r="E10" s="2" t="str">
        <x:v>2023-04-01</x:v>
      </x:c>
      <x:c r="F10" s="2" t="str">
        <x:v>2023-05-01</x:v>
      </x:c>
      <x:c r="G10" s="2" t="str">
        <x:v>Flat level</x:v>
      </x:c>
      <x:c r="H10" s="7" t="n">
        <x:v>172.394</x:v>
      </x:c>
      <x:c r="I10" s="7" t="n">
        <x:v>176.484</x:v>
      </x:c>
      <x:c r="J10" s="2" t="str">
        <x:v>2023-07-01</x:v>
      </x:c>
      <x:c r="K10" s="7" t="n">
        <x:f>100*(H10/I10-1)</x:f>
        <x:v>-2.3174905373858246</x:v>
      </x:c>
      <x:c r="L10" s="7" t="n">
        <x:f>ABS(K10)</x:f>
        <x:v>2.3174905373858246</x:v>
      </x:c>
      <x:c r="M10" s="2" t="str">
        <x:v>Calibration</x:v>
      </x:c>
    </x:row>
    <x:row r="11" ht="27" customHeight="1">
      <x:c r="A11" s="2"/>
      <x:c r="B11" s="2" t="str">
        <x:v>CUUR0000SEGB</x:v>
      </x:c>
      <x:c r="C11" s="2" t="str">
        <x:v>2023-06-30</x:v>
      </x:c>
      <x:c r="D11" s="2" t="str">
        <x:v>Origin</x:v>
      </x:c>
      <x:c r="E11" s="2" t="str">
        <x:v>2023-04-01</x:v>
      </x:c>
      <x:c r="F11" s="2" t="str">
        <x:v>2023-06-01</x:v>
      </x:c>
      <x:c r="G11" s="2" t="str">
        <x:v>Flat level</x:v>
      </x:c>
      <x:c r="H11" s="7" t="n">
        <x:v>172.394</x:v>
      </x:c>
      <x:c r="I11" s="7" t="n">
        <x:v>176.846</x:v>
      </x:c>
      <x:c r="J11" s="2" t="str">
        <x:v>2023-07-27</x:v>
      </x:c>
      <x:c r="K11" s="7" t="n">
        <x:f>100*(H11/I11-1)</x:f>
        <x:v>-2.5174445562806014</x:v>
      </x:c>
      <x:c r="L11" s="7" t="n">
        <x:f>ABS(K11)</x:f>
        <x:v>2.5174445562806014</x:v>
      </x:c>
      <x:c r="M11" s="2" t="str">
        <x:v>Calibration</x:v>
      </x:c>
    </x:row>
    <x:row r="12" ht="27" customHeight="1">
      <x:c r="A12" s="2"/>
      <x:c r="B12" s="2" t="str">
        <x:v>CUUR0000SEGB</x:v>
      </x:c>
      <x:c r="C12" s="2" t="str">
        <x:v>2023-06-30</x:v>
      </x:c>
      <x:c r="D12" s="2" t="str">
        <x:v>Origin</x:v>
      </x:c>
      <x:c r="E12" s="2" t="str">
        <x:v>2023-04-01</x:v>
      </x:c>
      <x:c r="F12" s="2" t="str">
        <x:v>2023-04-01</x:v>
      </x:c>
      <x:c r="G12" s="2" t="str">
        <x:v>Recent trend</x:v>
      </x:c>
      <x:c r="H12" s="7" t="n">
        <x:v>173.73000000000002</x:v>
      </x:c>
      <x:c r="I12" s="7" t="n">
        <x:v>174.724</x:v>
      </x:c>
      <x:c r="J12" s="2" t="str">
        <x:v>2023-07-01</x:v>
      </x:c>
      <x:c r="K12" s="7" t="n">
        <x:f>100*(H12/I12-1)</x:f>
        <x:v>-0.5688972322062114</x:v>
      </x:c>
      <x:c r="L12" s="7" t="n">
        <x:f>ABS(K12)</x:f>
        <x:v>0.5688972322062114</x:v>
      </x:c>
      <x:c r="M12" s="2" t="str">
        <x:v>Calibration</x:v>
      </x:c>
    </x:row>
    <x:row r="13" ht="27" customHeight="1">
      <x:c r="A13" s="2"/>
      <x:c r="B13" s="2" t="str">
        <x:v>CUUR0000SEGB</x:v>
      </x:c>
      <x:c r="C13" s="2" t="str">
        <x:v>2023-06-30</x:v>
      </x:c>
      <x:c r="D13" s="2" t="str">
        <x:v>Origin</x:v>
      </x:c>
      <x:c r="E13" s="2" t="str">
        <x:v>2023-04-01</x:v>
      </x:c>
      <x:c r="F13" s="2" t="str">
        <x:v>2023-05-01</x:v>
      </x:c>
      <x:c r="G13" s="2" t="str">
        <x:v>Recent trend</x:v>
      </x:c>
      <x:c r="H13" s="7" t="n">
        <x:v>174.39800000000002</x:v>
      </x:c>
      <x:c r="I13" s="7" t="n">
        <x:v>176.484</x:v>
      </x:c>
      <x:c r="J13" s="2" t="str">
        <x:v>2023-07-01</x:v>
      </x:c>
      <x:c r="K13" s="7" t="n">
        <x:f>100*(H13/I13-1)</x:f>
        <x:v>-1.18197683642709</x:v>
      </x:c>
      <x:c r="L13" s="7" t="n">
        <x:f>ABS(K13)</x:f>
        <x:v>1.18197683642709</x:v>
      </x:c>
      <x:c r="M13" s="2" t="str">
        <x:v>Calibration</x:v>
      </x:c>
    </x:row>
    <x:row r="14" ht="27" customHeight="1">
      <x:c r="A14" s="2"/>
      <x:c r="B14" s="2" t="str">
        <x:v>CUUR0000SEGB</x:v>
      </x:c>
      <x:c r="C14" s="2" t="str">
        <x:v>2023-06-30</x:v>
      </x:c>
      <x:c r="D14" s="2" t="str">
        <x:v>Origin</x:v>
      </x:c>
      <x:c r="E14" s="2" t="str">
        <x:v>2023-04-01</x:v>
      </x:c>
      <x:c r="F14" s="2" t="str">
        <x:v>2023-06-01</x:v>
      </x:c>
      <x:c r="G14" s="2" t="str">
        <x:v>Recent trend</x:v>
      </x:c>
      <x:c r="H14" s="7" t="n">
        <x:v>175.06600000000003</x:v>
      </x:c>
      <x:c r="I14" s="7" t="n">
        <x:v>176.846</x:v>
      </x:c>
      <x:c r="J14" s="2" t="str">
        <x:v>2023-07-27</x:v>
      </x:c>
      <x:c r="K14" s="7" t="n">
        <x:f>100*(H14/I14-1)</x:f>
        <x:v>-1.0065254515227773</x:v>
      </x:c>
      <x:c r="L14" s="7" t="n">
        <x:f>ABS(K14)</x:f>
        <x:v>1.0065254515227773</x:v>
      </x:c>
      <x:c r="M14" s="2" t="str">
        <x:v>Calibration</x:v>
      </x:c>
    </x:row>
    <x:row r="15" ht="27" customHeight="1">
      <x:c r="A15" s="2"/>
      <x:c r="B15" s="2" t="str">
        <x:v>CUUR0000SEGB</x:v>
      </x:c>
      <x:c r="C15" s="2" t="str">
        <x:v>2023-06-30</x:v>
      </x:c>
      <x:c r="D15" s="2" t="str">
        <x:v>Origin</x:v>
      </x:c>
      <x:c r="E15" s="2" t="str">
        <x:v>2023-04-01</x:v>
      </x:c>
      <x:c r="F15" s="2" t="str">
        <x:v>2023-04-01</x:v>
      </x:c>
      <x:c r="G15" s="2" t="str">
        <x:v>Seasonal step</x:v>
      </x:c>
      <x:c r="H15" s="7" t="n">
        <x:v>172.57611347961094</x:v>
      </x:c>
      <x:c r="I15" s="7" t="n">
        <x:v>174.724</x:v>
      </x:c>
      <x:c r="J15" s="2" t="str">
        <x:v>2023-07-01</x:v>
      </x:c>
      <x:c r="K15" s="7" t="n">
        <x:f>100*(H15/I15-1)</x:f>
        <x:v>-1.2293025116120626</x:v>
      </x:c>
      <x:c r="L15" s="7" t="n">
        <x:f>ABS(K15)</x:f>
        <x:v>1.2293025116120626</x:v>
      </x:c>
      <x:c r="M15" s="2" t="str">
        <x:v>Calibration</x:v>
      </x:c>
    </x:row>
    <x:row r="16" ht="27" customHeight="1">
      <x:c r="A16" s="2"/>
      <x:c r="B16" s="2" t="str">
        <x:v>CUUR0000SEGB</x:v>
      </x:c>
      <x:c r="C16" s="2" t="str">
        <x:v>2023-06-30</x:v>
      </x:c>
      <x:c r="D16" s="2" t="str">
        <x:v>Origin</x:v>
      </x:c>
      <x:c r="E16" s="2" t="str">
        <x:v>2023-04-01</x:v>
      </x:c>
      <x:c r="F16" s="2" t="str">
        <x:v>2023-05-01</x:v>
      </x:c>
      <x:c r="G16" s="2" t="str">
        <x:v>Seasonal step</x:v>
      </x:c>
      <x:c r="H16" s="7" t="n">
        <x:v>171.94825956202806</x:v>
      </x:c>
      <x:c r="I16" s="7" t="n">
        <x:v>176.484</x:v>
      </x:c>
      <x:c r="J16" s="2" t="str">
        <x:v>2023-07-01</x:v>
      </x:c>
      <x:c r="K16" s="7" t="n">
        <x:f>100*(H16/I16-1)</x:f>
        <x:v>-2.5700575904738954</x:v>
      </x:c>
      <x:c r="L16" s="7" t="n">
        <x:f>ABS(K16)</x:f>
        <x:v>2.5700575904738954</x:v>
      </x:c>
      <x:c r="M16" s="2" t="str">
        <x:v>Calibration</x:v>
      </x:c>
    </x:row>
    <x:row r="17" ht="27" customHeight="1">
      <x:c r="A17" s="2"/>
      <x:c r="B17" s="2" t="str">
        <x:v>CUUR0000SEGB</x:v>
      </x:c>
      <x:c r="C17" s="2" t="str">
        <x:v>2023-06-30</x:v>
      </x:c>
      <x:c r="D17" s="2" t="str">
        <x:v>Origin</x:v>
      </x:c>
      <x:c r="E17" s="2" t="str">
        <x:v>2023-04-01</x:v>
      </x:c>
      <x:c r="F17" s="2" t="str">
        <x:v>2023-06-01</x:v>
      </x:c>
      <x:c r="G17" s="2" t="str">
        <x:v>Seasonal step</x:v>
      </x:c>
      <x:c r="H17" s="7" t="n">
        <x:v>171.53690524175414</x:v>
      </x:c>
      <x:c r="I17" s="7" t="n">
        <x:v>176.846</x:v>
      </x:c>
      <x:c r="J17" s="2" t="str">
        <x:v>2023-07-27</x:v>
      </x:c>
      <x:c r="K17" s="7" t="n">
        <x:f>100*(H17/I17-1)</x:f>
        <x:v>-3.0021005610790574</x:v>
      </x:c>
      <x:c r="L17" s="7" t="n">
        <x:f>ABS(K17)</x:f>
        <x:v>3.0021005610790574</x:v>
      </x:c>
      <x:c r="M17" s="2" t="str">
        <x:v>Calibration</x:v>
      </x:c>
    </x:row>
    <x:row r="18" ht="27" customHeight="1">
      <x:c r="A18" s="2"/>
      <x:c r="B18" s="2" t="str">
        <x:v>CUUR0000SEGB</x:v>
      </x:c>
      <x:c r="C18" s="2" t="str">
        <x:v>2023-06-30</x:v>
      </x:c>
      <x:c r="D18" s="2" t="str">
        <x:v>Two months</x:v>
      </x:c>
      <x:c r="E18" s="2" t="str">
        <x:v>2023-07-01</x:v>
      </x:c>
      <x:c r="F18" s="2" t="str">
        <x:v>2023-06-01</x:v>
      </x:c>
      <x:c r="G18" s="2" t="str">
        <x:v>YoY carry</x:v>
      </x:c>
      <x:c r="H18" s="7" t="n">
        <x:v>176.78217935810446</x:v>
      </x:c>
      <x:c r="I18" s="7" t="n">
        <x:v>176.846</x:v>
      </x:c>
      <x:c r="J18" s="2" t="str">
        <x:v>2023-07-27</x:v>
      </x:c>
      <x:c r="K18" s="7" t="n">
        <x:f>100*(H18/I18-1)</x:f>
        <x:v>-0.036088258651900684</x:v>
      </x:c>
      <x:c r="L18" s="7" t="n">
        <x:f>ABS(K18)</x:f>
        <x:v>0.036088258651900684</x:v>
      </x:c>
      <x:c r="M18" s="2" t="str">
        <x:v>Calibration</x:v>
      </x:c>
    </x:row>
    <x:row r="19" ht="27" customHeight="1">
      <x:c r="A19" s="2"/>
      <x:c r="B19" s="2" t="str">
        <x:v>CUUR0000SEGB</x:v>
      </x:c>
      <x:c r="C19" s="2" t="str">
        <x:v>2023-06-30</x:v>
      </x:c>
      <x:c r="D19" s="2" t="str">
        <x:v>Two months</x:v>
      </x:c>
      <x:c r="E19" s="2" t="str">
        <x:v>2023-07-01</x:v>
      </x:c>
      <x:c r="F19" s="2" t="str">
        <x:v>2023-06-01</x:v>
      </x:c>
      <x:c r="G19" s="2" t="str">
        <x:v>Flat level</x:v>
      </x:c>
      <x:c r="H19" s="7" t="n">
        <x:v>176.484</x:v>
      </x:c>
      <x:c r="I19" s="7" t="n">
        <x:v>176.846</x:v>
      </x:c>
      <x:c r="J19" s="2" t="str">
        <x:v>2023-07-27</x:v>
      </x:c>
      <x:c r="K19" s="7" t="n">
        <x:f>100*(H19/I19-1)</x:f>
        <x:v>-0.2046978727254234</x:v>
      </x:c>
      <x:c r="L19" s="7" t="n">
        <x:f>ABS(K19)</x:f>
        <x:v>0.2046978727254234</x:v>
      </x:c>
      <x:c r="M19" s="2" t="str">
        <x:v>Calibration</x:v>
      </x:c>
    </x:row>
    <x:row r="20" ht="27" customHeight="1">
      <x:c r="A20" s="2"/>
      <x:c r="B20" s="2" t="str">
        <x:v>CUUR0000SEGB</x:v>
      </x:c>
      <x:c r="C20" s="2" t="str">
        <x:v>2023-06-30</x:v>
      </x:c>
      <x:c r="D20" s="2" t="str">
        <x:v>Two months</x:v>
      </x:c>
      <x:c r="E20" s="2" t="str">
        <x:v>2023-07-01</x:v>
      </x:c>
      <x:c r="F20" s="2" t="str">
        <x:v>2023-06-01</x:v>
      </x:c>
      <x:c r="G20" s="2" t="str">
        <x:v>Recent trend</x:v>
      </x:c>
      <x:c r="H20" s="7" t="n">
        <x:v>177.82550000000003</x:v>
      </x:c>
      <x:c r="I20" s="7" t="n">
        <x:v>176.846</x:v>
      </x:c>
      <x:c r="J20" s="2" t="str">
        <x:v>2023-07-27</x:v>
      </x:c>
      <x:c r="K20" s="7" t="n">
        <x:f>100*(H20/I20-1)</x:f>
        <x:v>0.553871730205957</x:v>
      </x:c>
      <x:c r="L20" s="7" t="n">
        <x:f>ABS(K20)</x:f>
        <x:v>0.553871730205957</x:v>
      </x:c>
      <x:c r="M20" s="2" t="str">
        <x:v>Calibration</x:v>
      </x:c>
    </x:row>
    <x:row r="21" ht="27" customHeight="1">
      <x:c r="A21" s="2"/>
      <x:c r="B21" s="2" t="str">
        <x:v>CUUR0000SEGB</x:v>
      </x:c>
      <x:c r="C21" s="2" t="str">
        <x:v>2023-06-30</x:v>
      </x:c>
      <x:c r="D21" s="2" t="str">
        <x:v>Two months</x:v>
      </x:c>
      <x:c r="E21" s="2" t="str">
        <x:v>2023-07-01</x:v>
      </x:c>
      <x:c r="F21" s="2" t="str">
        <x:v>2023-06-01</x:v>
      </x:c>
      <x:c r="G21" s="2" t="str">
        <x:v>Seasonal step</x:v>
      </x:c>
      <x:c r="H21" s="7" t="n">
        <x:v>176.06179476195845</x:v>
      </x:c>
      <x:c r="I21" s="7" t="n">
        <x:v>176.846</x:v>
      </x:c>
      <x:c r="J21" s="2" t="str">
        <x:v>2023-07-27</x:v>
      </x:c>
      <x:c r="K21" s="7" t="n">
        <x:f>100*(H21/I21-1)</x:f>
        <x:v>-0.4434396243293892</x:v>
      </x:c>
      <x:c r="L21" s="7" t="n">
        <x:f>ABS(K21)</x:f>
        <x:v>0.4434396243293892</x:v>
      </x:c>
      <x:c r="M21" s="2" t="str">
        <x:v>Calibration</x:v>
      </x:c>
    </x:row>
    <x:row r="22" ht="27" customHeight="1">
      <x:c r="A22" s="2"/>
      <x:c r="B22" s="2" t="str">
        <x:v>CUUR0000SEGB</x:v>
      </x:c>
      <x:c r="C22" s="2" t="str">
        <x:v>2023-09-30</x:v>
      </x:c>
      <x:c r="D22" s="2" t="str">
        <x:v>Origin</x:v>
      </x:c>
      <x:c r="E22" s="2" t="str">
        <x:v>2023-07-01</x:v>
      </x:c>
      <x:c r="F22" s="2" t="str">
        <x:v>2023-07-01</x:v>
      </x:c>
      <x:c r="G22" s="2" t="str">
        <x:v>YoY carry</x:v>
      </x:c>
      <x:c r="H22" s="7" t="n">
        <x:v>178.5986140325852</x:v>
      </x:c>
      <x:c r="I22" s="7" t="n">
        <x:v>177.651</x:v>
      </x:c>
      <x:c r="J22" s="2" t="str">
        <x:v>2023-10-01</x:v>
      </x:c>
      <x:c r="K22" s="7" t="n">
        <x:f>100*(H22/I22-1)</x:f>
        <x:v>0.5334132836770866</x:v>
      </x:c>
      <x:c r="L22" s="7" t="n">
        <x:f>ABS(K22)</x:f>
        <x:v>0.5334132836770866</x:v>
      </x:c>
      <x:c r="M22" s="2" t="str">
        <x:v>Calibration</x:v>
      </x:c>
    </x:row>
    <x:row r="23" ht="27" customHeight="1">
      <x:c r="A23" s="2"/>
      <x:c r="B23" s="2" t="str">
        <x:v>CUUR0000SEGB</x:v>
      </x:c>
      <x:c r="C23" s="2" t="str">
        <x:v>2023-09-30</x:v>
      </x:c>
      <x:c r="D23" s="2" t="str">
        <x:v>Origin</x:v>
      </x:c>
      <x:c r="E23" s="2" t="str">
        <x:v>2023-07-01</x:v>
      </x:c>
      <x:c r="F23" s="2" t="str">
        <x:v>2023-08-01</x:v>
      </x:c>
      <x:c r="G23" s="2" t="str">
        <x:v>YoY carry</x:v>
      </x:c>
      <x:c r="H23" s="7" t="n">
        <x:v>181.29707260727</x:v>
      </x:c>
      <x:c r="I23" s="7" t="n">
        <x:v>178.14</x:v>
      </x:c>
      <x:c r="J23" s="2" t="str">
        <x:v>2023-10-01</x:v>
      </x:c>
      <x:c r="K23" s="7" t="n">
        <x:f>100*(H23/I23-1)</x:f>
        <x:v>1.7722423977040602</x:v>
      </x:c>
      <x:c r="L23" s="7" t="n">
        <x:f>ABS(K23)</x:f>
        <x:v>1.7722423977040602</x:v>
      </x:c>
      <x:c r="M23" s="2" t="str">
        <x:v>Calibration</x:v>
      </x:c>
    </x:row>
    <x:row r="24" ht="27" customHeight="1">
      <x:c r="A24" s="2"/>
      <x:c r="B24" s="2" t="str">
        <x:v>CUUR0000SEGB</x:v>
      </x:c>
      <x:c r="C24" s="2" t="str">
        <x:v>2023-09-30</x:v>
      </x:c>
      <x:c r="D24" s="2" t="str">
        <x:v>Origin</x:v>
      </x:c>
      <x:c r="E24" s="2" t="str">
        <x:v>2023-07-01</x:v>
      </x:c>
      <x:c r="F24" s="2" t="str">
        <x:v>2023-09-01</x:v>
      </x:c>
      <x:c r="G24" s="2" t="str">
        <x:v>YoY carry</x:v>
      </x:c>
      <x:c r="H24" s="7" t="n">
        <x:v>181.98237844973158</x:v>
      </x:c>
      <x:c r="I24" s="7" t="n">
        <x:v>178.898</x:v>
      </x:c>
      <x:c r="J24" s="2" t="str">
        <x:v>2023-10-17</x:v>
      </x:c>
      <x:c r="K24" s="7" t="n">
        <x:f>100*(H24/I24-1)</x:f>
        <x:v>1.7240988997817785</x:v>
      </x:c>
      <x:c r="L24" s="7" t="n">
        <x:f>ABS(K24)</x:f>
        <x:v>1.7240988997817785</x:v>
      </x:c>
      <x:c r="M24" s="2" t="str">
        <x:v>Calibration</x:v>
      </x:c>
    </x:row>
    <x:row r="25" ht="27" customHeight="1">
      <x:c r="A25" s="2"/>
      <x:c r="B25" s="2" t="str">
        <x:v>CUUR0000SEGB</x:v>
      </x:c>
      <x:c r="C25" s="2" t="str">
        <x:v>2023-09-30</x:v>
      </x:c>
      <x:c r="D25" s="2" t="str">
        <x:v>Origin</x:v>
      </x:c>
      <x:c r="E25" s="2" t="str">
        <x:v>2023-07-01</x:v>
      </x:c>
      <x:c r="F25" s="2" t="str">
        <x:v>2023-07-01</x:v>
      </x:c>
      <x:c r="G25" s="2" t="str">
        <x:v>Flat level</x:v>
      </x:c>
      <x:c r="H25" s="7" t="n">
        <x:v>176.484</x:v>
      </x:c>
      <x:c r="I25" s="7" t="n">
        <x:v>177.651</x:v>
      </x:c>
      <x:c r="J25" s="2" t="str">
        <x:v>2023-10-01</x:v>
      </x:c>
      <x:c r="K25" s="7" t="n">
        <x:f>100*(H25/I25-1)</x:f>
        <x:v>-0.6569059560599166</x:v>
      </x:c>
      <x:c r="L25" s="7" t="n">
        <x:f>ABS(K25)</x:f>
        <x:v>0.6569059560599166</x:v>
      </x:c>
      <x:c r="M25" s="2" t="str">
        <x:v>Calibration</x:v>
      </x:c>
    </x:row>
    <x:row r="26" ht="27" customHeight="1">
      <x:c r="A26" s="2"/>
      <x:c r="B26" s="2" t="str">
        <x:v>CUUR0000SEGB</x:v>
      </x:c>
      <x:c r="C26" s="2" t="str">
        <x:v>2023-09-30</x:v>
      </x:c>
      <x:c r="D26" s="2" t="str">
        <x:v>Origin</x:v>
      </x:c>
      <x:c r="E26" s="2" t="str">
        <x:v>2023-07-01</x:v>
      </x:c>
      <x:c r="F26" s="2" t="str">
        <x:v>2023-08-01</x:v>
      </x:c>
      <x:c r="G26" s="2" t="str">
        <x:v>Flat level</x:v>
      </x:c>
      <x:c r="H26" s="7" t="n">
        <x:v>176.484</x:v>
      </x:c>
      <x:c r="I26" s="7" t="n">
        <x:v>178.14</x:v>
      </x:c>
      <x:c r="J26" s="2" t="str">
        <x:v>2023-10-01</x:v>
      </x:c>
      <x:c r="K26" s="7" t="n">
        <x:f>100*(H26/I26-1)</x:f>
        <x:v>-0.9296059279218505</x:v>
      </x:c>
      <x:c r="L26" s="7" t="n">
        <x:f>ABS(K26)</x:f>
        <x:v>0.9296059279218505</x:v>
      </x:c>
      <x:c r="M26" s="2" t="str">
        <x:v>Calibration</x:v>
      </x:c>
    </x:row>
    <x:row r="27" ht="27" customHeight="1">
      <x:c r="A27" s="2"/>
      <x:c r="B27" s="2" t="str">
        <x:v>CUUR0000SEGB</x:v>
      </x:c>
      <x:c r="C27" s="2" t="str">
        <x:v>2023-09-30</x:v>
      </x:c>
      <x:c r="D27" s="2" t="str">
        <x:v>Origin</x:v>
      </x:c>
      <x:c r="E27" s="2" t="str">
        <x:v>2023-07-01</x:v>
      </x:c>
      <x:c r="F27" s="2" t="str">
        <x:v>2023-09-01</x:v>
      </x:c>
      <x:c r="G27" s="2" t="str">
        <x:v>Flat level</x:v>
      </x:c>
      <x:c r="H27" s="7" t="n">
        <x:v>176.484</x:v>
      </x:c>
      <x:c r="I27" s="7" t="n">
        <x:v>178.898</x:v>
      </x:c>
      <x:c r="J27" s="2" t="str">
        <x:v>2023-10-17</x:v>
      </x:c>
      <x:c r="K27" s="7" t="n">
        <x:f>100*(H27/I27-1)</x:f>
        <x:v>-1.349372267996285</x:v>
      </x:c>
      <x:c r="L27" s="7" t="n">
        <x:f>ABS(K27)</x:f>
        <x:v>1.349372267996285</x:v>
      </x:c>
      <x:c r="M27" s="2" t="str">
        <x:v>Calibration</x:v>
      </x:c>
    </x:row>
    <x:row r="28" ht="27" customHeight="1">
      <x:c r="A28" s="2"/>
      <x:c r="B28" s="2" t="str">
        <x:v>CUUR0000SEGB</x:v>
      </x:c>
      <x:c r="C28" s="2" t="str">
        <x:v>2023-09-30</x:v>
      </x:c>
      <x:c r="D28" s="2" t="str">
        <x:v>Origin</x:v>
      </x:c>
      <x:c r="E28" s="2" t="str">
        <x:v>2023-07-01</x:v>
      </x:c>
      <x:c r="F28" s="2" t="str">
        <x:v>2023-07-01</x:v>
      </x:c>
      <x:c r="G28" s="2" t="str">
        <x:v>Recent trend</x:v>
      </x:c>
      <x:c r="H28" s="7" t="n">
        <x:v>179.16700000000003</x:v>
      </x:c>
      <x:c r="I28" s="7" t="n">
        <x:v>177.651</x:v>
      </x:c>
      <x:c r="J28" s="2" t="str">
        <x:v>2023-10-01</x:v>
      </x:c>
      <x:c r="K28" s="7" t="n">
        <x:f>100*(H28/I28-1)</x:f>
        <x:v>0.8533585513169184</x:v>
      </x:c>
      <x:c r="L28" s="7" t="n">
        <x:f>ABS(K28)</x:f>
        <x:v>0.8533585513169184</x:v>
      </x:c>
      <x:c r="M28" s="2" t="str">
        <x:v>Calibration</x:v>
      </x:c>
    </x:row>
    <x:row r="29" ht="27" customHeight="1">
      <x:c r="A29" s="2"/>
      <x:c r="B29" s="2" t="str">
        <x:v>CUUR0000SEGB</x:v>
      </x:c>
      <x:c r="C29" s="2" t="str">
        <x:v>2023-09-30</x:v>
      </x:c>
      <x:c r="D29" s="2" t="str">
        <x:v>Origin</x:v>
      </x:c>
      <x:c r="E29" s="2" t="str">
        <x:v>2023-07-01</x:v>
      </x:c>
      <x:c r="F29" s="2" t="str">
        <x:v>2023-08-01</x:v>
      </x:c>
      <x:c r="G29" s="2" t="str">
        <x:v>Recent trend</x:v>
      </x:c>
      <x:c r="H29" s="7" t="n">
        <x:v>180.50850000000003</x:v>
      </x:c>
      <x:c r="I29" s="7" t="n">
        <x:v>178.14</x:v>
      </x:c>
      <x:c r="J29" s="2" t="str">
        <x:v>2023-10-01</x:v>
      </x:c>
      <x:c r="K29" s="7" t="n">
        <x:f>100*(H29/I29-1)</x:f>
        <x:v>1.3295722465476834</x:v>
      </x:c>
      <x:c r="L29" s="7" t="n">
        <x:f>ABS(K29)</x:f>
        <x:v>1.3295722465476834</x:v>
      </x:c>
      <x:c r="M29" s="2" t="str">
        <x:v>Calibration</x:v>
      </x:c>
    </x:row>
    <x:row r="30" ht="27" customHeight="1">
      <x:c r="A30" s="2"/>
      <x:c r="B30" s="2" t="str">
        <x:v>CUUR0000SEGB</x:v>
      </x:c>
      <x:c r="C30" s="2" t="str">
        <x:v>2023-09-30</x:v>
      </x:c>
      <x:c r="D30" s="2" t="str">
        <x:v>Origin</x:v>
      </x:c>
      <x:c r="E30" s="2" t="str">
        <x:v>2023-07-01</x:v>
      </x:c>
      <x:c r="F30" s="2" t="str">
        <x:v>2023-09-01</x:v>
      </x:c>
      <x:c r="G30" s="2" t="str">
        <x:v>Recent trend</x:v>
      </x:c>
      <x:c r="H30" s="7" t="n">
        <x:v>181.85000000000005</x:v>
      </x:c>
      <x:c r="I30" s="7" t="n">
        <x:v>178.898</x:v>
      </x:c>
      <x:c r="J30" s="2" t="str">
        <x:v>2023-10-17</x:v>
      </x:c>
      <x:c r="K30" s="7" t="n">
        <x:f>100*(H30/I30-1)</x:f>
        <x:v>1.650102292926725</x:v>
      </x:c>
      <x:c r="L30" s="7" t="n">
        <x:f>ABS(K30)</x:f>
        <x:v>1.650102292926725</x:v>
      </x:c>
      <x:c r="M30" s="2" t="str">
        <x:v>Calibration</x:v>
      </x:c>
    </x:row>
    <x:row r="31" ht="27" customHeight="1">
      <x:c r="A31" s="2"/>
      <x:c r="B31" s="2" t="str">
        <x:v>CUUR0000SEGB</x:v>
      </x:c>
      <x:c r="C31" s="2" t="str">
        <x:v>2023-09-30</x:v>
      </x:c>
      <x:c r="D31" s="2" t="str">
        <x:v>Origin</x:v>
      </x:c>
      <x:c r="E31" s="2" t="str">
        <x:v>2023-07-01</x:v>
      </x:c>
      <x:c r="F31" s="2" t="str">
        <x:v>2023-07-01</x:v>
      </x:c>
      <x:c r="G31" s="2" t="str">
        <x:v>Seasonal step</x:v>
      </x:c>
      <x:c r="H31" s="7" t="n">
        <x:v>177.0419355503415</x:v>
      </x:c>
      <x:c r="I31" s="7" t="n">
        <x:v>177.651</x:v>
      </x:c>
      <x:c r="J31" s="2" t="str">
        <x:v>2023-10-01</x:v>
      </x:c>
      <x:c r="K31" s="7" t="n">
        <x:f>100*(H31/I31-1)</x:f>
        <x:v>-0.3428432430205963</x:v>
      </x:c>
      <x:c r="L31" s="7" t="n">
        <x:f>ABS(K31)</x:f>
        <x:v>0.3428432430205963</x:v>
      </x:c>
      <x:c r="M31" s="2" t="str">
        <x:v>Calibration</x:v>
      </x:c>
    </x:row>
    <x:row r="32" ht="27" customHeight="1">
      <x:c r="A32" s="2"/>
      <x:c r="B32" s="2" t="str">
        <x:v>CUUR0000SEGB</x:v>
      </x:c>
      <x:c r="C32" s="2" t="str">
        <x:v>2023-09-30</x:v>
      </x:c>
      <x:c r="D32" s="2" t="str">
        <x:v>Origin</x:v>
      </x:c>
      <x:c r="E32" s="2" t="str">
        <x:v>2023-07-01</x:v>
      </x:c>
      <x:c r="F32" s="2" t="str">
        <x:v>2023-08-01</x:v>
      </x:c>
      <x:c r="G32" s="2" t="str">
        <x:v>Seasonal step</x:v>
      </x:c>
      <x:c r="H32" s="7" t="n">
        <x:v>177.99328935300468</x:v>
      </x:c>
      <x:c r="I32" s="7" t="n">
        <x:v>178.14</x:v>
      </x:c>
      <x:c r="J32" s="2" t="str">
        <x:v>2023-10-01</x:v>
      </x:c>
      <x:c r="K32" s="7" t="n">
        <x:f>100*(H32/I32-1)</x:f>
        <x:v>-0.08235693667637545</x:v>
      </x:c>
      <x:c r="L32" s="7" t="n">
        <x:f>ABS(K32)</x:f>
        <x:v>0.08235693667637545</x:v>
      </x:c>
      <x:c r="M32" s="2" t="str">
        <x:v>Calibration</x:v>
      </x:c>
    </x:row>
    <x:row r="33" ht="27" customHeight="1">
      <x:c r="A33" s="2"/>
      <x:c r="B33" s="2" t="str">
        <x:v>CUUR0000SEGB</x:v>
      </x:c>
      <x:c r="C33" s="2" t="str">
        <x:v>2023-09-30</x:v>
      </x:c>
      <x:c r="D33" s="2" t="str">
        <x:v>Origin</x:v>
      </x:c>
      <x:c r="E33" s="2" t="str">
        <x:v>2023-07-01</x:v>
      </x:c>
      <x:c r="F33" s="2" t="str">
        <x:v>2023-09-01</x:v>
      </x:c>
      <x:c r="G33" s="2" t="str">
        <x:v>Seasonal step</x:v>
      </x:c>
      <x:c r="H33" s="7" t="n">
        <x:v>177.75851081223047</x:v>
      </x:c>
      <x:c r="I33" s="7" t="n">
        <x:v>178.898</x:v>
      </x:c>
      <x:c r="J33" s="2" t="str">
        <x:v>2023-10-17</x:v>
      </x:c>
      <x:c r="K33" s="7" t="n">
        <x:f>100*(H33/I33-1)</x:f>
        <x:v>-0.6369490926502963</x:v>
      </x:c>
      <x:c r="L33" s="7" t="n">
        <x:f>ABS(K33)</x:f>
        <x:v>0.6369490926502963</x:v>
      </x:c>
      <x:c r="M33" s="2" t="str">
        <x:v>Calibration</x:v>
      </x:c>
    </x:row>
    <x:row r="34" ht="27" customHeight="1">
      <x:c r="A34" s="2"/>
      <x:c r="B34" s="2" t="str">
        <x:v>CUUR0000SEGB</x:v>
      </x:c>
      <x:c r="C34" s="2" t="str">
        <x:v>2023-09-30</x:v>
      </x:c>
      <x:c r="D34" s="2" t="str">
        <x:v>Two months</x:v>
      </x:c>
      <x:c r="E34" s="2" t="str">
        <x:v>2023-10-01</x:v>
      </x:c>
      <x:c r="F34" s="2" t="str">
        <x:v>2023-09-01</x:v>
      </x:c>
      <x:c r="G34" s="2" t="str">
        <x:v>YoY carry</x:v>
      </x:c>
      <x:c r="H34" s="7" t="n">
        <x:v>180.6260864077902</x:v>
      </x:c>
      <x:c r="I34" s="7" t="n">
        <x:v>178.898</x:v>
      </x:c>
      <x:c r="J34" s="2" t="str">
        <x:v>2023-10-17</x:v>
      </x:c>
      <x:c r="K34" s="7" t="n">
        <x:f>100*(H34/I34-1)</x:f>
        <x:v>0.9659618373543566</x:v>
      </x:c>
      <x:c r="L34" s="7" t="n">
        <x:f>ABS(K34)</x:f>
        <x:v>0.9659618373543566</x:v>
      </x:c>
      <x:c r="M34" s="2" t="str">
        <x:v>Calibration</x:v>
      </x:c>
    </x:row>
    <x:row r="35" ht="27" customHeight="1">
      <x:c r="A35" s="2"/>
      <x:c r="B35" s="2" t="str">
        <x:v>CUUR0000SEGB</x:v>
      </x:c>
      <x:c r="C35" s="2" t="str">
        <x:v>2023-09-30</x:v>
      </x:c>
      <x:c r="D35" s="2" t="str">
        <x:v>Two months</x:v>
      </x:c>
      <x:c r="E35" s="2" t="str">
        <x:v>2023-10-01</x:v>
      </x:c>
      <x:c r="F35" s="2" t="str">
        <x:v>2023-09-01</x:v>
      </x:c>
      <x:c r="G35" s="2" t="str">
        <x:v>Flat level</x:v>
      </x:c>
      <x:c r="H35" s="7" t="n">
        <x:v>178.14</x:v>
      </x:c>
      <x:c r="I35" s="7" t="n">
        <x:v>178.898</x:v>
      </x:c>
      <x:c r="J35" s="2" t="str">
        <x:v>2023-10-17</x:v>
      </x:c>
      <x:c r="K35" s="7" t="n">
        <x:f>100*(H35/I35-1)</x:f>
        <x:v>-0.42370512806180205</x:v>
      </x:c>
      <x:c r="L35" s="7" t="n">
        <x:f>ABS(K35)</x:f>
        <x:v>0.42370512806180205</x:v>
      </x:c>
      <x:c r="M35" s="2" t="str">
        <x:v>Calibration</x:v>
      </x:c>
    </x:row>
    <x:row r="36" ht="27" customHeight="1">
      <x:c r="A36" s="2"/>
      <x:c r="B36" s="2" t="str">
        <x:v>CUUR0000SEGB</x:v>
      </x:c>
      <x:c r="C36" s="2" t="str">
        <x:v>2023-09-30</x:v>
      </x:c>
      <x:c r="D36" s="2" t="str">
        <x:v>Two months</x:v>
      </x:c>
      <x:c r="E36" s="2" t="str">
        <x:v>2023-10-01</x:v>
      </x:c>
      <x:c r="F36" s="2" t="str">
        <x:v>2023-09-01</x:v>
      </x:c>
      <x:c r="G36" s="2" t="str">
        <x:v>Recent trend</x:v>
      </x:c>
      <x:c r="H36" s="7" t="n">
        <x:v>178.78699999999998</x:v>
      </x:c>
      <x:c r="I36" s="7" t="n">
        <x:v>178.898</x:v>
      </x:c>
      <x:c r="J36" s="2" t="str">
        <x:v>2023-10-17</x:v>
      </x:c>
      <x:c r="K36" s="7" t="n">
        <x:f>100*(H36/I36-1)</x:f>
        <x:v>-0.06204652930721366</x:v>
      </x:c>
      <x:c r="L36" s="7" t="n">
        <x:f>ABS(K36)</x:f>
        <x:v>0.06204652930721366</x:v>
      </x:c>
      <x:c r="M36" s="2" t="str">
        <x:v>Calibration</x:v>
      </x:c>
    </x:row>
    <x:row r="37" ht="27" customHeight="1">
      <x:c r="A37" s="2"/>
      <x:c r="B37" s="2" t="str">
        <x:v>CUUR0000SEGB</x:v>
      </x:c>
      <x:c r="C37" s="2" t="str">
        <x:v>2023-09-30</x:v>
      </x:c>
      <x:c r="D37" s="2" t="str">
        <x:v>Two months</x:v>
      </x:c>
      <x:c r="E37" s="2" t="str">
        <x:v>2023-10-01</x:v>
      </x:c>
      <x:c r="F37" s="2" t="str">
        <x:v>2023-09-01</x:v>
      </x:c>
      <x:c r="G37" s="2" t="str">
        <x:v>Seasonal step</x:v>
      </x:c>
      <x:c r="H37" s="7" t="n">
        <x:v>177.90502794343794</x:v>
      </x:c>
      <x:c r="I37" s="7" t="n">
        <x:v>178.898</x:v>
      </x:c>
      <x:c r="J37" s="2" t="str">
        <x:v>2023-10-17</x:v>
      </x:c>
      <x:c r="K37" s="7" t="n">
        <x:f>100*(H37/I37-1)</x:f>
        <x:v>-0.5550492775559523</x:v>
      </x:c>
      <x:c r="L37" s="7" t="n">
        <x:f>ABS(K37)</x:f>
        <x:v>0.5550492775559523</x:v>
      </x:c>
      <x:c r="M37" s="2" t="str">
        <x:v>Calibration</x:v>
      </x:c>
    </x:row>
    <x:row r="38" ht="27" customHeight="1">
      <x:c r="A38" s="2"/>
      <x:c r="B38" s="2" t="str">
        <x:v>CUUR0000SEGB</x:v>
      </x:c>
      <x:c r="C38" s="2" t="str">
        <x:v>2023-12-31</x:v>
      </x:c>
      <x:c r="D38" s="2" t="str">
        <x:v>Origin</x:v>
      </x:c>
      <x:c r="E38" s="2" t="str">
        <x:v>2023-10-01</x:v>
      </x:c>
      <x:c r="F38" s="2" t="str">
        <x:v>2023-10-01</x:v>
      </x:c>
      <x:c r="G38" s="2" t="str">
        <x:v>YoY carry</x:v>
      </x:c>
      <x:c r="H38" s="7" t="n">
        <x:v>181.3402416105751</x:v>
      </x:c>
      <x:c r="I38" s="7" t="n">
        <x:v>179.617</x:v>
      </x:c>
      <x:c r="J38" s="2" t="str">
        <x:v>2023-12-12</x:v>
      </x:c>
      <x:c r="K38" s="7" t="n">
        <x:f>100*(H38/I38-1)</x:f>
        <x:v>0.9593978357143929</x:v>
      </x:c>
      <x:c r="L38" s="7" t="n">
        <x:f>ABS(K38)</x:f>
        <x:v>0.9593978357143929</x:v>
      </x:c>
      <x:c r="M38" s="2" t="str">
        <x:v>Calibration</x:v>
      </x:c>
    </x:row>
    <x:row r="39" ht="27" customHeight="1">
      <x:c r="A39" s="2"/>
      <x:c r="B39" s="2" t="str">
        <x:v>CUUR0000SEGB</x:v>
      </x:c>
      <x:c r="C39" s="2" t="str">
        <x:v>2023-12-31</x:v>
      </x:c>
      <x:c r="D39" s="2" t="str">
        <x:v>Origin</x:v>
      </x:c>
      <x:c r="E39" s="2" t="str">
        <x:v>2023-10-01</x:v>
      </x:c>
      <x:c r="F39" s="2" t="str">
        <x:v>2023-11-01</x:v>
      </x:c>
      <x:c r="G39" s="2" t="str">
        <x:v>YoY carry</x:v>
      </x:c>
      <x:c r="H39" s="7" t="n">
        <x:v>181.69678863603684</x:v>
      </x:c>
      <x:c r="I39" s="7" t="n">
        <x:v>178.553</x:v>
      </x:c>
      <x:c r="J39" s="2" t="str">
        <x:v>2023-12-12</x:v>
      </x:c>
      <x:c r="K39" s="7" t="n">
        <x:f>100*(H39/I39-1)</x:f>
        <x:v>1.7607033407653905</x:v>
      </x:c>
      <x:c r="L39" s="7" t="n">
        <x:f>ABS(K39)</x:f>
        <x:v>1.7607033407653905</x:v>
      </x:c>
      <x:c r="M39" s="2" t="str">
        <x:v>Calibration</x:v>
      </x:c>
    </x:row>
    <x:row r="40" ht="27" customHeight="1">
      <x:c r="A40" s="2"/>
      <x:c r="B40" s="2" t="str">
        <x:v>CUUR0000SEGB</x:v>
      </x:c>
      <x:c r="C40" s="2" t="str">
        <x:v>2023-12-31</x:v>
      </x:c>
      <x:c r="D40" s="2" t="str">
        <x:v>Origin</x:v>
      </x:c>
      <x:c r="E40" s="2" t="str">
        <x:v>2023-10-01</x:v>
      </x:c>
      <x:c r="F40" s="2" t="str">
        <x:v>2023-12-01</x:v>
      </x:c>
      <x:c r="G40" s="2" t="str">
        <x:v>YoY carry</x:v>
      </x:c>
      <x:c r="H40" s="7" t="n">
        <x:v>181.51851512330597</x:v>
      </x:c>
      <x:c r="I40" s="7" t="n">
        <x:v>176.62</x:v>
      </x:c>
      <x:c r="J40" s="2" t="str">
        <x:v>2024-01-11</x:v>
      </x:c>
      <x:c r="K40" s="7" t="n">
        <x:f>100*(H40/I40-1)</x:f>
        <x:v>2.7734770259913777</x:v>
      </x:c>
      <x:c r="L40" s="7" t="n">
        <x:f>ABS(K40)</x:f>
        <x:v>2.7734770259913777</x:v>
      </x:c>
      <x:c r="M40" s="2" t="str">
        <x:v>Calibration</x:v>
      </x:c>
    </x:row>
    <x:row r="41" ht="27" customHeight="1">
      <x:c r="A41" s="2"/>
      <x:c r="B41" s="2" t="str">
        <x:v>CUUR0000SEGB</x:v>
      </x:c>
      <x:c r="C41" s="2" t="str">
        <x:v>2023-12-31</x:v>
      </x:c>
      <x:c r="D41" s="2" t="str">
        <x:v>Origin</x:v>
      </x:c>
      <x:c r="E41" s="2" t="str">
        <x:v>2023-10-01</x:v>
      </x:c>
      <x:c r="F41" s="2" t="str">
        <x:v>2023-10-01</x:v>
      </x:c>
      <x:c r="G41" s="2" t="str">
        <x:v>Flat level</x:v>
      </x:c>
      <x:c r="H41" s="7" t="n">
        <x:v>178.14</x:v>
      </x:c>
      <x:c r="I41" s="7" t="n">
        <x:v>179.617</x:v>
      </x:c>
      <x:c r="J41" s="2" t="str">
        <x:v>2023-12-12</x:v>
      </x:c>
      <x:c r="K41" s="7" t="n">
        <x:f>100*(H41/I41-1)</x:f>
        <x:v>-0.8223052383683038</x:v>
      </x:c>
      <x:c r="L41" s="7" t="n">
        <x:f>ABS(K41)</x:f>
        <x:v>0.8223052383683038</x:v>
      </x:c>
      <x:c r="M41" s="2" t="str">
        <x:v>Calibration</x:v>
      </x:c>
    </x:row>
    <x:row r="42" ht="27" customHeight="1">
      <x:c r="A42" s="2"/>
      <x:c r="B42" s="2" t="str">
        <x:v>CUUR0000SEGB</x:v>
      </x:c>
      <x:c r="C42" s="2" t="str">
        <x:v>2023-12-31</x:v>
      </x:c>
      <x:c r="D42" s="2" t="str">
        <x:v>Origin</x:v>
      </x:c>
      <x:c r="E42" s="2" t="str">
        <x:v>2023-10-01</x:v>
      </x:c>
      <x:c r="F42" s="2" t="str">
        <x:v>2023-11-01</x:v>
      </x:c>
      <x:c r="G42" s="2" t="str">
        <x:v>Flat level</x:v>
      </x:c>
      <x:c r="H42" s="7" t="n">
        <x:v>178.14</x:v>
      </x:c>
      <x:c r="I42" s="7" t="n">
        <x:v>178.553</x:v>
      </x:c>
      <x:c r="J42" s="2" t="str">
        <x:v>2023-12-12</x:v>
      </x:c>
      <x:c r="K42" s="7" t="n">
        <x:f>100*(H42/I42-1)</x:f>
        <x:v>-0.23130387055945167</x:v>
      </x:c>
      <x:c r="L42" s="7" t="n">
        <x:f>ABS(K42)</x:f>
        <x:v>0.23130387055945167</x:v>
      </x:c>
      <x:c r="M42" s="2" t="str">
        <x:v>Calibration</x:v>
      </x:c>
    </x:row>
    <x:row r="43" ht="27" customHeight="1">
      <x:c r="A43" s="2"/>
      <x:c r="B43" s="2" t="str">
        <x:v>CUUR0000SEGB</x:v>
      </x:c>
      <x:c r="C43" s="2" t="str">
        <x:v>2023-12-31</x:v>
      </x:c>
      <x:c r="D43" s="2" t="str">
        <x:v>Origin</x:v>
      </x:c>
      <x:c r="E43" s="2" t="str">
        <x:v>2023-10-01</x:v>
      </x:c>
      <x:c r="F43" s="2" t="str">
        <x:v>2023-12-01</x:v>
      </x:c>
      <x:c r="G43" s="2" t="str">
        <x:v>Flat level</x:v>
      </x:c>
      <x:c r="H43" s="7" t="n">
        <x:v>178.14</x:v>
      </x:c>
      <x:c r="I43" s="7" t="n">
        <x:v>176.62</x:v>
      </x:c>
      <x:c r="J43" s="2" t="str">
        <x:v>2024-01-11</x:v>
      </x:c>
      <x:c r="K43" s="7" t="n">
        <x:f>100*(H43/I43-1)</x:f>
        <x:v>0.8606046880307971</x:v>
      </x:c>
      <x:c r="L43" s="7" t="n">
        <x:f>ABS(K43)</x:f>
        <x:v>0.8606046880307971</x:v>
      </x:c>
      <x:c r="M43" s="2" t="str">
        <x:v>Calibration</x:v>
      </x:c>
    </x:row>
    <x:row r="44" ht="27" customHeight="1">
      <x:c r="A44" s="2"/>
      <x:c r="B44" s="2" t="str">
        <x:v>CUUR0000SEGB</x:v>
      </x:c>
      <x:c r="C44" s="2" t="str">
        <x:v>2023-12-31</x:v>
      </x:c>
      <x:c r="D44" s="2" t="str">
        <x:v>Origin</x:v>
      </x:c>
      <x:c r="E44" s="2" t="str">
        <x:v>2023-10-01</x:v>
      </x:c>
      <x:c r="F44" s="2" t="str">
        <x:v>2023-10-01</x:v>
      </x:c>
      <x:c r="G44" s="2" t="str">
        <x:v>Recent trend</x:v>
      </x:c>
      <x:c r="H44" s="7" t="n">
        <x:v>179.43399999999997</x:v>
      </x:c>
      <x:c r="I44" s="7" t="n">
        <x:v>179.617</x:v>
      </x:c>
      <x:c r="J44" s="2" t="str">
        <x:v>2023-12-12</x:v>
      </x:c>
      <x:c r="K44" s="7" t="n">
        <x:f>100*(H44/I44-1)</x:f>
        <x:v>-0.10188345201179727</x:v>
      </x:c>
      <x:c r="L44" s="7" t="n">
        <x:f>ABS(K44)</x:f>
        <x:v>0.10188345201179727</x:v>
      </x:c>
      <x:c r="M44" s="2" t="str">
        <x:v>Calibration</x:v>
      </x:c>
    </x:row>
    <x:row r="45" ht="27" customHeight="1">
      <x:c r="A45" s="2"/>
      <x:c r="B45" s="2" t="str">
        <x:v>CUUR0000SEGB</x:v>
      </x:c>
      <x:c r="C45" s="2" t="str">
        <x:v>2023-12-31</x:v>
      </x:c>
      <x:c r="D45" s="2" t="str">
        <x:v>Origin</x:v>
      </x:c>
      <x:c r="E45" s="2" t="str">
        <x:v>2023-10-01</x:v>
      </x:c>
      <x:c r="F45" s="2" t="str">
        <x:v>2023-11-01</x:v>
      </x:c>
      <x:c r="G45" s="2" t="str">
        <x:v>Recent trend</x:v>
      </x:c>
      <x:c r="H45" s="7" t="n">
        <x:v>180.08099999999996</x:v>
      </x:c>
      <x:c r="I45" s="7" t="n">
        <x:v>178.553</x:v>
      </x:c>
      <x:c r="J45" s="2" t="str">
        <x:v>2023-12-12</x:v>
      </x:c>
      <x:c r="K45" s="7" t="n">
        <x:f>100*(H45/I45-1)</x:f>
        <x:v>0.8557683152901063</x:v>
      </x:c>
      <x:c r="L45" s="7" t="n">
        <x:f>ABS(K45)</x:f>
        <x:v>0.8557683152901063</x:v>
      </x:c>
      <x:c r="M45" s="2" t="str">
        <x:v>Calibration</x:v>
      </x:c>
    </x:row>
    <x:row r="46" ht="27" customHeight="1">
      <x:c r="A46" s="2"/>
      <x:c r="B46" s="2" t="str">
        <x:v>CUUR0000SEGB</x:v>
      </x:c>
      <x:c r="C46" s="2" t="str">
        <x:v>2023-12-31</x:v>
      </x:c>
      <x:c r="D46" s="2" t="str">
        <x:v>Origin</x:v>
      </x:c>
      <x:c r="E46" s="2" t="str">
        <x:v>2023-10-01</x:v>
      </x:c>
      <x:c r="F46" s="2" t="str">
        <x:v>2023-12-01</x:v>
      </x:c>
      <x:c r="G46" s="2" t="str">
        <x:v>Recent trend</x:v>
      </x:c>
      <x:c r="H46" s="7" t="n">
        <x:v>180.72799999999995</x:v>
      </x:c>
      <x:c r="I46" s="7" t="n">
        <x:v>176.62</x:v>
      </x:c>
      <x:c r="J46" s="2" t="str">
        <x:v>2024-01-11</x:v>
      </x:c>
      <x:c r="K46" s="7" t="n">
        <x:f>100*(H46/I46-1)</x:f>
        <x:v>2.325897406862154</x:v>
      </x:c>
      <x:c r="L46" s="7" t="n">
        <x:f>ABS(K46)</x:f>
        <x:v>2.325897406862154</x:v>
      </x:c>
      <x:c r="M46" s="2" t="str">
        <x:v>Calibration</x:v>
      </x:c>
    </x:row>
    <x:row r="47" ht="27" customHeight="1">
      <x:c r="A47" s="2"/>
      <x:c r="B47" s="2" t="str">
        <x:v>CUUR0000SEGB</x:v>
      </x:c>
      <x:c r="C47" s="2" t="str">
        <x:v>2023-12-31</x:v>
      </x:c>
      <x:c r="D47" s="2" t="str">
        <x:v>Origin</x:v>
      </x:c>
      <x:c r="E47" s="2" t="str">
        <x:v>2023-10-01</x:v>
      </x:c>
      <x:c r="F47" s="2" t="str">
        <x:v>2023-10-01</x:v>
      </x:c>
      <x:c r="G47" s="2" t="str">
        <x:v>Seasonal step</x:v>
      </x:c>
      <x:c r="H47" s="7" t="n">
        <x:v>178.2201800382581</x:v>
      </x:c>
      <x:c r="I47" s="7" t="n">
        <x:v>179.617</x:v>
      </x:c>
      <x:c r="J47" s="2" t="str">
        <x:v>2023-12-12</x:v>
      </x:c>
      <x:c r="K47" s="7" t="n">
        <x:f>100*(H47/I47-1)</x:f>
        <x:v>-0.7776657898427741</x:v>
      </x:c>
      <x:c r="L47" s="7" t="n">
        <x:f>ABS(K47)</x:f>
        <x:v>0.7776657898427741</x:v>
      </x:c>
      <x:c r="M47" s="2" t="str">
        <x:v>Calibration</x:v>
      </x:c>
    </x:row>
    <x:row r="48" ht="27" customHeight="1">
      <x:c r="A48" s="2"/>
      <x:c r="B48" s="2" t="str">
        <x:v>CUUR0000SEGB</x:v>
      </x:c>
      <x:c r="C48" s="2" t="str">
        <x:v>2023-12-31</x:v>
      </x:c>
      <x:c r="D48" s="2" t="str">
        <x:v>Origin</x:v>
      </x:c>
      <x:c r="E48" s="2" t="str">
        <x:v>2023-10-01</x:v>
      </x:c>
      <x:c r="F48" s="2" t="str">
        <x:v>2023-11-01</x:v>
      </x:c>
      <x:c r="G48" s="2" t="str">
        <x:v>Seasonal step</x:v>
      </x:c>
      <x:c r="H48" s="7" t="n">
        <x:v>178.28044083148848</x:v>
      </x:c>
      <x:c r="I48" s="7" t="n">
        <x:v>178.553</x:v>
      </x:c>
      <x:c r="J48" s="2" t="str">
        <x:v>2023-12-12</x:v>
      </x:c>
      <x:c r="K48" s="7" t="n">
        <x:f>100*(H48/I48-1)</x:f>
        <x:v>-0.15264888773166563</x:v>
      </x:c>
      <x:c r="L48" s="7" t="n">
        <x:f>ABS(K48)</x:f>
        <x:v>0.15264888773166563</x:v>
      </x:c>
      <x:c r="M48" s="2" t="str">
        <x:v>Calibration</x:v>
      </x:c>
    </x:row>
    <x:row r="49" ht="27" customHeight="1">
      <x:c r="A49" s="2"/>
      <x:c r="B49" s="2" t="str">
        <x:v>CUUR0000SEGB</x:v>
      </x:c>
      <x:c r="C49" s="2" t="str">
        <x:v>2023-12-31</x:v>
      </x:c>
      <x:c r="D49" s="2" t="str">
        <x:v>Origin</x:v>
      </x:c>
      <x:c r="E49" s="2" t="str">
        <x:v>2023-10-01</x:v>
      </x:c>
      <x:c r="F49" s="2" t="str">
        <x:v>2023-12-01</x:v>
      </x:c>
      <x:c r="G49" s="2" t="str">
        <x:v>Seasonal step</x:v>
      </x:c>
      <x:c r="H49" s="7" t="n">
        <x:v>177.94593916036467</x:v>
      </x:c>
      <x:c r="I49" s="7" t="n">
        <x:v>176.62</x:v>
      </x:c>
      <x:c r="J49" s="2" t="str">
        <x:v>2024-01-11</x:v>
      </x:c>
      <x:c r="K49" s="7" t="n">
        <x:f>100*(H49/I49-1)</x:f>
        <x:v>0.7507299062193828</x:v>
      </x:c>
      <x:c r="L49" s="7" t="n">
        <x:f>ABS(K49)</x:f>
        <x:v>0.7507299062193828</x:v>
      </x:c>
      <x:c r="M49" s="2" t="str">
        <x:v>Calibration</x:v>
      </x:c>
    </x:row>
    <x:row r="50" ht="27" customHeight="1">
      <x:c r="A50" s="2"/>
      <x:c r="B50" s="2" t="str">
        <x:v>CUUR0000SEGB</x:v>
      </x:c>
      <x:c r="C50" s="2" t="str">
        <x:v>2024-03-31</x:v>
      </x:c>
      <x:c r="D50" s="2" t="str">
        <x:v>Origin</x:v>
      </x:c>
      <x:c r="E50" s="2" t="str">
        <x:v>2024-01-01</x:v>
      </x:c>
      <x:c r="F50" s="2" t="str">
        <x:v>2024-01-01</x:v>
      </x:c>
      <x:c r="G50" s="2" t="str">
        <x:v>YoY carry</x:v>
      </x:c>
      <x:c r="H50" s="7" t="n">
        <x:v>179.82198609313983</x:v>
      </x:c>
      <x:c r="I50" s="7" t="n">
        <x:v>177.546</x:v>
      </x:c>
      <x:c r="J50" s="2" t="str">
        <x:v>2024-02-13</x:v>
      </x:c>
      <x:c r="K50" s="7" t="n">
        <x:f>100*(H50/I50-1)</x:f>
        <x:v>1.281913472080376</x:v>
      </x:c>
      <x:c r="L50" s="7" t="n">
        <x:f>ABS(K50)</x:f>
        <x:v>1.281913472080376</x:v>
      </x:c>
      <x:c r="M50" s="2" t="str">
        <x:v>Calibration</x:v>
      </x:c>
    </x:row>
    <x:row r="51" ht="27" customHeight="1">
      <x:c r="A51" s="2"/>
      <x:c r="B51" s="2" t="str">
        <x:v>CUUR0000SEGB</x:v>
      </x:c>
      <x:c r="C51" s="2" t="str">
        <x:v>2024-03-31</x:v>
      </x:c>
      <x:c r="D51" s="2" t="str">
        <x:v>Origin</x:v>
      </x:c>
      <x:c r="E51" s="2" t="str">
        <x:v>2024-01-01</x:v>
      </x:c>
      <x:c r="F51" s="2" t="str">
        <x:v>2024-02-01</x:v>
      </x:c>
      <x:c r="G51" s="2" t="str">
        <x:v>YoY carry</x:v>
      </x:c>
      <x:c r="H51" s="7" t="n">
        <x:v>180.7182708919881</x:v>
      </x:c>
      <x:c r="I51" s="7" t="n">
        <x:v>179.311</x:v>
      </x:c>
      <x:c r="J51" s="2" t="str">
        <x:v>2024-03-12</x:v>
      </x:c>
      <x:c r="K51" s="7" t="n">
        <x:f>100*(H51/I51-1)</x:f>
        <x:v>0.7848212836848223</x:v>
      </x:c>
      <x:c r="L51" s="7" t="n">
        <x:f>ABS(K51)</x:f>
        <x:v>0.7848212836848223</x:v>
      </x:c>
      <x:c r="M51" s="2" t="str">
        <x:v>Calibration</x:v>
      </x:c>
    </x:row>
    <x:row r="52" ht="27" customHeight="1">
      <x:c r="A52" s="2"/>
      <x:c r="B52" s="2" t="str">
        <x:v>CUUR0000SEGB</x:v>
      </x:c>
      <x:c r="C52" s="2" t="str">
        <x:v>2024-03-31</x:v>
      </x:c>
      <x:c r="D52" s="2" t="str">
        <x:v>Origin</x:v>
      </x:c>
      <x:c r="E52" s="2" t="str">
        <x:v>2024-01-01</x:v>
      </x:c>
      <x:c r="F52" s="2" t="str">
        <x:v>2024-03-01</x:v>
      </x:c>
      <x:c r="G52" s="2" t="str">
        <x:v>YoY carry</x:v>
      </x:c>
      <x:c r="H52" s="7" t="n">
        <x:v>182.1932097364086</x:v>
      </x:c>
      <x:c r="I52" s="7" t="n">
        <x:v>179.706</x:v>
      </x:c>
      <x:c r="J52" s="2" t="str">
        <x:v>2024-04-10</x:v>
      </x:c>
      <x:c r="K52" s="7" t="n">
        <x:f>100*(H52/I52-1)</x:f>
        <x:v>1.384043791753542</x:v>
      </x:c>
      <x:c r="L52" s="7" t="n">
        <x:f>ABS(K52)</x:f>
        <x:v>1.384043791753542</x:v>
      </x:c>
      <x:c r="M52" s="2" t="str">
        <x:v>Calibration</x:v>
      </x:c>
    </x:row>
    <x:row r="53" ht="27" customHeight="1">
      <x:c r="A53" s="2"/>
      <x:c r="B53" s="2" t="str">
        <x:v>CUUR0000SEGB</x:v>
      </x:c>
      <x:c r="C53" s="2" t="str">
        <x:v>2024-03-31</x:v>
      </x:c>
      <x:c r="D53" s="2" t="str">
        <x:v>Origin</x:v>
      </x:c>
      <x:c r="E53" s="2" t="str">
        <x:v>2024-01-01</x:v>
      </x:c>
      <x:c r="F53" s="2" t="str">
        <x:v>2024-01-01</x:v>
      </x:c>
      <x:c r="G53" s="2" t="str">
        <x:v>Flat level</x:v>
      </x:c>
      <x:c r="H53" s="7" t="n">
        <x:v>178.553</x:v>
      </x:c>
      <x:c r="I53" s="7" t="n">
        <x:v>177.546</x:v>
      </x:c>
      <x:c r="J53" s="2" t="str">
        <x:v>2024-02-13</x:v>
      </x:c>
      <x:c r="K53" s="7" t="n">
        <x:f>100*(H53/I53-1)</x:f>
        <x:v>0.5671769569576268</x:v>
      </x:c>
      <x:c r="L53" s="7" t="n">
        <x:f>ABS(K53)</x:f>
        <x:v>0.5671769569576268</x:v>
      </x:c>
      <x:c r="M53" s="2" t="str">
        <x:v>Calibration</x:v>
      </x:c>
    </x:row>
    <x:row r="54" ht="27" customHeight="1">
      <x:c r="A54" s="2"/>
      <x:c r="B54" s="2" t="str">
        <x:v>CUUR0000SEGB</x:v>
      </x:c>
      <x:c r="C54" s="2" t="str">
        <x:v>2024-03-31</x:v>
      </x:c>
      <x:c r="D54" s="2" t="str">
        <x:v>Origin</x:v>
      </x:c>
      <x:c r="E54" s="2" t="str">
        <x:v>2024-01-01</x:v>
      </x:c>
      <x:c r="F54" s="2" t="str">
        <x:v>2024-02-01</x:v>
      </x:c>
      <x:c r="G54" s="2" t="str">
        <x:v>Flat level</x:v>
      </x:c>
      <x:c r="H54" s="7" t="n">
        <x:v>178.553</x:v>
      </x:c>
      <x:c r="I54" s="7" t="n">
        <x:v>179.311</x:v>
      </x:c>
      <x:c r="J54" s="2" t="str">
        <x:v>2024-03-12</x:v>
      </x:c>
      <x:c r="K54" s="7" t="n">
        <x:f>100*(H54/I54-1)</x:f>
        <x:v>-0.4227292246432257</x:v>
      </x:c>
      <x:c r="L54" s="7" t="n">
        <x:f>ABS(K54)</x:f>
        <x:v>0.4227292246432257</x:v>
      </x:c>
      <x:c r="M54" s="2" t="str">
        <x:v>Calibration</x:v>
      </x:c>
    </x:row>
    <x:row r="55" ht="27" customHeight="1">
      <x:c r="A55" s="2"/>
      <x:c r="B55" s="2" t="str">
        <x:v>CUUR0000SEGB</x:v>
      </x:c>
      <x:c r="C55" s="2" t="str">
        <x:v>2024-03-31</x:v>
      </x:c>
      <x:c r="D55" s="2" t="str">
        <x:v>Origin</x:v>
      </x:c>
      <x:c r="E55" s="2" t="str">
        <x:v>2024-01-01</x:v>
      </x:c>
      <x:c r="F55" s="2" t="str">
        <x:v>2024-03-01</x:v>
      </x:c>
      <x:c r="G55" s="2" t="str">
        <x:v>Flat level</x:v>
      </x:c>
      <x:c r="H55" s="7" t="n">
        <x:v>178.553</x:v>
      </x:c>
      <x:c r="I55" s="7" t="n">
        <x:v>179.706</x:v>
      </x:c>
      <x:c r="J55" s="2" t="str">
        <x:v>2024-04-10</x:v>
      </x:c>
      <x:c r="K55" s="7" t="n">
        <x:f>100*(H55/I55-1)</x:f>
        <x:v>-0.6416035079518712</x:v>
      </x:c>
      <x:c r="L55" s="7" t="n">
        <x:f>ABS(K55)</x:f>
        <x:v>0.6416035079518712</x:v>
      </x:c>
      <x:c r="M55" s="2" t="str">
        <x:v>Calibration</x:v>
      </x:c>
    </x:row>
    <x:row r="56" ht="27" customHeight="1">
      <x:c r="A56" s="2"/>
      <x:c r="B56" s="2" t="str">
        <x:v>CUUR0000SEGB</x:v>
      </x:c>
      <x:c r="C56" s="2" t="str">
        <x:v>2024-03-31</x:v>
      </x:c>
      <x:c r="D56" s="2" t="str">
        <x:v>Origin</x:v>
      </x:c>
      <x:c r="E56" s="2" t="str">
        <x:v>2024-01-01</x:v>
      </x:c>
      <x:c r="F56" s="2" t="str">
        <x:v>2024-01-01</x:v>
      </x:c>
      <x:c r="G56" s="2" t="str">
        <x:v>Recent trend</x:v>
      </x:c>
      <x:c r="H56" s="7" t="n">
        <x:v>178.208</x:v>
      </x:c>
      <x:c r="I56" s="7" t="n">
        <x:v>177.546</x:v>
      </x:c>
      <x:c r="J56" s="2" t="str">
        <x:v>2024-02-13</x:v>
      </x:c>
      <x:c r="K56" s="7" t="n">
        <x:f>100*(H56/I56-1)</x:f>
        <x:v>0.3728611176821772</x:v>
      </x:c>
      <x:c r="L56" s="7" t="n">
        <x:f>ABS(K56)</x:f>
        <x:v>0.3728611176821772</x:v>
      </x:c>
      <x:c r="M56" s="2" t="str">
        <x:v>Calibration</x:v>
      </x:c>
    </x:row>
    <x:row r="57" ht="27" customHeight="1">
      <x:c r="A57" s="2"/>
      <x:c r="B57" s="2" t="str">
        <x:v>CUUR0000SEGB</x:v>
      </x:c>
      <x:c r="C57" s="2" t="str">
        <x:v>2024-03-31</x:v>
      </x:c>
      <x:c r="D57" s="2" t="str">
        <x:v>Origin</x:v>
      </x:c>
      <x:c r="E57" s="2" t="str">
        <x:v>2024-01-01</x:v>
      </x:c>
      <x:c r="F57" s="2" t="str">
        <x:v>2024-02-01</x:v>
      </x:c>
      <x:c r="G57" s="2" t="str">
        <x:v>Recent trend</x:v>
      </x:c>
      <x:c r="H57" s="7" t="n">
        <x:v>178.0355</x:v>
      </x:c>
      <x:c r="I57" s="7" t="n">
        <x:v>179.311</x:v>
      </x:c>
      <x:c r="J57" s="2" t="str">
        <x:v>2024-03-12</x:v>
      </x:c>
      <x:c r="K57" s="7" t="n">
        <x:f>100*(H57/I57-1)</x:f>
        <x:v>-0.7113339393567619</x:v>
      </x:c>
      <x:c r="L57" s="7" t="n">
        <x:f>ABS(K57)</x:f>
        <x:v>0.7113339393567619</x:v>
      </x:c>
      <x:c r="M57" s="2" t="str">
        <x:v>Calibration</x:v>
      </x:c>
    </x:row>
    <x:row r="58" ht="27" customHeight="1">
      <x:c r="A58" s="2"/>
      <x:c r="B58" s="2" t="str">
        <x:v>CUUR0000SEGB</x:v>
      </x:c>
      <x:c r="C58" s="2" t="str">
        <x:v>2024-03-31</x:v>
      </x:c>
      <x:c r="D58" s="2" t="str">
        <x:v>Origin</x:v>
      </x:c>
      <x:c r="E58" s="2" t="str">
        <x:v>2024-01-01</x:v>
      </x:c>
      <x:c r="F58" s="2" t="str">
        <x:v>2024-03-01</x:v>
      </x:c>
      <x:c r="G58" s="2" t="str">
        <x:v>Recent trend</x:v>
      </x:c>
      <x:c r="H58" s="7" t="n">
        <x:v>177.863</x:v>
      </x:c>
      <x:c r="I58" s="7" t="n">
        <x:v>179.706</x:v>
      </x:c>
      <x:c r="J58" s="2" t="str">
        <x:v>2024-04-10</x:v>
      </x:c>
      <x:c r="K58" s="7" t="n">
        <x:f>100*(H58/I58-1)</x:f>
        <x:v>-1.025563976717525</x:v>
      </x:c>
      <x:c r="L58" s="7" t="n">
        <x:f>ABS(K58)</x:f>
        <x:v>1.025563976717525</x:v>
      </x:c>
      <x:c r="M58" s="2" t="str">
        <x:v>Calibration</x:v>
      </x:c>
    </x:row>
    <x:row r="59" ht="27" customHeight="1">
      <x:c r="A59" s="2"/>
      <x:c r="B59" s="2" t="str">
        <x:v>CUUR0000SEGB</x:v>
      </x:c>
      <x:c r="C59" s="2" t="str">
        <x:v>2024-03-31</x:v>
      </x:c>
      <x:c r="D59" s="2" t="str">
        <x:v>Origin</x:v>
      </x:c>
      <x:c r="E59" s="2" t="str">
        <x:v>2024-01-01</x:v>
      </x:c>
      <x:c r="F59" s="2" t="str">
        <x:v>2024-01-01</x:v>
      </x:c>
      <x:c r="G59" s="2" t="str">
        <x:v>Seasonal step</x:v>
      </x:c>
      <x:c r="H59" s="7" t="n">
        <x:v>179.27150222501277</x:v>
      </x:c>
      <x:c r="I59" s="7" t="n">
        <x:v>177.546</x:v>
      </x:c>
      <x:c r="J59" s="2" t="str">
        <x:v>2024-02-13</x:v>
      </x:c>
      <x:c r="K59" s="7" t="n">
        <x:f>100*(H59/I59-1)</x:f>
        <x:v>0.9718620667392042</x:v>
      </x:c>
      <x:c r="L59" s="7" t="n">
        <x:f>ABS(K59)</x:f>
        <x:v>0.9718620667392042</x:v>
      </x:c>
      <x:c r="M59" s="2" t="str">
        <x:v>Calibration</x:v>
      </x:c>
    </x:row>
    <x:row r="60" ht="27" customHeight="1">
      <x:c r="A60" s="2"/>
      <x:c r="B60" s="2" t="str">
        <x:v>CUUR0000SEGB</x:v>
      </x:c>
      <x:c r="C60" s="2" t="str">
        <x:v>2024-03-31</x:v>
      </x:c>
      <x:c r="D60" s="2" t="str">
        <x:v>Origin</x:v>
      </x:c>
      <x:c r="E60" s="2" t="str">
        <x:v>2024-01-01</x:v>
      </x:c>
      <x:c r="F60" s="2" t="str">
        <x:v>2024-02-01</x:v>
      </x:c>
      <x:c r="G60" s="2" t="str">
        <x:v>Seasonal step</x:v>
      </x:c>
      <x:c r="H60" s="7" t="n">
        <x:v>180.16504325301452</x:v>
      </x:c>
      <x:c r="I60" s="7" t="n">
        <x:v>179.311</x:v>
      </x:c>
      <x:c r="J60" s="2" t="str">
        <x:v>2024-03-12</x:v>
      </x:c>
      <x:c r="K60" s="7" t="n">
        <x:f>100*(H60/I60-1)</x:f>
        <x:v>0.4762916123464356</x:v>
      </x:c>
      <x:c r="L60" s="7" t="n">
        <x:f>ABS(K60)</x:f>
        <x:v>0.4762916123464356</x:v>
      </x:c>
      <x:c r="M60" s="2" t="str">
        <x:v>Calibration</x:v>
      </x:c>
    </x:row>
    <x:row r="61" ht="27" customHeight="1">
      <x:c r="A61" s="2"/>
      <x:c r="B61" s="2" t="str">
        <x:v>CUUR0000SEGB</x:v>
      </x:c>
      <x:c r="C61" s="2" t="str">
        <x:v>2024-03-31</x:v>
      </x:c>
      <x:c r="D61" s="2" t="str">
        <x:v>Origin</x:v>
      </x:c>
      <x:c r="E61" s="2" t="str">
        <x:v>2024-01-01</x:v>
      </x:c>
      <x:c r="F61" s="2" t="str">
        <x:v>2024-03-01</x:v>
      </x:c>
      <x:c r="G61" s="2" t="str">
        <x:v>Seasonal step</x:v>
      </x:c>
      <x:c r="H61" s="7" t="n">
        <x:v>181.63546690962085</x:v>
      </x:c>
      <x:c r="I61" s="7" t="n">
        <x:v>179.706</x:v>
      </x:c>
      <x:c r="J61" s="2" t="str">
        <x:v>2024-04-10</x:v>
      </x:c>
      <x:c r="K61" s="7" t="n">
        <x:f>100*(H61/I61-1)</x:f>
        <x:v>1.0736797378055662</x:v>
      </x:c>
      <x:c r="L61" s="7" t="n">
        <x:f>ABS(K61)</x:f>
        <x:v>1.0736797378055662</x:v>
      </x:c>
      <x:c r="M61" s="2" t="str">
        <x:v>Calibration</x:v>
      </x:c>
    </x:row>
    <x:row r="62" ht="27" customHeight="1">
      <x:c r="A62" s="2"/>
      <x:c r="B62" s="2" t="str">
        <x:v>CUUR0000SEGB</x:v>
      </x:c>
      <x:c r="C62" s="2" t="str">
        <x:v>2024-03-31</x:v>
      </x:c>
      <x:c r="D62" s="2" t="str">
        <x:v>One month</x:v>
      </x:c>
      <x:c r="E62" s="2" t="str">
        <x:v>2024-02-13</x:v>
      </x:c>
      <x:c r="F62" s="2" t="str">
        <x:v>2024-02-01</x:v>
      </x:c>
      <x:c r="G62" s="2" t="str">
        <x:v>YoY carry</x:v>
      </x:c>
      <x:c r="H62" s="7" t="n">
        <x:v>178.73378713430463</x:v>
      </x:c>
      <x:c r="I62" s="7" t="n">
        <x:v>179.311</x:v>
      </x:c>
      <x:c r="J62" s="2" t="str">
        <x:v>2024-03-12</x:v>
      </x:c>
      <x:c r="K62" s="7" t="n">
        <x:f>100*(H62/I62-1)</x:f>
        <x:v>-0.32190599890434823</x:v>
      </x:c>
      <x:c r="L62" s="7" t="n">
        <x:f>ABS(K62)</x:f>
        <x:v>0.32190599890434823</x:v>
      </x:c>
      <x:c r="M62" s="2" t="str">
        <x:v>Calibration</x:v>
      </x:c>
    </x:row>
    <x:row r="63" ht="27" customHeight="1">
      <x:c r="A63" s="2"/>
      <x:c r="B63" s="2" t="str">
        <x:v>CUUR0000SEGB</x:v>
      </x:c>
      <x:c r="C63" s="2" t="str">
        <x:v>2024-03-31</x:v>
      </x:c>
      <x:c r="D63" s="2" t="str">
        <x:v>One month</x:v>
      </x:c>
      <x:c r="E63" s="2" t="str">
        <x:v>2024-02-13</x:v>
      </x:c>
      <x:c r="F63" s="2" t="str">
        <x:v>2024-03-01</x:v>
      </x:c>
      <x:c r="G63" s="2" t="str">
        <x:v>YoY carry</x:v>
      </x:c>
      <x:c r="H63" s="7" t="n">
        <x:v>180.19252954122115</x:v>
      </x:c>
      <x:c r="I63" s="7" t="n">
        <x:v>179.706</x:v>
      </x:c>
      <x:c r="J63" s="2" t="str">
        <x:v>2024-04-10</x:v>
      </x:c>
      <x:c r="K63" s="7" t="n">
        <x:f>100*(H63/I63-1)</x:f>
        <x:v>0.2707363923414752</x:v>
      </x:c>
      <x:c r="L63" s="7" t="n">
        <x:f>ABS(K63)</x:f>
        <x:v>0.2707363923414752</x:v>
      </x:c>
      <x:c r="M63" s="2" t="str">
        <x:v>Calibration</x:v>
      </x:c>
    </x:row>
    <x:row r="64" ht="27" customHeight="1">
      <x:c r="A64" s="2"/>
      <x:c r="B64" s="2" t="str">
        <x:v>CUUR0000SEGB</x:v>
      </x:c>
      <x:c r="C64" s="2" t="str">
        <x:v>2024-03-31</x:v>
      </x:c>
      <x:c r="D64" s="2" t="str">
        <x:v>One month</x:v>
      </x:c>
      <x:c r="E64" s="2" t="str">
        <x:v>2024-02-13</x:v>
      </x:c>
      <x:c r="F64" s="2" t="str">
        <x:v>2024-02-01</x:v>
      </x:c>
      <x:c r="G64" s="2" t="str">
        <x:v>Flat level</x:v>
      </x:c>
      <x:c r="H64" s="7" t="n">
        <x:v>177.546</x:v>
      </x:c>
      <x:c r="I64" s="7" t="n">
        <x:v>179.311</x:v>
      </x:c>
      <x:c r="J64" s="2" t="str">
        <x:v>2024-03-12</x:v>
      </x:c>
      <x:c r="K64" s="7" t="n">
        <x:f>100*(H64/I64-1)</x:f>
        <x:v>-0.9843233265109275</x:v>
      </x:c>
      <x:c r="L64" s="7" t="n">
        <x:f>ABS(K64)</x:f>
        <x:v>0.9843233265109275</x:v>
      </x:c>
      <x:c r="M64" s="2" t="str">
        <x:v>Calibration</x:v>
      </x:c>
    </x:row>
    <x:row r="65" ht="27" customHeight="1">
      <x:c r="A65" s="2"/>
      <x:c r="B65" s="2" t="str">
        <x:v>CUUR0000SEGB</x:v>
      </x:c>
      <x:c r="C65" s="2" t="str">
        <x:v>2024-03-31</x:v>
      </x:c>
      <x:c r="D65" s="2" t="str">
        <x:v>One month</x:v>
      </x:c>
      <x:c r="E65" s="2" t="str">
        <x:v>2024-02-13</x:v>
      </x:c>
      <x:c r="F65" s="2" t="str">
        <x:v>2024-03-01</x:v>
      </x:c>
      <x:c r="G65" s="2" t="str">
        <x:v>Flat level</x:v>
      </x:c>
      <x:c r="H65" s="7" t="n">
        <x:v>177.546</x:v>
      </x:c>
      <x:c r="I65" s="7" t="n">
        <x:v>179.706</x:v>
      </x:c>
      <x:c r="J65" s="2" t="str">
        <x:v>2024-04-10</x:v>
      </x:c>
      <x:c r="K65" s="7" t="n">
        <x:f>100*(H65/I65-1)</x:f>
        <x:v>-1.201963206570733</x:v>
      </x:c>
      <x:c r="L65" s="7" t="n">
        <x:f>ABS(K65)</x:f>
        <x:v>1.201963206570733</x:v>
      </x:c>
      <x:c r="M65" s="2" t="str">
        <x:v>Calibration</x:v>
      </x:c>
    </x:row>
    <x:row r="66" ht="27" customHeight="1">
      <x:c r="A66" s="2"/>
      <x:c r="B66" s="2" t="str">
        <x:v>CUUR0000SEGB</x:v>
      </x:c>
      <x:c r="C66" s="2" t="str">
        <x:v>2024-03-31</x:v>
      </x:c>
      <x:c r="D66" s="2" t="str">
        <x:v>One month</x:v>
      </x:c>
      <x:c r="E66" s="2" t="str">
        <x:v>2024-02-13</x:v>
      </x:c>
      <x:c r="F66" s="2" t="str">
        <x:v>2024-02-01</x:v>
      </x:c>
      <x:c r="G66" s="2" t="str">
        <x:v>Recent trend</x:v>
      </x:c>
      <x:c r="H66" s="7" t="n">
        <x:v>177.0425</x:v>
      </x:c>
      <x:c r="I66" s="7" t="n">
        <x:v>179.311</x:v>
      </x:c>
      <x:c r="J66" s="2" t="str">
        <x:v>2024-03-12</x:v>
      </x:c>
      <x:c r="K66" s="7" t="n">
        <x:f>100*(H66/I66-1)</x:f>
        <x:v>-1.265120377444784</x:v>
      </x:c>
      <x:c r="L66" s="7" t="n">
        <x:f>ABS(K66)</x:f>
        <x:v>1.265120377444784</x:v>
      </x:c>
      <x:c r="M66" s="2" t="str">
        <x:v>Calibration</x:v>
      </x:c>
    </x:row>
    <x:row r="67" ht="27" customHeight="1">
      <x:c r="A67" s="2"/>
      <x:c r="B67" s="2" t="str">
        <x:v>CUUR0000SEGB</x:v>
      </x:c>
      <x:c r="C67" s="2" t="str">
        <x:v>2024-03-31</x:v>
      </x:c>
      <x:c r="D67" s="2" t="str">
        <x:v>One month</x:v>
      </x:c>
      <x:c r="E67" s="2" t="str">
        <x:v>2024-02-13</x:v>
      </x:c>
      <x:c r="F67" s="2" t="str">
        <x:v>2024-03-01</x:v>
      </x:c>
      <x:c r="G67" s="2" t="str">
        <x:v>Recent trend</x:v>
      </x:c>
      <x:c r="H67" s="7" t="n">
        <x:v>176.539</x:v>
      </x:c>
      <x:c r="I67" s="7" t="n">
        <x:v>179.706</x:v>
      </x:c>
      <x:c r="J67" s="2" t="str">
        <x:v>2024-04-10</x:v>
      </x:c>
      <x:c r="K67" s="7" t="n">
        <x:f>100*(H67/I67-1)</x:f>
        <x:v>-1.762322905189584</x:v>
      </x:c>
      <x:c r="L67" s="7" t="n">
        <x:f>ABS(K67)</x:f>
        <x:v>1.762322905189584</x:v>
      </x:c>
      <x:c r="M67" s="2" t="str">
        <x:v>Calibration</x:v>
      </x:c>
    </x:row>
    <x:row r="68" ht="27" customHeight="1">
      <x:c r="A68" s="2"/>
      <x:c r="B68" s="2" t="str">
        <x:v>CUUR0000SEGB</x:v>
      </x:c>
      <x:c r="C68" s="2" t="str">
        <x:v>2024-03-31</x:v>
      </x:c>
      <x:c r="D68" s="2" t="str">
        <x:v>One month</x:v>
      </x:c>
      <x:c r="E68" s="2" t="str">
        <x:v>2024-02-13</x:v>
      </x:c>
      <x:c r="F68" s="2" t="str">
        <x:v>2024-02-01</x:v>
      </x:c>
      <x:c r="G68" s="2" t="str">
        <x:v>Seasonal step</x:v>
      </x:c>
      <x:c r="H68" s="7" t="n">
        <x:v>178.43094062574693</x:v>
      </x:c>
      <x:c r="I68" s="7" t="n">
        <x:v>179.311</x:v>
      </x:c>
      <x:c r="J68" s="2" t="str">
        <x:v>2024-03-12</x:v>
      </x:c>
      <x:c r="K68" s="7" t="n">
        <x:f>100*(H68/I68-1)</x:f>
        <x:v>-0.4908005500237511</x:v>
      </x:c>
      <x:c r="L68" s="7" t="n">
        <x:f>ABS(K68)</x:f>
        <x:v>0.4908005500237511</x:v>
      </x:c>
      <x:c r="M68" s="2" t="str">
        <x:v>Calibration</x:v>
      </x:c>
    </x:row>
    <x:row r="69" ht="27" customHeight="1">
      <x:c r="A69" s="2"/>
      <x:c r="B69" s="2" t="str">
        <x:v>CUUR0000SEGB</x:v>
      </x:c>
      <x:c r="C69" s="2" t="str">
        <x:v>2024-03-31</x:v>
      </x:c>
      <x:c r="D69" s="2" t="str">
        <x:v>One month</x:v>
      </x:c>
      <x:c r="E69" s="2" t="str">
        <x:v>2024-02-13</x:v>
      </x:c>
      <x:c r="F69" s="2" t="str">
        <x:v>2024-03-01</x:v>
      </x:c>
      <x:c r="G69" s="2" t="str">
        <x:v>Seasonal step</x:v>
      </x:c>
      <x:c r="H69" s="7" t="n">
        <x:v>179.88721133969537</x:v>
      </x:c>
      <x:c r="I69" s="7" t="n">
        <x:v>179.706</x:v>
      </x:c>
      <x:c r="J69" s="2" t="str">
        <x:v>2024-04-10</x:v>
      </x:c>
      <x:c r="K69" s="7" t="n">
        <x:f>100*(H69/I69-1)</x:f>
        <x:v>0.10083766802186922</x:v>
      </x:c>
      <x:c r="L69" s="7" t="n">
        <x:f>ABS(K69)</x:f>
        <x:v>0.10083766802186922</x:v>
      </x:c>
      <x:c r="M69" s="2" t="str">
        <x:v>Calibration</x:v>
      </x:c>
    </x:row>
    <x:row r="70" ht="27" customHeight="1">
      <x:c r="A70" s="2"/>
      <x:c r="B70" s="2" t="str">
        <x:v>CUUR0000SEGB</x:v>
      </x:c>
      <x:c r="C70" s="2" t="str">
        <x:v>2024-03-31</x:v>
      </x:c>
      <x:c r="D70" s="2" t="str">
        <x:v>Two months</x:v>
      </x:c>
      <x:c r="E70" s="2" t="str">
        <x:v>2024-03-12</x:v>
      </x:c>
      <x:c r="F70" s="2" t="str">
        <x:v>2024-03-01</x:v>
      </x:c>
      <x:c r="G70" s="2" t="str">
        <x:v>YoY carry</x:v>
      </x:c>
      <x:c r="H70" s="7" t="n">
        <x:v>180.0379513745213</x:v>
      </x:c>
      <x:c r="I70" s="7" t="n">
        <x:v>179.706</x:v>
      </x:c>
      <x:c r="J70" s="2" t="str">
        <x:v>2024-04-10</x:v>
      </x:c>
      <x:c r="K70" s="7" t="n">
        <x:f>100*(H70/I70-1)</x:f>
        <x:v>0.18471913821536123</x:v>
      </x:c>
      <x:c r="L70" s="7" t="n">
        <x:f>ABS(K70)</x:f>
        <x:v>0.18471913821536123</x:v>
      </x:c>
      <x:c r="M70" s="2" t="str">
        <x:v>Calibration</x:v>
      </x:c>
    </x:row>
    <x:row r="71" ht="27" customHeight="1">
      <x:c r="A71" s="2"/>
      <x:c r="B71" s="2" t="str">
        <x:v>CUUR0000SEGB</x:v>
      </x:c>
      <x:c r="C71" s="2" t="str">
        <x:v>2024-03-31</x:v>
      </x:c>
      <x:c r="D71" s="2" t="str">
        <x:v>Two months</x:v>
      </x:c>
      <x:c r="E71" s="2" t="str">
        <x:v>2024-03-12</x:v>
      </x:c>
      <x:c r="F71" s="2" t="str">
        <x:v>2024-03-01</x:v>
      </x:c>
      <x:c r="G71" s="2" t="str">
        <x:v>Flat level</x:v>
      </x:c>
      <x:c r="H71" s="7" t="n">
        <x:v>179.311</x:v>
      </x:c>
      <x:c r="I71" s="7" t="n">
        <x:v>179.706</x:v>
      </x:c>
      <x:c r="J71" s="2" t="str">
        <x:v>2024-04-10</x:v>
      </x:c>
      <x:c r="K71" s="7" t="n">
        <x:f>100*(H71/I71-1)</x:f>
        <x:v>-0.21980345675713941</x:v>
      </x:c>
      <x:c r="L71" s="7" t="n">
        <x:f>ABS(K71)</x:f>
        <x:v>0.21980345675713941</x:v>
      </x:c>
      <x:c r="M71" s="2" t="str">
        <x:v>Calibration</x:v>
      </x:c>
    </x:row>
    <x:row r="72" ht="27" customHeight="1">
      <x:c r="A72" s="2"/>
      <x:c r="B72" s="2" t="str">
        <x:v>CUUR0000SEGB</x:v>
      </x:c>
      <x:c r="C72" s="2" t="str">
        <x:v>2024-03-31</x:v>
      </x:c>
      <x:c r="D72" s="2" t="str">
        <x:v>Two months</x:v>
      </x:c>
      <x:c r="E72" s="2" t="str">
        <x:v>2024-03-12</x:v>
      </x:c>
      <x:c r="F72" s="2" t="str">
        <x:v>2024-03-01</x:v>
      </x:c>
      <x:c r="G72" s="2" t="str">
        <x:v>Recent trend</x:v>
      </x:c>
      <x:c r="H72" s="7" t="n">
        <x:v>180.6565</x:v>
      </x:c>
      <x:c r="I72" s="7" t="n">
        <x:v>179.706</x:v>
      </x:c>
      <x:c r="J72" s="2" t="str">
        <x:v>2024-04-10</x:v>
      </x:c>
      <x:c r="K72" s="7" t="n">
        <x:f>100*(H72/I72-1)</x:f>
        <x:v>0.5289194573358635</x:v>
      </x:c>
      <x:c r="L72" s="7" t="n">
        <x:f>ABS(K72)</x:f>
        <x:v>0.5289194573358635</x:v>
      </x:c>
      <x:c r="M72" s="2" t="str">
        <x:v>Calibration</x:v>
      </x:c>
    </x:row>
    <x:row r="73" ht="27" customHeight="1">
      <x:c r="A73" s="2"/>
      <x:c r="B73" s="2" t="str">
        <x:v>CUUR0000SEGB</x:v>
      </x:c>
      <x:c r="C73" s="2" t="str">
        <x:v>2024-03-31</x:v>
      </x:c>
      <x:c r="D73" s="2" t="str">
        <x:v>Two months</x:v>
      </x:c>
      <x:c r="E73" s="2" t="str">
        <x:v>2024-03-12</x:v>
      </x:c>
      <x:c r="F73" s="2" t="str">
        <x:v>2024-03-01</x:v>
      </x:c>
      <x:c r="G73" s="2" t="str">
        <x:v>Seasonal step</x:v>
      </x:c>
      <x:c r="H73" s="7" t="n">
        <x:v>180.7744533510447</x:v>
      </x:c>
      <x:c r="I73" s="7" t="n">
        <x:v>179.706</x:v>
      </x:c>
      <x:c r="J73" s="2" t="str">
        <x:v>2024-04-10</x:v>
      </x:c>
      <x:c r="K73" s="7" t="n">
        <x:f>100*(H73/I73-1)</x:f>
        <x:v>0.5945563036541479</x:v>
      </x:c>
      <x:c r="L73" s="7" t="n">
        <x:f>ABS(K73)</x:f>
        <x:v>0.5945563036541479</x:v>
      </x:c>
      <x:c r="M73" s="2" t="str">
        <x:v>Calibration</x:v>
      </x:c>
    </x:row>
    <x:row r="74" ht="27" customHeight="1">
      <x:c r="A74" s="2"/>
      <x:c r="B74" s="2" t="str">
        <x:v>CUUR0000SEGB</x:v>
      </x:c>
      <x:c r="C74" s="2" t="str">
        <x:v>2024-06-30</x:v>
      </x:c>
      <x:c r="D74" s="2" t="str">
        <x:v>Origin</x:v>
      </x:c>
      <x:c r="E74" s="2" t="str">
        <x:v>2024-04-01</x:v>
      </x:c>
      <x:c r="F74" s="2" t="str">
        <x:v>2024-04-01</x:v>
      </x:c>
      <x:c r="G74" s="2" t="str">
        <x:v>YoY carry</x:v>
      </x:c>
      <x:c r="H74" s="7" t="n">
        <x:v>180.99407377380948</x:v>
      </x:c>
      <x:c r="I74" s="7" t="n">
        <x:v>179.28</x:v>
      </x:c>
      <x:c r="J74" s="2" t="str">
        <x:v>2024-05-15</x:v>
      </x:c>
      <x:c r="K74" s="7" t="n">
        <x:f>100*(H74/I74-1)</x:f>
        <x:v>0.956087557903551</x:v>
      </x:c>
      <x:c r="L74" s="7" t="n">
        <x:f>ABS(K74)</x:f>
        <x:v>0.956087557903551</x:v>
      </x:c>
      <x:c r="M74" s="2" t="str">
        <x:v>Calibration</x:v>
      </x:c>
    </x:row>
    <x:row r="75" ht="27" customHeight="1">
      <x:c r="A75" s="2"/>
      <x:c r="B75" s="2" t="str">
        <x:v>CUUR0000SEGB</x:v>
      </x:c>
      <x:c r="C75" s="2" t="str">
        <x:v>2024-06-30</x:v>
      </x:c>
      <x:c r="D75" s="2" t="str">
        <x:v>Origin</x:v>
      </x:c>
      <x:c r="E75" s="2" t="str">
        <x:v>2024-04-01</x:v>
      </x:c>
      <x:c r="F75" s="2" t="str">
        <x:v>2024-05-01</x:v>
      </x:c>
      <x:c r="G75" s="2" t="str">
        <x:v>YoY carry</x:v>
      </x:c>
      <x:c r="H75" s="7" t="n">
        <x:v>182.8172324116721</x:v>
      </x:c>
      <x:c r="I75" s="7" t="n">
        <x:v>178.83</x:v>
      </x:c>
      <x:c r="J75" s="2" t="str">
        <x:v>2024-06-12</x:v>
      </x:c>
      <x:c r="K75" s="7" t="n">
        <x:f>100*(H75/I75-1)</x:f>
        <x:v>2.229621658375036</x:v>
      </x:c>
      <x:c r="L75" s="7" t="n">
        <x:f>ABS(K75)</x:f>
        <x:v>2.229621658375036</x:v>
      </x:c>
      <x:c r="M75" s="2" t="str">
        <x:v>Calibration</x:v>
      </x:c>
    </x:row>
    <x:row r="76" ht="27" customHeight="1">
      <x:c r="A76" s="2"/>
      <x:c r="B76" s="2" t="str">
        <x:v>CUUR0000SEGB</x:v>
      </x:c>
      <x:c r="C76" s="2" t="str">
        <x:v>2024-06-30</x:v>
      </x:c>
      <x:c r="D76" s="2" t="str">
        <x:v>Origin</x:v>
      </x:c>
      <x:c r="E76" s="2" t="str">
        <x:v>2024-04-01</x:v>
      </x:c>
      <x:c r="F76" s="2" t="str">
        <x:v>2024-06-01</x:v>
      </x:c>
      <x:c r="G76" s="2" t="str">
        <x:v>YoY carry</x:v>
      </x:c>
      <x:c r="H76" s="7" t="n">
        <x:v>183.19222299514155</x:v>
      </x:c>
      <x:c r="I76" s="7" t="n">
        <x:v>178.682</x:v>
      </x:c>
      <x:c r="J76" s="2" t="str">
        <x:v>2024-07-11</x:v>
      </x:c>
      <x:c r="K76" s="7" t="n">
        <x:f>100*(H76/I76-1)</x:f>
        <x:v>2.5241619162207574</x:v>
      </x:c>
      <x:c r="L76" s="7" t="n">
        <x:f>ABS(K76)</x:f>
        <x:v>2.5241619162207574</x:v>
      </x:c>
      <x:c r="M76" s="2" t="str">
        <x:v>Calibration</x:v>
      </x:c>
    </x:row>
    <x:row r="77" ht="27" customHeight="1">
      <x:c r="A77" s="2"/>
      <x:c r="B77" s="2" t="str">
        <x:v>CUUR0000SEGB</x:v>
      </x:c>
      <x:c r="C77" s="2" t="str">
        <x:v>2024-06-30</x:v>
      </x:c>
      <x:c r="D77" s="2" t="str">
        <x:v>Origin</x:v>
      </x:c>
      <x:c r="E77" s="2" t="str">
        <x:v>2024-04-01</x:v>
      </x:c>
      <x:c r="F77" s="2" t="str">
        <x:v>2024-04-01</x:v>
      </x:c>
      <x:c r="G77" s="2" t="str">
        <x:v>Flat level</x:v>
      </x:c>
      <x:c r="H77" s="7" t="n">
        <x:v>179.311</x:v>
      </x:c>
      <x:c r="I77" s="7" t="n">
        <x:v>179.28</x:v>
      </x:c>
      <x:c r="J77" s="2" t="str">
        <x:v>2024-05-15</x:v>
      </x:c>
      <x:c r="K77" s="7" t="n">
        <x:f>100*(H77/I77-1)</x:f>
        <x:v>0.017291387773310518</x:v>
      </x:c>
      <x:c r="L77" s="7" t="n">
        <x:f>ABS(K77)</x:f>
        <x:v>0.017291387773310518</x:v>
      </x:c>
      <x:c r="M77" s="2" t="str">
        <x:v>Calibration</x:v>
      </x:c>
    </x:row>
    <x:row r="78" ht="27" customHeight="1">
      <x:c r="A78" s="2"/>
      <x:c r="B78" s="2" t="str">
        <x:v>CUUR0000SEGB</x:v>
      </x:c>
      <x:c r="C78" s="2" t="str">
        <x:v>2024-06-30</x:v>
      </x:c>
      <x:c r="D78" s="2" t="str">
        <x:v>Origin</x:v>
      </x:c>
      <x:c r="E78" s="2" t="str">
        <x:v>2024-04-01</x:v>
      </x:c>
      <x:c r="F78" s="2" t="str">
        <x:v>2024-05-01</x:v>
      </x:c>
      <x:c r="G78" s="2" t="str">
        <x:v>Flat level</x:v>
      </x:c>
      <x:c r="H78" s="7" t="n">
        <x:v>179.311</x:v>
      </x:c>
      <x:c r="I78" s="7" t="n">
        <x:v>178.83</x:v>
      </x:c>
      <x:c r="J78" s="2" t="str">
        <x:v>2024-06-12</x:v>
      </x:c>
      <x:c r="K78" s="7" t="n">
        <x:f>100*(H78/I78-1)</x:f>
        <x:v>0.26897053067158616</x:v>
      </x:c>
      <x:c r="L78" s="7" t="n">
        <x:f>ABS(K78)</x:f>
        <x:v>0.26897053067158616</x:v>
      </x:c>
      <x:c r="M78" s="2" t="str">
        <x:v>Calibration</x:v>
      </x:c>
    </x:row>
    <x:row r="79" ht="27" customHeight="1">
      <x:c r="A79" s="2"/>
      <x:c r="B79" s="2" t="str">
        <x:v>CUUR0000SEGB</x:v>
      </x:c>
      <x:c r="C79" s="2" t="str">
        <x:v>2024-06-30</x:v>
      </x:c>
      <x:c r="D79" s="2" t="str">
        <x:v>Origin</x:v>
      </x:c>
      <x:c r="E79" s="2" t="str">
        <x:v>2024-04-01</x:v>
      </x:c>
      <x:c r="F79" s="2" t="str">
        <x:v>2024-06-01</x:v>
      </x:c>
      <x:c r="G79" s="2" t="str">
        <x:v>Flat level</x:v>
      </x:c>
      <x:c r="H79" s="7" t="n">
        <x:v>179.311</x:v>
      </x:c>
      <x:c r="I79" s="7" t="n">
        <x:v>178.682</x:v>
      </x:c>
      <x:c r="J79" s="2" t="str">
        <x:v>2024-07-11</x:v>
      </x:c>
      <x:c r="K79" s="7" t="n">
        <x:f>100*(H79/I79-1)</x:f>
        <x:v>0.352022027960297</x:v>
      </x:c>
      <x:c r="L79" s="7" t="n">
        <x:f>ABS(K79)</x:f>
        <x:v>0.352022027960297</x:v>
      </x:c>
      <x:c r="M79" s="2" t="str">
        <x:v>Calibration</x:v>
      </x:c>
    </x:row>
    <x:row r="80" ht="27" customHeight="1">
      <x:c r="A80" s="2"/>
      <x:c r="B80" s="2" t="str">
        <x:v>CUUR0000SEGB</x:v>
      </x:c>
      <x:c r="C80" s="2" t="str">
        <x:v>2024-06-30</x:v>
      </x:c>
      <x:c r="D80" s="2" t="str">
        <x:v>Origin</x:v>
      </x:c>
      <x:c r="E80" s="2" t="str">
        <x:v>2024-04-01</x:v>
      </x:c>
      <x:c r="F80" s="2" t="str">
        <x:v>2024-04-01</x:v>
      </x:c>
      <x:c r="G80" s="2" t="str">
        <x:v>Recent trend</x:v>
      </x:c>
      <x:c r="H80" s="7" t="n">
        <x:v>182.002</x:v>
      </x:c>
      <x:c r="I80" s="7" t="n">
        <x:v>179.28</x:v>
      </x:c>
      <x:c r="J80" s="2" t="str">
        <x:v>2024-05-15</x:v>
      </x:c>
      <x:c r="K80" s="7" t="n">
        <x:f>100*(H80/I80-1)</x:f>
        <x:v>1.5182954038375662</x:v>
      </x:c>
      <x:c r="L80" s="7" t="n">
        <x:f>ABS(K80)</x:f>
        <x:v>1.5182954038375662</x:v>
      </x:c>
      <x:c r="M80" s="2" t="str">
        <x:v>Calibration</x:v>
      </x:c>
    </x:row>
    <x:row r="81" ht="27" customHeight="1">
      <x:c r="A81" s="2"/>
      <x:c r="B81" s="2" t="str">
        <x:v>CUUR0000SEGB</x:v>
      </x:c>
      <x:c r="C81" s="2" t="str">
        <x:v>2024-06-30</x:v>
      </x:c>
      <x:c r="D81" s="2" t="str">
        <x:v>Origin</x:v>
      </x:c>
      <x:c r="E81" s="2" t="str">
        <x:v>2024-04-01</x:v>
      </x:c>
      <x:c r="F81" s="2" t="str">
        <x:v>2024-05-01</x:v>
      </x:c>
      <x:c r="G81" s="2" t="str">
        <x:v>Recent trend</x:v>
      </x:c>
      <x:c r="H81" s="7" t="n">
        <x:v>183.34750000000003</x:v>
      </x:c>
      <x:c r="I81" s="7" t="n">
        <x:v>178.83</x:v>
      </x:c>
      <x:c r="J81" s="2" t="str">
        <x:v>2024-06-12</x:v>
      </x:c>
      <x:c r="K81" s="7" t="n">
        <x:f>100*(H81/I81-1)</x:f>
        <x:v>2.52614214617235</x:v>
      </x:c>
      <x:c r="L81" s="7" t="n">
        <x:f>ABS(K81)</x:f>
        <x:v>2.52614214617235</x:v>
      </x:c>
      <x:c r="M81" s="2" t="str">
        <x:v>Calibration</x:v>
      </x:c>
    </x:row>
    <x:row r="82" ht="27" customHeight="1">
      <x:c r="A82" s="2"/>
      <x:c r="B82" s="2" t="str">
        <x:v>CUUR0000SEGB</x:v>
      </x:c>
      <x:c r="C82" s="2" t="str">
        <x:v>2024-06-30</x:v>
      </x:c>
      <x:c r="D82" s="2" t="str">
        <x:v>Origin</x:v>
      </x:c>
      <x:c r="E82" s="2" t="str">
        <x:v>2024-04-01</x:v>
      </x:c>
      <x:c r="F82" s="2" t="str">
        <x:v>2024-06-01</x:v>
      </x:c>
      <x:c r="G82" s="2" t="str">
        <x:v>Recent trend</x:v>
      </x:c>
      <x:c r="H82" s="7" t="n">
        <x:v>184.693</x:v>
      </x:c>
      <x:c r="I82" s="7" t="n">
        <x:v>178.682</x:v>
      </x:c>
      <x:c r="J82" s="2" t="str">
        <x:v>2024-07-11</x:v>
      </x:c>
      <x:c r="K82" s="7" t="n">
        <x:f>100*(H82/I82-1)</x:f>
        <x:v>3.3640769635441936</x:v>
      </x:c>
      <x:c r="L82" s="7" t="n">
        <x:f>ABS(K82)</x:f>
        <x:v>3.3640769635441936</x:v>
      </x:c>
      <x:c r="M82" s="2" t="str">
        <x:v>Calibration</x:v>
      </x:c>
    </x:row>
    <x:row r="83" ht="27" customHeight="1">
      <x:c r="A83" s="2"/>
      <x:c r="B83" s="2" t="str">
        <x:v>CUUR0000SEGB</x:v>
      </x:c>
      <x:c r="C83" s="2" t="str">
        <x:v>2024-06-30</x:v>
      </x:c>
      <x:c r="D83" s="2" t="str">
        <x:v>Origin</x:v>
      </x:c>
      <x:c r="E83" s="2" t="str">
        <x:v>2024-04-01</x:v>
      </x:c>
      <x:c r="F83" s="2" t="str">
        <x:v>2024-04-01</x:v>
      </x:c>
      <x:c r="G83" s="2" t="str">
        <x:v>Seasonal step</x:v>
      </x:c>
      <x:c r="H83" s="7" t="n">
        <x:v>181.37048004571523</x:v>
      </x:c>
      <x:c r="I83" s="7" t="n">
        <x:v>179.28</x:v>
      </x:c>
      <x:c r="J83" s="2" t="str">
        <x:v>2024-05-15</x:v>
      </x:c>
      <x:c r="K83" s="7" t="n">
        <x:f>100*(H83/I83-1)</x:f>
        <x:v>1.1660419710593617</x:v>
      </x:c>
      <x:c r="L83" s="7" t="n">
        <x:f>ABS(K83)</x:f>
        <x:v>1.1660419710593617</x:v>
      </x:c>
      <x:c r="M83" s="2" t="str">
        <x:v>Calibration</x:v>
      </x:c>
    </x:row>
    <x:row r="84" ht="27" customHeight="1">
      <x:c r="A84" s="2"/>
      <x:c r="B84" s="2" t="str">
        <x:v>CUUR0000SEGB</x:v>
      </x:c>
      <x:c r="C84" s="2" t="str">
        <x:v>2024-06-30</x:v>
      </x:c>
      <x:c r="D84" s="2" t="str">
        <x:v>Origin</x:v>
      </x:c>
      <x:c r="E84" s="2" t="str">
        <x:v>2024-04-01</x:v>
      </x:c>
      <x:c r="F84" s="2" t="str">
        <x:v>2024-05-01</x:v>
      </x:c>
      <x:c r="G84" s="2" t="str">
        <x:v>Seasonal step</x:v>
      </x:c>
      <x:c r="H84" s="7" t="n">
        <x:v>181.88120180453143</x:v>
      </x:c>
      <x:c r="I84" s="7" t="n">
        <x:v>178.83</x:v>
      </x:c>
      <x:c r="J84" s="2" t="str">
        <x:v>2024-06-12</x:v>
      </x:c>
      <x:c r="K84" s="7" t="n">
        <x:f>100*(H84/I84-1)</x:f>
        <x:v>1.7062024294197897</x:v>
      </x:c>
      <x:c r="L84" s="7" t="n">
        <x:f>ABS(K84)</x:f>
        <x:v>1.7062024294197897</x:v>
      </x:c>
      <x:c r="M84" s="2" t="str">
        <x:v>Calibration</x:v>
      </x:c>
    </x:row>
    <x:row r="85" ht="27" customHeight="1">
      <x:c r="A85" s="2"/>
      <x:c r="B85" s="2" t="str">
        <x:v>CUUR0000SEGB</x:v>
      </x:c>
      <x:c r="C85" s="2" t="str">
        <x:v>2024-06-30</x:v>
      </x:c>
      <x:c r="D85" s="2" t="str">
        <x:v>Origin</x:v>
      </x:c>
      <x:c r="E85" s="2" t="str">
        <x:v>2024-04-01</x:v>
      </x:c>
      <x:c r="F85" s="2" t="str">
        <x:v>2024-06-01</x:v>
      </x:c>
      <x:c r="G85" s="2" t="str">
        <x:v>Seasonal step</x:v>
      </x:c>
      <x:c r="H85" s="7" t="n">
        <x:v>182.2542724231328</x:v>
      </x:c>
      <x:c r="I85" s="7" t="n">
        <x:v>178.682</x:v>
      </x:c>
      <x:c r="J85" s="2" t="str">
        <x:v>2024-07-11</x:v>
      </x:c>
      <x:c r="K85" s="7" t="n">
        <x:f>100*(H85/I85-1)</x:f>
        <x:v>1.9992346308709275</x:v>
      </x:c>
      <x:c r="L85" s="7" t="n">
        <x:f>ABS(K85)</x:f>
        <x:v>1.9992346308709275</x:v>
      </x:c>
      <x:c r="M85" s="2" t="str">
        <x:v>Calibration</x:v>
      </x:c>
    </x:row>
    <x:row r="86" ht="27" customHeight="1">
      <x:c r="A86" s="2"/>
      <x:c r="B86" s="2" t="str">
        <x:v>CUUR0000SEGB</x:v>
      </x:c>
      <x:c r="C86" s="2" t="str">
        <x:v>2024-06-30</x:v>
      </x:c>
      <x:c r="D86" s="2" t="str">
        <x:v>One month</x:v>
      </x:c>
      <x:c r="E86" s="2" t="str">
        <x:v>2024-05-15</x:v>
      </x:c>
      <x:c r="F86" s="2" t="str">
        <x:v>2024-05-01</x:v>
      </x:c>
      <x:c r="G86" s="2" t="str">
        <x:v>YoY carry</x:v>
      </x:c>
      <x:c r="H86" s="7" t="n">
        <x:v>182.3770510914267</x:v>
      </x:c>
      <x:c r="I86" s="7" t="n">
        <x:v>178.83</x:v>
      </x:c>
      <x:c r="J86" s="2" t="str">
        <x:v>2024-06-12</x:v>
      </x:c>
      <x:c r="K86" s="7" t="n">
        <x:f>100*(H86/I86-1)</x:f>
        <x:v>1.9834765371731233</x:v>
      </x:c>
      <x:c r="L86" s="7" t="n">
        <x:f>ABS(K86)</x:f>
        <x:v>1.9834765371731233</x:v>
      </x:c>
      <x:c r="M86" s="2" t="str">
        <x:v>Calibration</x:v>
      </x:c>
    </x:row>
    <x:row r="87" ht="27" customHeight="1">
      <x:c r="A87" s="2"/>
      <x:c r="B87" s="2" t="str">
        <x:v>CUUR0000SEGB</x:v>
      </x:c>
      <x:c r="C87" s="2" t="str">
        <x:v>2024-06-30</x:v>
      </x:c>
      <x:c r="D87" s="2" t="str">
        <x:v>One month</x:v>
      </x:c>
      <x:c r="E87" s="2" t="str">
        <x:v>2024-05-15</x:v>
      </x:c>
      <x:c r="F87" s="2" t="str">
        <x:v>2024-06-01</x:v>
      </x:c>
      <x:c r="G87" s="2" t="str">
        <x:v>YoY carry</x:v>
      </x:c>
      <x:c r="H87" s="7" t="n">
        <x:v>182.75113878490086</x:v>
      </x:c>
      <x:c r="I87" s="7" t="n">
        <x:v>178.682</x:v>
      </x:c>
      <x:c r="J87" s="2" t="str">
        <x:v>2024-07-11</x:v>
      </x:c>
      <x:c r="K87" s="7" t="n">
        <x:f>100*(H87/I87-1)</x:f>
        <x:v>2.2773076106719525</x:v>
      </x:c>
      <x:c r="L87" s="7" t="n">
        <x:f>ABS(K87)</x:f>
        <x:v>2.2773076106719525</x:v>
      </x:c>
      <x:c r="M87" s="2" t="str">
        <x:v>Calibration</x:v>
      </x:c>
    </x:row>
    <x:row r="88" ht="27" customHeight="1">
      <x:c r="A88" s="2"/>
      <x:c r="B88" s="2" t="str">
        <x:v>CUUR0000SEGB</x:v>
      </x:c>
      <x:c r="C88" s="2" t="str">
        <x:v>2024-06-30</x:v>
      </x:c>
      <x:c r="D88" s="2" t="str">
        <x:v>One month</x:v>
      </x:c>
      <x:c r="E88" s="2" t="str">
        <x:v>2024-05-15</x:v>
      </x:c>
      <x:c r="F88" s="2" t="str">
        <x:v>2024-05-01</x:v>
      </x:c>
      <x:c r="G88" s="2" t="str">
        <x:v>Flat level</x:v>
      </x:c>
      <x:c r="H88" s="7" t="n">
        <x:v>179.28</x:v>
      </x:c>
      <x:c r="I88" s="7" t="n">
        <x:v>178.83</x:v>
      </x:c>
      <x:c r="J88" s="2" t="str">
        <x:v>2024-06-12</x:v>
      </x:c>
      <x:c r="K88" s="7" t="n">
        <x:f>100*(H88/I88-1)</x:f>
        <x:v>0.251635631605418</x:v>
      </x:c>
      <x:c r="L88" s="7" t="n">
        <x:f>ABS(K88)</x:f>
        <x:v>0.251635631605418</x:v>
      </x:c>
      <x:c r="M88" s="2" t="str">
        <x:v>Calibration</x:v>
      </x:c>
    </x:row>
    <x:row r="89" ht="27" customHeight="1">
      <x:c r="A89" s="2"/>
      <x:c r="B89" s="2" t="str">
        <x:v>CUUR0000SEGB</x:v>
      </x:c>
      <x:c r="C89" s="2" t="str">
        <x:v>2024-06-30</x:v>
      </x:c>
      <x:c r="D89" s="2" t="str">
        <x:v>One month</x:v>
      </x:c>
      <x:c r="E89" s="2" t="str">
        <x:v>2024-05-15</x:v>
      </x:c>
      <x:c r="F89" s="2" t="str">
        <x:v>2024-06-01</x:v>
      </x:c>
      <x:c r="G89" s="2" t="str">
        <x:v>Flat level</x:v>
      </x:c>
      <x:c r="H89" s="7" t="n">
        <x:v>179.28</x:v>
      </x:c>
      <x:c r="I89" s="7" t="n">
        <x:v>178.682</x:v>
      </x:c>
      <x:c r="J89" s="2" t="str">
        <x:v>2024-07-11</x:v>
      </x:c>
      <x:c r="K89" s="7" t="n">
        <x:f>100*(H89/I89-1)</x:f>
        <x:v>0.33467277062044776</x:v>
      </x:c>
      <x:c r="L89" s="7" t="n">
        <x:f>ABS(K89)</x:f>
        <x:v>0.33467277062044776</x:v>
      </x:c>
      <x:c r="M89" s="2" t="str">
        <x:v>Calibration</x:v>
      </x:c>
    </x:row>
    <x:row r="90" ht="27" customHeight="1">
      <x:c r="A90" s="2"/>
      <x:c r="B90" s="2" t="str">
        <x:v>CUUR0000SEGB</x:v>
      </x:c>
      <x:c r="C90" s="2" t="str">
        <x:v>2024-06-30</x:v>
      </x:c>
      <x:c r="D90" s="2" t="str">
        <x:v>One month</x:v>
      </x:c>
      <x:c r="E90" s="2" t="str">
        <x:v>2024-05-15</x:v>
      </x:c>
      <x:c r="F90" s="2" t="str">
        <x:v>2024-05-01</x:v>
      </x:c>
      <x:c r="G90" s="2" t="str">
        <x:v>Recent trend</x:v>
      </x:c>
      <x:c r="H90" s="7" t="n">
        <x:v>179.2645</x:v>
      </x:c>
      <x:c r="I90" s="7" t="n">
        <x:v>178.83</x:v>
      </x:c>
      <x:c r="J90" s="2" t="str">
        <x:v>2024-06-12</x:v>
      </x:c>
      <x:c r="K90" s="7" t="n">
        <x:f>100*(H90/I90-1)</x:f>
        <x:v>0.24296818207234505</x:v>
      </x:c>
      <x:c r="L90" s="7" t="n">
        <x:f>ABS(K90)</x:f>
        <x:v>0.24296818207234505</x:v>
      </x:c>
      <x:c r="M90" s="2" t="str">
        <x:v>Calibration</x:v>
      </x:c>
    </x:row>
    <x:row r="91" ht="27" customHeight="1">
      <x:c r="A91" s="2"/>
      <x:c r="B91" s="2" t="str">
        <x:v>CUUR0000SEGB</x:v>
      </x:c>
      <x:c r="C91" s="2" t="str">
        <x:v>2024-06-30</x:v>
      </x:c>
      <x:c r="D91" s="2" t="str">
        <x:v>One month</x:v>
      </x:c>
      <x:c r="E91" s="2" t="str">
        <x:v>2024-05-15</x:v>
      </x:c>
      <x:c r="F91" s="2" t="str">
        <x:v>2024-06-01</x:v>
      </x:c>
      <x:c r="G91" s="2" t="str">
        <x:v>Recent trend</x:v>
      </x:c>
      <x:c r="H91" s="7" t="n">
        <x:v>179.249</x:v>
      </x:c>
      <x:c r="I91" s="7" t="n">
        <x:v>178.682</x:v>
      </x:c>
      <x:c r="J91" s="2" t="str">
        <x:v>2024-07-11</x:v>
      </x:c>
      <x:c r="K91" s="7" t="n">
        <x:f>100*(H91/I91-1)</x:f>
        <x:v>0.3173235132805763</x:v>
      </x:c>
      <x:c r="L91" s="7" t="n">
        <x:f>ABS(K91)</x:f>
        <x:v>0.3173235132805763</x:v>
      </x:c>
      <x:c r="M91" s="2" t="str">
        <x:v>Calibration</x:v>
      </x:c>
    </x:row>
    <x:row r="92" ht="27" customHeight="1">
      <x:c r="A92" s="2"/>
      <x:c r="B92" s="2" t="str">
        <x:v>CUUR0000SEGB</x:v>
      </x:c>
      <x:c r="C92" s="2" t="str">
        <x:v>2024-06-30</x:v>
      </x:c>
      <x:c r="D92" s="2" t="str">
        <x:v>One month</x:v>
      </x:c>
      <x:c r="E92" s="2" t="str">
        <x:v>2024-05-15</x:v>
      </x:c>
      <x:c r="F92" s="2" t="str">
        <x:v>2024-05-01</x:v>
      </x:c>
      <x:c r="G92" s="2" t="str">
        <x:v>Seasonal step</x:v>
      </x:c>
      <x:c r="H92" s="7" t="n">
        <x:v>179.7848351688626</x:v>
      </x:c>
      <x:c r="I92" s="7" t="n">
        <x:v>178.83</x:v>
      </x:c>
      <x:c r="J92" s="2" t="str">
        <x:v>2024-06-12</x:v>
      </x:c>
      <x:c r="K92" s="7" t="n">
        <x:f>100*(H92/I92-1)</x:f>
        <x:v>0.533934557324045</x:v>
      </x:c>
      <x:c r="L92" s="7" t="n">
        <x:f>ABS(K92)</x:f>
        <x:v>0.533934557324045</x:v>
      </x:c>
      <x:c r="M92" s="2" t="str">
        <x:v>Calibration</x:v>
      </x:c>
    </x:row>
    <x:row r="93" ht="27" customHeight="1">
      <x:c r="A93" s="2"/>
      <x:c r="B93" s="2" t="str">
        <x:v>CUUR0000SEGB</x:v>
      </x:c>
      <x:c r="C93" s="2" t="str">
        <x:v>2024-06-30</x:v>
      </x:c>
      <x:c r="D93" s="2" t="str">
        <x:v>One month</x:v>
      </x:c>
      <x:c r="E93" s="2" t="str">
        <x:v>2024-05-15</x:v>
      </x:c>
      <x:c r="F93" s="2" t="str">
        <x:v>2024-06-01</x:v>
      </x:c>
      <x:c r="G93" s="2" t="str">
        <x:v>Seasonal step</x:v>
      </x:c>
      <x:c r="H93" s="7" t="n">
        <x:v>180.15360576750683</x:v>
      </x:c>
      <x:c r="I93" s="7" t="n">
        <x:v>178.682</x:v>
      </x:c>
      <x:c r="J93" s="2" t="str">
        <x:v>2024-07-11</x:v>
      </x:c>
      <x:c r="K93" s="7" t="n">
        <x:f>100*(H93/I93-1)</x:f>
        <x:v>0.8235892633319697</x:v>
      </x:c>
      <x:c r="L93" s="7" t="n">
        <x:f>ABS(K93)</x:f>
        <x:v>0.8235892633319697</x:v>
      </x:c>
      <x:c r="M93" s="2" t="str">
        <x:v>Calibration</x:v>
      </x:c>
    </x:row>
    <x:row r="94" ht="27" customHeight="1">
      <x:c r="A94" s="2"/>
      <x:c r="B94" s="2" t="str">
        <x:v>CUUR0000SEGB</x:v>
      </x:c>
      <x:c r="C94" s="2" t="str">
        <x:v>2024-06-30</x:v>
      </x:c>
      <x:c r="D94" s="2" t="str">
        <x:v>Two months</x:v>
      </x:c>
      <x:c r="E94" s="2" t="str">
        <x:v>2024-06-12</x:v>
      </x:c>
      <x:c r="F94" s="2" t="str">
        <x:v>2024-06-01</x:v>
      </x:c>
      <x:c r="G94" s="2" t="str">
        <x:v>YoY carry</x:v>
      </x:c>
      <x:c r="H94" s="7" t="n">
        <x:v>181.1695333010775</x:v>
      </x:c>
      <x:c r="I94" s="7" t="n">
        <x:v>178.682</x:v>
      </x:c>
      <x:c r="J94" s="2" t="str">
        <x:v>2024-07-11</x:v>
      </x:c>
      <x:c r="K94" s="7" t="n">
        <x:f>100*(H94/I94-1)</x:f>
        <x:v>1.3921566252210749</x:v>
      </x:c>
      <x:c r="L94" s="7" t="n">
        <x:f>ABS(K94)</x:f>
        <x:v>1.3921566252210749</x:v>
      </x:c>
      <x:c r="M94" s="2" t="str">
        <x:v>Calibration</x:v>
      </x:c>
    </x:row>
    <x:row r="95" ht="27" customHeight="1">
      <x:c r="A95" s="2"/>
      <x:c r="B95" s="2" t="str">
        <x:v>CUUR0000SEGB</x:v>
      </x:c>
      <x:c r="C95" s="2" t="str">
        <x:v>2024-06-30</x:v>
      </x:c>
      <x:c r="D95" s="2" t="str">
        <x:v>Two months</x:v>
      </x:c>
      <x:c r="E95" s="2" t="str">
        <x:v>2024-06-12</x:v>
      </x:c>
      <x:c r="F95" s="2" t="str">
        <x:v>2024-06-01</x:v>
      </x:c>
      <x:c r="G95" s="2" t="str">
        <x:v>Flat level</x:v>
      </x:c>
      <x:c r="H95" s="7" t="n">
        <x:v>178.83</x:v>
      </x:c>
      <x:c r="I95" s="7" t="n">
        <x:v>178.682</x:v>
      </x:c>
      <x:c r="J95" s="2" t="str">
        <x:v>2024-07-11</x:v>
      </x:c>
      <x:c r="K95" s="7" t="n">
        <x:f>100*(H95/I95-1)</x:f>
        <x:v>0.08282871246125811</x:v>
      </x:c>
      <x:c r="L95" s="7" t="n">
        <x:f>ABS(K95)</x:f>
        <x:v>0.08282871246125811</x:v>
      </x:c>
      <x:c r="M95" s="2" t="str">
        <x:v>Calibration</x:v>
      </x:c>
    </x:row>
    <x:row r="96" ht="27" customHeight="1">
      <x:c r="A96" s="2"/>
      <x:c r="B96" s="2" t="str">
        <x:v>CUUR0000SEGB</x:v>
      </x:c>
      <x:c r="C96" s="2" t="str">
        <x:v>2024-06-30</x:v>
      </x:c>
      <x:c r="D96" s="2" t="str">
        <x:v>Two months</x:v>
      </x:c>
      <x:c r="E96" s="2" t="str">
        <x:v>2024-06-12</x:v>
      </x:c>
      <x:c r="F96" s="2" t="str">
        <x:v>2024-06-01</x:v>
      </x:c>
      <x:c r="G96" s="2" t="str">
        <x:v>Recent trend</x:v>
      </x:c>
      <x:c r="H96" s="7" t="n">
        <x:v>178.39200000000002</x:v>
      </x:c>
      <x:c r="I96" s="7" t="n">
        <x:v>178.682</x:v>
      </x:c>
      <x:c r="J96" s="2" t="str">
        <x:v>2024-07-11</x:v>
      </x:c>
      <x:c r="K96" s="7" t="n">
        <x:f>100*(H96/I96-1)</x:f>
        <x:v>-0.1622995041470121</x:v>
      </x:c>
      <x:c r="L96" s="7" t="n">
        <x:f>ABS(K96)</x:f>
        <x:v>0.1622995041470121</x:v>
      </x:c>
      <x:c r="M96" s="2" t="str">
        <x:v>Calibration</x:v>
      </x:c>
    </x:row>
    <x:row r="97" ht="27" customHeight="1">
      <x:c r="A97" s="2"/>
      <x:c r="B97" s="2" t="str">
        <x:v>CUUR0000SEGB</x:v>
      </x:c>
      <x:c r="C97" s="2" t="str">
        <x:v>2024-06-30</x:v>
      </x:c>
      <x:c r="D97" s="2" t="str">
        <x:v>Two months</x:v>
      </x:c>
      <x:c r="E97" s="2" t="str">
        <x:v>2024-06-12</x:v>
      </x:c>
      <x:c r="F97" s="2" t="str">
        <x:v>2024-06-01</x:v>
      </x:c>
      <x:c r="G97" s="2" t="str">
        <x:v>Seasonal step</x:v>
      </x:c>
      <x:c r="H97" s="7" t="n">
        <x:v>179.1968120622833</x:v>
      </x:c>
      <x:c r="I97" s="7" t="n">
        <x:v>178.682</x:v>
      </x:c>
      <x:c r="J97" s="2" t="str">
        <x:v>2024-07-11</x:v>
      </x:c>
      <x:c r="K97" s="7" t="n">
        <x:f>100*(H97/I97-1)</x:f>
        <x:v>0.2881163532327369</x:v>
      </x:c>
      <x:c r="L97" s="7" t="n">
        <x:f>ABS(K97)</x:f>
        <x:v>0.2881163532327369</x:v>
      </x:c>
      <x:c r="M97" s="2" t="str">
        <x:v>Calibration</x:v>
      </x:c>
    </x:row>
    <x:row r="98" ht="27" customHeight="1">
      <x:c r="A98" s="2"/>
      <x:c r="B98" s="2" t="str">
        <x:v>CUUR0000SEGB</x:v>
      </x:c>
      <x:c r="C98" s="2" t="str">
        <x:v>2024-09-30</x:v>
      </x:c>
      <x:c r="D98" s="2" t="str">
        <x:v>Origin</x:v>
      </x:c>
      <x:c r="E98" s="2" t="str">
        <x:v>2024-07-01</x:v>
      </x:c>
      <x:c r="F98" s="2" t="str">
        <x:v>2024-07-01</x:v>
      </x:c>
      <x:c r="G98" s="2" t="str">
        <x:v>YoY carry</x:v>
      </x:c>
      <x:c r="H98" s="7" t="n">
        <x:v>181.99421395151555</x:v>
      </x:c>
      <x:c r="I98" s="7" t="n">
        <x:v>179.079</x:v>
      </x:c>
      <x:c r="J98" s="2" t="str">
        <x:v>2024-08-14</x:v>
      </x:c>
      <x:c r="K98" s="7" t="n">
        <x:f>100*(H98/I98-1)</x:f>
        <x:v>1.6278926906647673</x:v>
      </x:c>
      <x:c r="L98" s="7" t="n">
        <x:f>ABS(K98)</x:f>
        <x:v>1.6278926906647673</x:v>
      </x:c>
      <x:c r="M98" s="2" t="str">
        <x:v>Yes</x:v>
      </x:c>
    </x:row>
    <x:row r="99" ht="27" customHeight="1">
      <x:c r="A99" s="2"/>
      <x:c r="B99" s="2" t="str">
        <x:v>CUUR0000SEGB</x:v>
      </x:c>
      <x:c r="C99" s="2" t="str">
        <x:v>2024-09-30</x:v>
      </x:c>
      <x:c r="D99" s="2" t="str">
        <x:v>Origin</x:v>
      </x:c>
      <x:c r="E99" s="2" t="str">
        <x:v>2024-07-01</x:v>
      </x:c>
      <x:c r="F99" s="2" t="str">
        <x:v>2024-08-01</x:v>
      </x:c>
      <x:c r="G99" s="2" t="str">
        <x:v>YoY carry</x:v>
      </x:c>
      <x:c r="H99" s="7" t="n">
        <x:v>182.49516902985616</x:v>
      </x:c>
      <x:c r="I99" s="7" t="n">
        <x:v>178.452</x:v>
      </x:c>
      <x:c r="J99" s="2" t="str">
        <x:v>2024-09-11</x:v>
      </x:c>
      <x:c r="K99" s="7" t="n">
        <x:f>100*(H99/I99-1)</x:f>
        <x:v>2.265689950158123</x:v>
      </x:c>
      <x:c r="L99" s="7" t="n">
        <x:f>ABS(K99)</x:f>
        <x:v>2.265689950158123</x:v>
      </x:c>
      <x:c r="M99" s="2" t="str">
        <x:v>Yes</x:v>
      </x:c>
    </x:row>
    <x:row r="100" ht="27" customHeight="1">
      <x:c r="A100" s="2"/>
      <x:c r="B100" s="2" t="str">
        <x:v>CUUR0000SEGB</x:v>
      </x:c>
      <x:c r="C100" s="2" t="str">
        <x:v>2024-09-30</x:v>
      </x:c>
      <x:c r="D100" s="2" t="str">
        <x:v>Origin</x:v>
      </x:c>
      <x:c r="E100" s="2" t="str">
        <x:v>2024-07-01</x:v>
      </x:c>
      <x:c r="F100" s="2" t="str">
        <x:v>2024-09-01</x:v>
      </x:c>
      <x:c r="G100" s="2" t="str">
        <x:v>YoY carry</x:v>
      </x:c>
      <x:c r="H100" s="7" t="n">
        <x:v>183.27170062368478</x:v>
      </x:c>
      <x:c r="I100" s="7" t="n">
        <x:v>179.154</x:v>
      </x:c>
      <x:c r="J100" s="2" t="str">
        <x:v>2024-10-10</x:v>
      </x:c>
      <x:c r="K100" s="7" t="n">
        <x:f>100*(H100/I100-1)</x:f>
        <x:v>2.298414003418725</x:v>
      </x:c>
      <x:c r="L100" s="7" t="n">
        <x:f>ABS(K100)</x:f>
        <x:v>2.298414003418725</x:v>
      </x:c>
      <x:c r="M100" s="2" t="str">
        <x:v>Yes</x:v>
      </x:c>
    </x:row>
    <x:row r="101" ht="27" customHeight="1">
      <x:c r="A101" s="2"/>
      <x:c r="B101" s="2" t="str">
        <x:v>CUUR0000SEGB</x:v>
      </x:c>
      <x:c r="C101" s="2" t="str">
        <x:v>2024-09-30</x:v>
      </x:c>
      <x:c r="D101" s="2" t="str">
        <x:v>Origin</x:v>
      </x:c>
      <x:c r="E101" s="2" t="str">
        <x:v>2024-07-01</x:v>
      </x:c>
      <x:c r="F101" s="2" t="str">
        <x:v>2024-07-01</x:v>
      </x:c>
      <x:c r="G101" s="2" t="str">
        <x:v>Flat level</x:v>
      </x:c>
      <x:c r="H101" s="7" t="n">
        <x:v>178.83</x:v>
      </x:c>
      <x:c r="I101" s="7" t="n">
        <x:v>179.079</x:v>
      </x:c>
      <x:c r="J101" s="2" t="str">
        <x:v>2024-08-14</x:v>
      </x:c>
      <x:c r="K101" s="7" t="n">
        <x:f>100*(H101/I101-1)</x:f>
        <x:v>-0.1390447791198235</x:v>
      </x:c>
      <x:c r="L101" s="7" t="n">
        <x:f>ABS(K101)</x:f>
        <x:v>0.1390447791198235</x:v>
      </x:c>
      <x:c r="M101" s="2" t="str">
        <x:v>Yes</x:v>
      </x:c>
    </x:row>
    <x:row r="102" ht="27" customHeight="1">
      <x:c r="A102" s="2"/>
      <x:c r="B102" s="2" t="str">
        <x:v>CUUR0000SEGB</x:v>
      </x:c>
      <x:c r="C102" s="2" t="str">
        <x:v>2024-09-30</x:v>
      </x:c>
      <x:c r="D102" s="2" t="str">
        <x:v>Origin</x:v>
      </x:c>
      <x:c r="E102" s="2" t="str">
        <x:v>2024-07-01</x:v>
      </x:c>
      <x:c r="F102" s="2" t="str">
        <x:v>2024-08-01</x:v>
      </x:c>
      <x:c r="G102" s="2" t="str">
        <x:v>Flat level</x:v>
      </x:c>
      <x:c r="H102" s="7" t="n">
        <x:v>178.83</x:v>
      </x:c>
      <x:c r="I102" s="7" t="n">
        <x:v>178.452</x:v>
      </x:c>
      <x:c r="J102" s="2" t="str">
        <x:v>2024-09-11</x:v>
      </x:c>
      <x:c r="K102" s="7" t="n">
        <x:f>100*(H102/I102-1)</x:f>
        <x:v>0.2118216663304473</x:v>
      </x:c>
      <x:c r="L102" s="7" t="n">
        <x:f>ABS(K102)</x:f>
        <x:v>0.2118216663304473</x:v>
      </x:c>
      <x:c r="M102" s="2" t="str">
        <x:v>Yes</x:v>
      </x:c>
    </x:row>
    <x:row r="103" ht="27" customHeight="1">
      <x:c r="A103" s="2"/>
      <x:c r="B103" s="2" t="str">
        <x:v>CUUR0000SEGB</x:v>
      </x:c>
      <x:c r="C103" s="2" t="str">
        <x:v>2024-09-30</x:v>
      </x:c>
      <x:c r="D103" s="2" t="str">
        <x:v>Origin</x:v>
      </x:c>
      <x:c r="E103" s="2" t="str">
        <x:v>2024-07-01</x:v>
      </x:c>
      <x:c r="F103" s="2" t="str">
        <x:v>2024-09-01</x:v>
      </x:c>
      <x:c r="G103" s="2" t="str">
        <x:v>Flat level</x:v>
      </x:c>
      <x:c r="H103" s="7" t="n">
        <x:v>178.83</x:v>
      </x:c>
      <x:c r="I103" s="7" t="n">
        <x:v>179.154</x:v>
      </x:c>
      <x:c r="J103" s="2" t="str">
        <x:v>2024-10-10</x:v>
      </x:c>
      <x:c r="K103" s="7" t="n">
        <x:f>100*(H103/I103-1)</x:f>
        <x:v>-0.1808499949763842</x:v>
      </x:c>
      <x:c r="L103" s="7" t="n">
        <x:f>ABS(K103)</x:f>
        <x:v>0.1808499949763842</x:v>
      </x:c>
      <x:c r="M103" s="2" t="str">
        <x:v>Yes</x:v>
      </x:c>
    </x:row>
    <x:row r="104" ht="27" customHeight="1">
      <x:c r="A104" s="2"/>
      <x:c r="B104" s="2" t="str">
        <x:v>CUUR0000SEGB</x:v>
      </x:c>
      <x:c r="C104" s="2" t="str">
        <x:v>2024-09-30</x:v>
      </x:c>
      <x:c r="D104" s="2" t="str">
        <x:v>Origin</x:v>
      </x:c>
      <x:c r="E104" s="2" t="str">
        <x:v>2024-07-01</x:v>
      </x:c>
      <x:c r="F104" s="2" t="str">
        <x:v>2024-07-01</x:v>
      </x:c>
      <x:c r="G104" s="2" t="str">
        <x:v>Recent trend</x:v>
      </x:c>
      <x:c r="H104" s="7" t="n">
        <x:v>177.95400000000004</x:v>
      </x:c>
      <x:c r="I104" s="7" t="n">
        <x:v>179.079</x:v>
      </x:c>
      <x:c r="J104" s="2" t="str">
        <x:v>2024-08-14</x:v>
      </x:c>
      <x:c r="K104" s="7" t="n">
        <x:f>100*(H104/I104-1)</x:f>
        <x:v>-0.6282143634931958</x:v>
      </x:c>
      <x:c r="L104" s="7" t="n">
        <x:f>ABS(K104)</x:f>
        <x:v>0.6282143634931958</x:v>
      </x:c>
      <x:c r="M104" s="2" t="str">
        <x:v>Yes</x:v>
      </x:c>
    </x:row>
    <x:row r="105" ht="27" customHeight="1">
      <x:c r="A105" s="2"/>
      <x:c r="B105" s="2" t="str">
        <x:v>CUUR0000SEGB</x:v>
      </x:c>
      <x:c r="C105" s="2" t="str">
        <x:v>2024-09-30</x:v>
      </x:c>
      <x:c r="D105" s="2" t="str">
        <x:v>Origin</x:v>
      </x:c>
      <x:c r="E105" s="2" t="str">
        <x:v>2024-07-01</x:v>
      </x:c>
      <x:c r="F105" s="2" t="str">
        <x:v>2024-08-01</x:v>
      </x:c>
      <x:c r="G105" s="2" t="str">
        <x:v>Recent trend</x:v>
      </x:c>
      <x:c r="H105" s="7" t="n">
        <x:v>177.51600000000005</x:v>
      </x:c>
      <x:c r="I105" s="7" t="n">
        <x:v>178.452</x:v>
      </x:c>
      <x:c r="J105" s="2" t="str">
        <x:v>2024-09-11</x:v>
      </x:c>
      <x:c r="K105" s="7" t="n">
        <x:f>100*(H105/I105-1)</x:f>
        <x:v>-0.5245107928182113</x:v>
      </x:c>
      <x:c r="L105" s="7" t="n">
        <x:f>ABS(K105)</x:f>
        <x:v>0.5245107928182113</x:v>
      </x:c>
      <x:c r="M105" s="2" t="str">
        <x:v>Yes</x:v>
      </x:c>
    </x:row>
    <x:row r="106" ht="27" customHeight="1">
      <x:c r="A106" s="2"/>
      <x:c r="B106" s="2" t="str">
        <x:v>CUUR0000SEGB</x:v>
      </x:c>
      <x:c r="C106" s="2" t="str">
        <x:v>2024-09-30</x:v>
      </x:c>
      <x:c r="D106" s="2" t="str">
        <x:v>Origin</x:v>
      </x:c>
      <x:c r="E106" s="2" t="str">
        <x:v>2024-07-01</x:v>
      </x:c>
      <x:c r="F106" s="2" t="str">
        <x:v>2024-09-01</x:v>
      </x:c>
      <x:c r="G106" s="2" t="str">
        <x:v>Recent trend</x:v>
      </x:c>
      <x:c r="H106" s="7" t="n">
        <x:v>177.07800000000006</x:v>
      </x:c>
      <x:c r="I106" s="7" t="n">
        <x:v>179.154</x:v>
      </x:c>
      <x:c r="J106" s="2" t="str">
        <x:v>2024-10-10</x:v>
      </x:c>
      <x:c r="K106" s="7" t="n">
        <x:f>100*(H106/I106-1)</x:f>
        <x:v>-1.158779597441273</x:v>
      </x:c>
      <x:c r="L106" s="7" t="n">
        <x:f>ABS(K106)</x:f>
        <x:v>1.158779597441273</x:v>
      </x:c>
      <x:c r="M106" s="2" t="str">
        <x:v>Yes</x:v>
      </x:c>
    </x:row>
    <x:row r="107" ht="27" customHeight="1">
      <x:c r="A107" s="2"/>
      <x:c r="B107" s="2" t="str">
        <x:v>CUUR0000SEGB</x:v>
      </x:c>
      <x:c r="C107" s="2" t="str">
        <x:v>2024-09-30</x:v>
      </x:c>
      <x:c r="D107" s="2" t="str">
        <x:v>Origin</x:v>
      </x:c>
      <x:c r="E107" s="2" t="str">
        <x:v>2024-07-01</x:v>
      </x:c>
      <x:c r="F107" s="2" t="str">
        <x:v>2024-07-01</x:v>
      </x:c>
      <x:c r="G107" s="2" t="str">
        <x:v>Seasonal step</x:v>
      </x:c>
      <x:c r="H107" s="7" t="n">
        <x:v>180.01251291901818</x:v>
      </x:c>
      <x:c r="I107" s="7" t="n">
        <x:v>179.079</x:v>
      </x:c>
      <x:c r="J107" s="2" t="str">
        <x:v>2024-08-14</x:v>
      </x:c>
      <x:c r="K107" s="7" t="n">
        <x:f>100*(H107/I107-1)</x:f>
        <x:v>0.5212855326521604</x:v>
      </x:c>
      <x:c r="L107" s="7" t="n">
        <x:f>ABS(K107)</x:f>
        <x:v>0.5212855326521604</x:v>
      </x:c>
      <x:c r="M107" s="2" t="str">
        <x:v>Yes</x:v>
      </x:c>
    </x:row>
    <x:row r="108" ht="27" customHeight="1">
      <x:c r="A108" s="2"/>
      <x:c r="B108" s="2" t="str">
        <x:v>CUUR0000SEGB</x:v>
      </x:c>
      <x:c r="C108" s="2" t="str">
        <x:v>2024-09-30</x:v>
      </x:c>
      <x:c r="D108" s="2" t="str">
        <x:v>Origin</x:v>
      </x:c>
      <x:c r="E108" s="2" t="str">
        <x:v>2024-07-01</x:v>
      </x:c>
      <x:c r="F108" s="2" t="str">
        <x:v>2024-08-01</x:v>
      </x:c>
      <x:c r="G108" s="2" t="str">
        <x:v>Seasonal step</x:v>
      </x:c>
      <x:c r="H108" s="7" t="n">
        <x:v>180.9798294373341</x:v>
      </x:c>
      <x:c r="I108" s="7" t="n">
        <x:v>178.452</x:v>
      </x:c>
      <x:c r="J108" s="2" t="str">
        <x:v>2024-09-11</x:v>
      </x:c>
      <x:c r="K108" s="7" t="n">
        <x:f>100*(H108/I108-1)</x:f>
        <x:v>1.416531861416015</x:v>
      </x:c>
      <x:c r="L108" s="7" t="n">
        <x:f>ABS(K108)</x:f>
        <x:v>1.416531861416015</x:v>
      </x:c>
      <x:c r="M108" s="2" t="str">
        <x:v>Yes</x:v>
      </x:c>
    </x:row>
    <x:row r="109" ht="27" customHeight="1">
      <x:c r="A109" s="2"/>
      <x:c r="B109" s="2" t="str">
        <x:v>CUUR0000SEGB</x:v>
      </x:c>
      <x:c r="C109" s="2" t="str">
        <x:v>2024-09-30</x:v>
      </x:c>
      <x:c r="D109" s="2" t="str">
        <x:v>Origin</x:v>
      </x:c>
      <x:c r="E109" s="2" t="str">
        <x:v>2024-07-01</x:v>
      </x:c>
      <x:c r="F109" s="2" t="str">
        <x:v>2024-09-01</x:v>
      </x:c>
      <x:c r="G109" s="2" t="str">
        <x:v>Seasonal step</x:v>
      </x:c>
      <x:c r="H109" s="7" t="n">
        <x:v>181.66393609552475</x:v>
      </x:c>
      <x:c r="I109" s="7" t="n">
        <x:v>179.154</x:v>
      </x:c>
      <x:c r="J109" s="2" t="str">
        <x:v>2024-10-10</x:v>
      </x:c>
      <x:c r="K109" s="7" t="n">
        <x:f>100*(H109/I109-1)</x:f>
        <x:v>1.400993611934287</x:v>
      </x:c>
      <x:c r="L109" s="7" t="n">
        <x:f>ABS(K109)</x:f>
        <x:v>1.400993611934287</x:v>
      </x:c>
      <x:c r="M109" s="2" t="str">
        <x:v>Yes</x:v>
      </x:c>
    </x:row>
    <x:row r="110" ht="27" customHeight="1">
      <x:c r="A110" s="2"/>
      <x:c r="B110" s="2" t="str">
        <x:v>CUUR0000SEGB</x:v>
      </x:c>
      <x:c r="C110" s="2" t="str">
        <x:v>2024-09-30</x:v>
      </x:c>
      <x:c r="D110" s="2" t="str">
        <x:v>One month</x:v>
      </x:c>
      <x:c r="E110" s="2" t="str">
        <x:v>2024-08-14</x:v>
      </x:c>
      <x:c r="F110" s="2" t="str">
        <x:v>2024-08-01</x:v>
      </x:c>
      <x:c r="G110" s="2" t="str">
        <x:v>YoY carry</x:v>
      </x:c>
      <x:c r="H110" s="7" t="n">
        <x:v>180.0231260278532</x:v>
      </x:c>
      <x:c r="I110" s="7" t="n">
        <x:v>178.452</x:v>
      </x:c>
      <x:c r="J110" s="2" t="str">
        <x:v>2024-09-11</x:v>
      </x:c>
      <x:c r="K110" s="7" t="n">
        <x:f>100*(H110/I110-1)</x:f>
        <x:v>0.8804194000925802</x:v>
      </x:c>
      <x:c r="L110" s="7" t="n">
        <x:f>ABS(K110)</x:f>
        <x:v>0.8804194000925802</x:v>
      </x:c>
      <x:c r="M110" s="2" t="str">
        <x:v>Yes</x:v>
      </x:c>
    </x:row>
    <x:row r="111" ht="27" customHeight="1">
      <x:c r="A111" s="2"/>
      <x:c r="B111" s="2" t="str">
        <x:v>CUUR0000SEGB</x:v>
      </x:c>
      <x:c r="C111" s="2" t="str">
        <x:v>2024-09-30</x:v>
      </x:c>
      <x:c r="D111" s="2" t="str">
        <x:v>One month</x:v>
      </x:c>
      <x:c r="E111" s="2" t="str">
        <x:v>2024-08-14</x:v>
      </x:c>
      <x:c r="F111" s="2" t="str">
        <x:v>2024-09-01</x:v>
      </x:c>
      <x:c r="G111" s="2" t="str">
        <x:v>YoY carry</x:v>
      </x:c>
      <x:c r="H111" s="7" t="n">
        <x:v>180.7891388802677</x:v>
      </x:c>
      <x:c r="I111" s="7" t="n">
        <x:v>179.154</x:v>
      </x:c>
      <x:c r="J111" s="2" t="str">
        <x:v>2024-10-10</x:v>
      </x:c>
      <x:c r="K111" s="7" t="n">
        <x:f>100*(H111/I111-1)</x:f>
        <x:v>0.9127001798830525</x:v>
      </x:c>
      <x:c r="L111" s="7" t="n">
        <x:f>ABS(K111)</x:f>
        <x:v>0.9127001798830525</x:v>
      </x:c>
      <x:c r="M111" s="2" t="str">
        <x:v>Yes</x:v>
      </x:c>
    </x:row>
    <x:row r="112" ht="27" customHeight="1">
      <x:c r="A112" s="2"/>
      <x:c r="B112" s="2" t="str">
        <x:v>CUUR0000SEGB</x:v>
      </x:c>
      <x:c r="C112" s="2" t="str">
        <x:v>2024-09-30</x:v>
      </x:c>
      <x:c r="D112" s="2" t="str">
        <x:v>One month</x:v>
      </x:c>
      <x:c r="E112" s="2" t="str">
        <x:v>2024-08-14</x:v>
      </x:c>
      <x:c r="F112" s="2" t="str">
        <x:v>2024-08-01</x:v>
      </x:c>
      <x:c r="G112" s="2" t="str">
        <x:v>Flat level</x:v>
      </x:c>
      <x:c r="H112" s="7" t="n">
        <x:v>179.079</x:v>
      </x:c>
      <x:c r="I112" s="7" t="n">
        <x:v>178.452</x:v>
      </x:c>
      <x:c r="J112" s="2" t="str">
        <x:v>2024-09-11</x:v>
      </x:c>
      <x:c r="K112" s="7" t="n">
        <x:f>100*(H112/I112-1)</x:f>
        <x:v>0.35135498621479133</x:v>
      </x:c>
      <x:c r="L112" s="7" t="n">
        <x:f>ABS(K112)</x:f>
        <x:v>0.35135498621479133</x:v>
      </x:c>
      <x:c r="M112" s="2" t="str">
        <x:v>Yes</x:v>
      </x:c>
    </x:row>
    <x:row r="113" ht="27" customHeight="1">
      <x:c r="A113" s="2"/>
      <x:c r="B113" s="2" t="str">
        <x:v>CUUR0000SEGB</x:v>
      </x:c>
      <x:c r="C113" s="2" t="str">
        <x:v>2024-09-30</x:v>
      </x:c>
      <x:c r="D113" s="2" t="str">
        <x:v>One month</x:v>
      </x:c>
      <x:c r="E113" s="2" t="str">
        <x:v>2024-08-14</x:v>
      </x:c>
      <x:c r="F113" s="2" t="str">
        <x:v>2024-09-01</x:v>
      </x:c>
      <x:c r="G113" s="2" t="str">
        <x:v>Flat level</x:v>
      </x:c>
      <x:c r="H113" s="7" t="n">
        <x:v>179.079</x:v>
      </x:c>
      <x:c r="I113" s="7" t="n">
        <x:v>179.154</x:v>
      </x:c>
      <x:c r="J113" s="2" t="str">
        <x:v>2024-10-10</x:v>
      </x:c>
      <x:c r="K113" s="7" t="n">
        <x:f>100*(H113/I113-1)</x:f>
        <x:v>-0.0418634247630445</x:v>
      </x:c>
      <x:c r="L113" s="7" t="n">
        <x:f>ABS(K113)</x:f>
        <x:v>0.0418634247630445</x:v>
      </x:c>
      <x:c r="M113" s="2" t="str">
        <x:v>Yes</x:v>
      </x:c>
    </x:row>
    <x:row r="114" ht="27" customHeight="1">
      <x:c r="A114" s="2"/>
      <x:c r="B114" s="2" t="str">
        <x:v>CUUR0000SEGB</x:v>
      </x:c>
      <x:c r="C114" s="2" t="str">
        <x:v>2024-09-30</x:v>
      </x:c>
      <x:c r="D114" s="2" t="str">
        <x:v>One month</x:v>
      </x:c>
      <x:c r="E114" s="2" t="str">
        <x:v>2024-08-14</x:v>
      </x:c>
      <x:c r="F114" s="2" t="str">
        <x:v>2024-08-01</x:v>
      </x:c>
      <x:c r="G114" s="2" t="str">
        <x:v>Recent trend</x:v>
      </x:c>
      <x:c r="H114" s="7" t="n">
        <x:v>179.20350000000002</x:v>
      </x:c>
      <x:c r="I114" s="7" t="n">
        <x:v>178.452</x:v>
      </x:c>
      <x:c r="J114" s="2" t="str">
        <x:v>2024-09-11</x:v>
      </x:c>
      <x:c r="K114" s="7" t="n">
        <x:f>100*(H114/I114-1)</x:f>
        <x:v>0.42112164615695225</x:v>
      </x:c>
      <x:c r="L114" s="7" t="n">
        <x:f>ABS(K114)</x:f>
        <x:v>0.42112164615695225</x:v>
      </x:c>
      <x:c r="M114" s="2" t="str">
        <x:v>Yes</x:v>
      </x:c>
    </x:row>
    <x:row r="115" ht="27" customHeight="1">
      <x:c r="A115" s="2"/>
      <x:c r="B115" s="2" t="str">
        <x:v>CUUR0000SEGB</x:v>
      </x:c>
      <x:c r="C115" s="2" t="str">
        <x:v>2024-09-30</x:v>
      </x:c>
      <x:c r="D115" s="2" t="str">
        <x:v>One month</x:v>
      </x:c>
      <x:c r="E115" s="2" t="str">
        <x:v>2024-08-14</x:v>
      </x:c>
      <x:c r="F115" s="2" t="str">
        <x:v>2024-09-01</x:v>
      </x:c>
      <x:c r="G115" s="2" t="str">
        <x:v>Recent trend</x:v>
      </x:c>
      <x:c r="H115" s="7" t="n">
        <x:v>179.328</x:v>
      </x:c>
      <x:c r="I115" s="7" t="n">
        <x:v>179.154</x:v>
      </x:c>
      <x:c r="J115" s="2" t="str">
        <x:v>2024-10-10</x:v>
      </x:c>
      <x:c r="K115" s="7" t="n">
        <x:f>100*(H115/I115-1)</x:f>
        <x:v>0.09712314545029521</x:v>
      </x:c>
      <x:c r="L115" s="7" t="n">
        <x:f>ABS(K115)</x:f>
        <x:v>0.09712314545029521</x:v>
      </x:c>
      <x:c r="M115" s="2" t="str">
        <x:v>Yes</x:v>
      </x:c>
    </x:row>
    <x:row r="116" ht="27" customHeight="1">
      <x:c r="A116" s="2"/>
      <x:c r="B116" s="2" t="str">
        <x:v>CUUR0000SEGB</x:v>
      </x:c>
      <x:c r="C116" s="2" t="str">
        <x:v>2024-09-30</x:v>
      </x:c>
      <x:c r="D116" s="2" t="str">
        <x:v>One month</x:v>
      </x:c>
      <x:c r="E116" s="2" t="str">
        <x:v>2024-08-14</x:v>
      </x:c>
      <x:c r="F116" s="2" t="str">
        <x:v>2024-08-01</x:v>
      </x:c>
      <x:c r="G116" s="2" t="str">
        <x:v>Seasonal step</x:v>
      </x:c>
      <x:c r="H116" s="7" t="n">
        <x:v>180.04130018666217</x:v>
      </x:c>
      <x:c r="I116" s="7" t="n">
        <x:v>178.452</x:v>
      </x:c>
      <x:c r="J116" s="2" t="str">
        <x:v>2024-09-11</x:v>
      </x:c>
      <x:c r="K116" s="7" t="n">
        <x:f>100*(H116/I116-1)</x:f>
        <x:v>0.8906037403123346</x:v>
      </x:c>
      <x:c r="L116" s="7" t="n">
        <x:f>ABS(K116)</x:f>
        <x:v>0.8906037403123346</x:v>
      </x:c>
      <x:c r="M116" s="2" t="str">
        <x:v>Yes</x:v>
      </x:c>
    </x:row>
    <x:row r="117" ht="27" customHeight="1">
      <x:c r="A117" s="2"/>
      <x:c r="B117" s="2" t="str">
        <x:v>CUUR0000SEGB</x:v>
      </x:c>
      <x:c r="C117" s="2" t="str">
        <x:v>2024-09-30</x:v>
      </x:c>
      <x:c r="D117" s="2" t="str">
        <x:v>One month</x:v>
      </x:c>
      <x:c r="E117" s="2" t="str">
        <x:v>2024-08-14</x:v>
      </x:c>
      <x:c r="F117" s="2" t="str">
        <x:v>2024-09-01</x:v>
      </x:c>
      <x:c r="G117" s="2" t="str">
        <x:v>Seasonal step</x:v>
      </x:c>
      <x:c r="H117" s="7" t="n">
        <x:v>180.72185918923125</x:v>
      </x:c>
      <x:c r="I117" s="7" t="n">
        <x:v>179.154</x:v>
      </x:c>
      <x:c r="J117" s="2" t="str">
        <x:v>2024-10-10</x:v>
      </x:c>
      <x:c r="K117" s="7" t="n">
        <x:f>100*(H117/I117-1)</x:f>
        <x:v>0.8751460694325974</x:v>
      </x:c>
      <x:c r="L117" s="7" t="n">
        <x:f>ABS(K117)</x:f>
        <x:v>0.8751460694325974</x:v>
      </x:c>
      <x:c r="M117" s="2" t="str">
        <x:v>Yes</x:v>
      </x:c>
    </x:row>
    <x:row r="118" ht="27" customHeight="1">
      <x:c r="A118" s="2"/>
      <x:c r="B118" s="2" t="str">
        <x:v>CUUR0000SEGB</x:v>
      </x:c>
      <x:c r="C118" s="2" t="str">
        <x:v>2024-09-30</x:v>
      </x:c>
      <x:c r="D118" s="2" t="str">
        <x:v>Two months</x:v>
      </x:c>
      <x:c r="E118" s="2" t="str">
        <x:v>2024-09-11</x:v>
      </x:c>
      <x:c r="F118" s="2" t="str">
        <x:v>2024-09-01</x:v>
      </x:c>
      <x:c r="G118" s="2" t="str">
        <x:v>YoY carry</x:v>
      </x:c>
      <x:c r="H118" s="7" t="n">
        <x:v>180.1008849828779</x:v>
      </x:c>
      <x:c r="I118" s="7" t="n">
        <x:v>179.154</x:v>
      </x:c>
      <x:c r="J118" s="2" t="str">
        <x:v>2024-10-10</x:v>
      </x:c>
      <x:c r="K118" s="7" t="n">
        <x:f>100*(H118/I118-1)</x:f>
        <x:v>0.5285313098663202</x:v>
      </x:c>
      <x:c r="L118" s="7" t="n">
        <x:f>ABS(K118)</x:f>
        <x:v>0.5285313098663202</x:v>
      </x:c>
      <x:c r="M118" s="2" t="str">
        <x:v>Yes</x:v>
      </x:c>
    </x:row>
    <x:row r="119" ht="27" customHeight="1">
      <x:c r="A119" s="2"/>
      <x:c r="B119" s="2" t="str">
        <x:v>CUUR0000SEGB</x:v>
      </x:c>
      <x:c r="C119" s="2" t="str">
        <x:v>2024-09-30</x:v>
      </x:c>
      <x:c r="D119" s="2" t="str">
        <x:v>Two months</x:v>
      </x:c>
      <x:c r="E119" s="2" t="str">
        <x:v>2024-09-11</x:v>
      </x:c>
      <x:c r="F119" s="2" t="str">
        <x:v>2024-09-01</x:v>
      </x:c>
      <x:c r="G119" s="2" t="str">
        <x:v>Flat level</x:v>
      </x:c>
      <x:c r="H119" s="7" t="n">
        <x:v>178.452</x:v>
      </x:c>
      <x:c r="I119" s="7" t="n">
        <x:v>179.154</x:v>
      </x:c>
      <x:c r="J119" s="2" t="str">
        <x:v>2024-10-10</x:v>
      </x:c>
      <x:c r="K119" s="7" t="n">
        <x:f>100*(H119/I119-1)</x:f>
        <x:v>-0.3918416557821769</x:v>
      </x:c>
      <x:c r="L119" s="7" t="n">
        <x:f>ABS(K119)</x:f>
        <x:v>0.3918416557821769</x:v>
      </x:c>
      <x:c r="M119" s="2" t="str">
        <x:v>Yes</x:v>
      </x:c>
    </x:row>
    <x:row r="120" ht="27" customHeight="1">
      <x:c r="A120" s="2"/>
      <x:c r="B120" s="2" t="str">
        <x:v>CUUR0000SEGB</x:v>
      </x:c>
      <x:c r="C120" s="2" t="str">
        <x:v>2024-09-30</x:v>
      </x:c>
      <x:c r="D120" s="2" t="str">
        <x:v>Two months</x:v>
      </x:c>
      <x:c r="E120" s="2" t="str">
        <x:v>2024-09-11</x:v>
      </x:c>
      <x:c r="F120" s="2" t="str">
        <x:v>2024-09-01</x:v>
      </x:c>
      <x:c r="G120" s="2" t="str">
        <x:v>Recent trend</x:v>
      </x:c>
      <x:c r="H120" s="7" t="n">
        <x:v>178.337</x:v>
      </x:c>
      <x:c r="I120" s="7" t="n">
        <x:v>179.154</x:v>
      </x:c>
      <x:c r="J120" s="2" t="str">
        <x:v>2024-10-10</x:v>
      </x:c>
      <x:c r="K120" s="7" t="n">
        <x:f>100*(H120/I120-1)</x:f>
        <x:v>-0.4560322404188577</x:v>
      </x:c>
      <x:c r="L120" s="7" t="n">
        <x:f>ABS(K120)</x:f>
        <x:v>0.4560322404188577</x:v>
      </x:c>
      <x:c r="M120" s="2" t="str">
        <x:v>Yes</x:v>
      </x:c>
    </x:row>
    <x:row r="121" ht="27" customHeight="1">
      <x:c r="A121" s="2"/>
      <x:c r="B121" s="2" t="str">
        <x:v>CUUR0000SEGB</x:v>
      </x:c>
      <x:c r="C121" s="2" t="str">
        <x:v>2024-09-30</x:v>
      </x:c>
      <x:c r="D121" s="2" t="str">
        <x:v>Two months</x:v>
      </x:c>
      <x:c r="E121" s="2" t="str">
        <x:v>2024-09-11</x:v>
      </x:c>
      <x:c r="F121" s="2" t="str">
        <x:v>2024-09-01</x:v>
      </x:c>
      <x:c r="G121" s="2" t="str">
        <x:v>Seasonal step</x:v>
      </x:c>
      <x:c r="H121" s="7" t="n">
        <x:v>179.12655142237114</x:v>
      </x:c>
      <x:c r="I121" s="7" t="n">
        <x:v>179.154</x:v>
      </x:c>
      <x:c r="J121" s="2" t="str">
        <x:v>2024-10-10</x:v>
      </x:c>
      <x:c r="K121" s="7" t="n">
        <x:f>100*(H121/I121-1)</x:f>
        <x:v>-0.015321219525576968</x:v>
      </x:c>
      <x:c r="L121" s="7" t="n">
        <x:f>ABS(K121)</x:f>
        <x:v>0.015321219525576968</x:v>
      </x:c>
      <x:c r="M121" s="2" t="str">
        <x:v>Yes</x:v>
      </x:c>
    </x:row>
    <x:row r="122" ht="27" customHeight="1">
      <x:c r="A122" s="2"/>
      <x:c r="B122" s="2" t="str">
        <x:v>CUUR0000SEGB</x:v>
      </x:c>
      <x:c r="C122" s="2" t="str">
        <x:v>2024-12-31</x:v>
      </x:c>
      <x:c r="D122" s="2" t="str">
        <x:v>Origin</x:v>
      </x:c>
      <x:c r="E122" s="2" t="str">
        <x:v>2024-10-01</x:v>
      </x:c>
      <x:c r="F122" s="2" t="str">
        <x:v>2024-10-01</x:v>
      </x:c>
      <x:c r="G122" s="2" t="str">
        <x:v>YoY carry</x:v>
      </x:c>
      <x:c r="H122" s="7" t="n">
        <x:v>180.8247194377219</x:v>
      </x:c>
      <x:c r="I122" s="7" t="n">
        <x:v>179.634</x:v>
      </x:c>
      <x:c r="J122" s="2" t="str">
        <x:v>2024-11-13</x:v>
      </x:c>
      <x:c r="K122" s="7" t="n">
        <x:f>100*(H122/I122-1)</x:f>
        <x:v>0.6628586112439327</x:v>
      </x:c>
      <x:c r="L122" s="7" t="n">
        <x:f>ABS(K122)</x:f>
        <x:v>0.6628586112439327</x:v>
      </x:c>
      <x:c r="M122" s="2" t="str">
        <x:v>Yes</x:v>
      </x:c>
    </x:row>
    <x:row r="123" ht="27" customHeight="1">
      <x:c r="A123" s="2"/>
      <x:c r="B123" s="2" t="str">
        <x:v>CUUR0000SEGB</x:v>
      </x:c>
      <x:c r="C123" s="2" t="str">
        <x:v>2024-12-31</x:v>
      </x:c>
      <x:c r="D123" s="2" t="str">
        <x:v>Origin</x:v>
      </x:c>
      <x:c r="E123" s="2" t="str">
        <x:v>2024-10-01</x:v>
      </x:c>
      <x:c r="F123" s="2" t="str">
        <x:v>2024-11-01</x:v>
      </x:c>
      <x:c r="G123" s="2" t="str">
        <x:v>YoY carry</x:v>
      </x:c>
      <x:c r="H123" s="7" t="n">
        <x:v>179.75356525141586</x:v>
      </x:c>
      <x:c r="I123" s="7" t="n">
        <x:v>179.444</x:v>
      </x:c>
      <x:c r="J123" s="2" t="str">
        <x:v>2024-12-11</x:v>
      </x:c>
      <x:c r="K123" s="7" t="n">
        <x:f>100*(H123/I123-1)</x:f>
        <x:v>0.17251357048209126</x:v>
      </x:c>
      <x:c r="L123" s="7" t="n">
        <x:f>ABS(K123)</x:f>
        <x:v>0.17251357048209126</x:v>
      </x:c>
      <x:c r="M123" s="2" t="str">
        <x:v>Yes</x:v>
      </x:c>
    </x:row>
    <x:row r="124" ht="27" customHeight="1">
      <x:c r="A124" s="2"/>
      <x:c r="B124" s="2" t="str">
        <x:v>CUUR0000SEGB</x:v>
      </x:c>
      <x:c r="C124" s="2" t="str">
        <x:v>2024-12-31</x:v>
      </x:c>
      <x:c r="D124" s="2" t="str">
        <x:v>Origin</x:v>
      </x:c>
      <x:c r="E124" s="2" t="str">
        <x:v>2024-10-01</x:v>
      </x:c>
      <x:c r="F124" s="2" t="str">
        <x:v>2024-12-01</x:v>
      </x:c>
      <x:c r="G124" s="2" t="str">
        <x:v>YoY carry</x:v>
      </x:c>
      <x:c r="H124" s="7" t="n">
        <x:v>177.80756803136924</x:v>
      </x:c>
      <x:c r="I124" s="7" t="n">
        <x:v>177.536</x:v>
      </x:c>
      <x:c r="J124" s="2" t="str">
        <x:v>2025-01-15</x:v>
      </x:c>
      <x:c r="K124" s="7" t="n">
        <x:f>100*(H124/I124-1)</x:f>
        <x:v>0.1529650501133517</x:v>
      </x:c>
      <x:c r="L124" s="7" t="n">
        <x:f>ABS(K124)</x:f>
        <x:v>0.1529650501133517</x:v>
      </x:c>
      <x:c r="M124" s="2" t="str">
        <x:v>Yes</x:v>
      </x:c>
    </x:row>
    <x:row r="125" ht="27" customHeight="1">
      <x:c r="A125" s="2"/>
      <x:c r="B125" s="2" t="str">
        <x:v>CUUR0000SEGB</x:v>
      </x:c>
      <x:c r="C125" s="2" t="str">
        <x:v>2024-12-31</x:v>
      </x:c>
      <x:c r="D125" s="2" t="str">
        <x:v>Origin</x:v>
      </x:c>
      <x:c r="E125" s="2" t="str">
        <x:v>2024-10-01</x:v>
      </x:c>
      <x:c r="F125" s="2" t="str">
        <x:v>2024-10-01</x:v>
      </x:c>
      <x:c r="G125" s="2" t="str">
        <x:v>Flat level</x:v>
      </x:c>
      <x:c r="H125" s="7" t="n">
        <x:v>178.452</x:v>
      </x:c>
      <x:c r="I125" s="7" t="n">
        <x:v>179.634</x:v>
      </x:c>
      <x:c r="J125" s="2" t="str">
        <x:v>2024-11-13</x:v>
      </x:c>
      <x:c r="K125" s="7" t="n">
        <x:f>100*(H125/I125-1)</x:f>
        <x:v>-0.6580046093723868</x:v>
      </x:c>
      <x:c r="L125" s="7" t="n">
        <x:f>ABS(K125)</x:f>
        <x:v>0.6580046093723868</x:v>
      </x:c>
      <x:c r="M125" s="2" t="str">
        <x:v>Yes</x:v>
      </x:c>
    </x:row>
    <x:row r="126" ht="27" customHeight="1">
      <x:c r="A126" s="2"/>
      <x:c r="B126" s="2" t="str">
        <x:v>CUUR0000SEGB</x:v>
      </x:c>
      <x:c r="C126" s="2" t="str">
        <x:v>2024-12-31</x:v>
      </x:c>
      <x:c r="D126" s="2" t="str">
        <x:v>Origin</x:v>
      </x:c>
      <x:c r="E126" s="2" t="str">
        <x:v>2024-10-01</x:v>
      </x:c>
      <x:c r="F126" s="2" t="str">
        <x:v>2024-11-01</x:v>
      </x:c>
      <x:c r="G126" s="2" t="str">
        <x:v>Flat level</x:v>
      </x:c>
      <x:c r="H126" s="7" t="n">
        <x:v>178.452</x:v>
      </x:c>
      <x:c r="I126" s="7" t="n">
        <x:v>179.444</x:v>
      </x:c>
      <x:c r="J126" s="2" t="str">
        <x:v>2024-12-11</x:v>
      </x:c>
      <x:c r="K126" s="7" t="n">
        <x:f>100*(H126/I126-1)</x:f>
        <x:v>-0.5528187066717094</x:v>
      </x:c>
      <x:c r="L126" s="7" t="n">
        <x:f>ABS(K126)</x:f>
        <x:v>0.5528187066717094</x:v>
      </x:c>
      <x:c r="M126" s="2" t="str">
        <x:v>Yes</x:v>
      </x:c>
    </x:row>
    <x:row r="127" ht="27" customHeight="1">
      <x:c r="A127" s="2"/>
      <x:c r="B127" s="2" t="str">
        <x:v>CUUR0000SEGB</x:v>
      </x:c>
      <x:c r="C127" s="2" t="str">
        <x:v>2024-12-31</x:v>
      </x:c>
      <x:c r="D127" s="2" t="str">
        <x:v>Origin</x:v>
      </x:c>
      <x:c r="E127" s="2" t="str">
        <x:v>2024-10-01</x:v>
      </x:c>
      <x:c r="F127" s="2" t="str">
        <x:v>2024-12-01</x:v>
      </x:c>
      <x:c r="G127" s="2" t="str">
        <x:v>Flat level</x:v>
      </x:c>
      <x:c r="H127" s="7" t="n">
        <x:v>178.452</x:v>
      </x:c>
      <x:c r="I127" s="7" t="n">
        <x:v>177.536</x:v>
      </x:c>
      <x:c r="J127" s="2" t="str">
        <x:v>2025-01-15</x:v>
      </x:c>
      <x:c r="K127" s="7" t="n">
        <x:f>100*(H127/I127-1)</x:f>
        <x:v>0.5159516943042508</x:v>
      </x:c>
      <x:c r="L127" s="7" t="n">
        <x:f>ABS(K127)</x:f>
        <x:v>0.5159516943042508</x:v>
      </x:c>
      <x:c r="M127" s="2" t="str">
        <x:v>Yes</x:v>
      </x:c>
    </x:row>
    <x:row r="128" ht="27" customHeight="1">
      <x:c r="A128" s="2"/>
      <x:c r="B128" s="2" t="str">
        <x:v>CUUR0000SEGB</x:v>
      </x:c>
      <x:c r="C128" s="2" t="str">
        <x:v>2024-12-31</x:v>
      </x:c>
      <x:c r="D128" s="2" t="str">
        <x:v>Origin</x:v>
      </x:c>
      <x:c r="E128" s="2" t="str">
        <x:v>2024-10-01</x:v>
      </x:c>
      <x:c r="F128" s="2" t="str">
        <x:v>2024-10-01</x:v>
      </x:c>
      <x:c r="G128" s="2" t="str">
        <x:v>Recent trend</x:v>
      </x:c>
      <x:c r="H128" s="7" t="n">
        <x:v>178.222</x:v>
      </x:c>
      <x:c r="I128" s="7" t="n">
        <x:v>179.634</x:v>
      </x:c>
      <x:c r="J128" s="2" t="str">
        <x:v>2024-11-13</x:v>
      </x:c>
      <x:c r="K128" s="7" t="n">
        <x:f>100*(H128/I128-1)</x:f>
        <x:v>-0.7860427313314711</x:v>
      </x:c>
      <x:c r="L128" s="7" t="n">
        <x:f>ABS(K128)</x:f>
        <x:v>0.7860427313314711</x:v>
      </x:c>
      <x:c r="M128" s="2" t="str">
        <x:v>Yes</x:v>
      </x:c>
    </x:row>
    <x:row r="129" ht="27" customHeight="1">
      <x:c r="A129" s="2"/>
      <x:c r="B129" s="2" t="str">
        <x:v>CUUR0000SEGB</x:v>
      </x:c>
      <x:c r="C129" s="2" t="str">
        <x:v>2024-12-31</x:v>
      </x:c>
      <x:c r="D129" s="2" t="str">
        <x:v>Origin</x:v>
      </x:c>
      <x:c r="E129" s="2" t="str">
        <x:v>2024-10-01</x:v>
      </x:c>
      <x:c r="F129" s="2" t="str">
        <x:v>2024-11-01</x:v>
      </x:c>
      <x:c r="G129" s="2" t="str">
        <x:v>Recent trend</x:v>
      </x:c>
      <x:c r="H129" s="7" t="n">
        <x:v>178.10700000000003</x:v>
      </x:c>
      <x:c r="I129" s="7" t="n">
        <x:v>179.444</x:v>
      </x:c>
      <x:c r="J129" s="2" t="str">
        <x:v>2024-12-11</x:v>
      </x:c>
      <x:c r="K129" s="7" t="n">
        <x:f>100*(H129/I129-1)</x:f>
        <x:v>-0.7450792447782906</x:v>
      </x:c>
      <x:c r="L129" s="7" t="n">
        <x:f>ABS(K129)</x:f>
        <x:v>0.7450792447782906</x:v>
      </x:c>
      <x:c r="M129" s="2" t="str">
        <x:v>Yes</x:v>
      </x:c>
    </x:row>
    <x:row r="130" ht="27" customHeight="1">
      <x:c r="A130" s="2"/>
      <x:c r="B130" s="2" t="str">
        <x:v>CUUR0000SEGB</x:v>
      </x:c>
      <x:c r="C130" s="2" t="str">
        <x:v>2024-12-31</x:v>
      </x:c>
      <x:c r="D130" s="2" t="str">
        <x:v>Origin</x:v>
      </x:c>
      <x:c r="E130" s="2" t="str">
        <x:v>2024-10-01</x:v>
      </x:c>
      <x:c r="F130" s="2" t="str">
        <x:v>2024-12-01</x:v>
      </x:c>
      <x:c r="G130" s="2" t="str">
        <x:v>Recent trend</x:v>
      </x:c>
      <x:c r="H130" s="7" t="n">
        <x:v>177.99200000000002</x:v>
      </x:c>
      <x:c r="I130" s="7" t="n">
        <x:v>177.536</x:v>
      </x:c>
      <x:c r="J130" s="2" t="str">
        <x:v>2025-01-15</x:v>
      </x:c>
      <x:c r="K130" s="7" t="n">
        <x:f>100*(H130/I130-1)</x:f>
        <x:v>0.25684931506850806</x:v>
      </x:c>
      <x:c r="L130" s="7" t="n">
        <x:f>ABS(K130)</x:f>
        <x:v>0.25684931506850806</x:v>
      </x:c>
      <x:c r="M130" s="2" t="str">
        <x:v>Yes</x:v>
      </x:c>
    </x:row>
    <x:row r="131" ht="27" customHeight="1">
      <x:c r="A131" s="2"/>
      <x:c r="B131" s="2" t="str">
        <x:v>CUUR0000SEGB</x:v>
      </x:c>
      <x:c r="C131" s="2" t="str">
        <x:v>2024-12-31</x:v>
      </x:c>
      <x:c r="D131" s="2" t="str">
        <x:v>Origin</x:v>
      </x:c>
      <x:c r="E131" s="2" t="str">
        <x:v>2024-10-01</x:v>
      </x:c>
      <x:c r="F131" s="2" t="str">
        <x:v>2024-10-01</x:v>
      </x:c>
      <x:c r="G131" s="2" t="str">
        <x:v>Seasonal step</x:v>
      </x:c>
      <x:c r="H131" s="7" t="n">
        <x:v>179.83477779874514</x:v>
      </x:c>
      <x:c r="I131" s="7" t="n">
        <x:v>179.634</x:v>
      </x:c>
      <x:c r="J131" s="2" t="str">
        <x:v>2024-11-13</x:v>
      </x:c>
      <x:c r="K131" s="7" t="n">
        <x:f>100*(H131/I131-1)</x:f>
        <x:v>0.11177048818438173</x:v>
      </x:c>
      <x:c r="L131" s="7" t="n">
        <x:f>ABS(K131)</x:f>
        <x:v>0.11177048818438173</x:v>
      </x:c>
      <x:c r="M131" s="2" t="str">
        <x:v>Yes</x:v>
      </x:c>
    </x:row>
    <x:row r="132" ht="27" customHeight="1">
      <x:c r="A132" s="2"/>
      <x:c r="B132" s="2" t="str">
        <x:v>CUUR0000SEGB</x:v>
      </x:c>
      <x:c r="C132" s="2" t="str">
        <x:v>2024-12-31</x:v>
      </x:c>
      <x:c r="D132" s="2" t="str">
        <x:v>Origin</x:v>
      </x:c>
      <x:c r="E132" s="2" t="str">
        <x:v>2024-10-01</x:v>
      </x:c>
      <x:c r="F132" s="2" t="str">
        <x:v>2024-11-01</x:v>
      </x:c>
      <x:c r="G132" s="2" t="str">
        <x:v>Seasonal step</x:v>
      </x:c>
      <x:c r="H132" s="7" t="n">
        <x:v>179.07178517121076</x:v>
      </x:c>
      <x:c r="I132" s="7" t="n">
        <x:v>179.444</x:v>
      </x:c>
      <x:c r="J132" s="2" t="str">
        <x:v>2024-12-11</x:v>
      </x:c>
      <x:c r="K132" s="7" t="n">
        <x:f>100*(H132/I132-1)</x:f>
        <x:v>-0.20742673412832424</x:v>
      </x:c>
      <x:c r="L132" s="7" t="n">
        <x:f>ABS(K132)</x:f>
        <x:v>0.20742673412832424</x:v>
      </x:c>
      <x:c r="M132" s="2" t="str">
        <x:v>Yes</x:v>
      </x:c>
    </x:row>
    <x:row r="133" ht="27" customHeight="1">
      <x:c r="A133" s="2"/>
      <x:c r="B133" s="2" t="str">
        <x:v>CUUR0000SEGB</x:v>
      </x:c>
      <x:c r="C133" s="2" t="str">
        <x:v>2024-12-31</x:v>
      </x:c>
      <x:c r="D133" s="2" t="str">
        <x:v>Origin</x:v>
      </x:c>
      <x:c r="E133" s="2" t="str">
        <x:v>2024-10-01</x:v>
      </x:c>
      <x:c r="F133" s="2" t="str">
        <x:v>2024-12-01</x:v>
      </x:c>
      <x:c r="G133" s="2" t="str">
        <x:v>Seasonal step</x:v>
      </x:c>
      <x:c r="H133" s="7" t="n">
        <x:v>178.73579872697985</x:v>
      </x:c>
      <x:c r="I133" s="7" t="n">
        <x:v>177.536</x:v>
      </x:c>
      <x:c r="J133" s="2" t="str">
        <x:v>2025-01-15</x:v>
      </x:c>
      <x:c r="K133" s="7" t="n">
        <x:f>100*(H133/I133-1)</x:f>
        <x:v>0.6758058799228639</x:v>
      </x:c>
      <x:c r="L133" s="7" t="n">
        <x:f>ABS(K133)</x:f>
        <x:v>0.6758058799228639</x:v>
      </x:c>
      <x:c r="M133" s="2" t="str">
        <x:v>Yes</x:v>
      </x:c>
    </x:row>
    <x:row r="134" ht="27" customHeight="1">
      <x:c r="A134" s="2"/>
      <x:c r="B134" s="2" t="str">
        <x:v>CUUR0000SEGB</x:v>
      </x:c>
      <x:c r="C134" s="2" t="str">
        <x:v>2024-12-31</x:v>
      </x:c>
      <x:c r="D134" s="2" t="str">
        <x:v>One month</x:v>
      </x:c>
      <x:c r="E134" s="2" t="str">
        <x:v>2024-11-13</x:v>
      </x:c>
      <x:c r="F134" s="2" t="str">
        <x:v>2024-11-01</x:v>
      </x:c>
      <x:c r="G134" s="2" t="str">
        <x:v>YoY carry</x:v>
      </x:c>
      <x:c r="H134" s="7" t="n">
        <x:v>178.74804298296274</x:v>
      </x:c>
      <x:c r="I134" s="7" t="n">
        <x:v>179.444</x:v>
      </x:c>
      <x:c r="J134" s="2" t="str">
        <x:v>2024-12-11</x:v>
      </x:c>
      <x:c r="K134" s="7" t="n">
        <x:f>100*(H134/I134-1)</x:f>
        <x:v>-0.38784078433229396</x:v>
      </x:c>
      <x:c r="L134" s="7" t="n">
        <x:f>ABS(K134)</x:f>
        <x:v>0.38784078433229396</x:v>
      </x:c>
      <x:c r="M134" s="2" t="str">
        <x:v>Yes</x:v>
      </x:c>
    </x:row>
    <x:row r="135" ht="27" customHeight="1">
      <x:c r="A135" s="2"/>
      <x:c r="B135" s="2" t="str">
        <x:v>CUUR0000SEGB</x:v>
      </x:c>
      <x:c r="C135" s="2" t="str">
        <x:v>2024-12-31</x:v>
      </x:c>
      <x:c r="D135" s="2" t="str">
        <x:v>One month</x:v>
      </x:c>
      <x:c r="E135" s="2" t="str">
        <x:v>2024-11-13</x:v>
      </x:c>
      <x:c r="F135" s="2" t="str">
        <x:v>2024-12-01</x:v>
      </x:c>
      <x:c r="G135" s="2" t="str">
        <x:v>YoY carry</x:v>
      </x:c>
      <x:c r="H135" s="7" t="n">
        <x:v>176.81293146377197</x:v>
      </x:c>
      <x:c r="I135" s="7" t="n">
        <x:v>177.536</x:v>
      </x:c>
      <x:c r="J135" s="2" t="str">
        <x:v>2025-01-15</x:v>
      </x:c>
      <x:c r="K135" s="7" t="n">
        <x:f>100*(H135/I135-1)</x:f>
        <x:v>-0.4072799523634818</x:v>
      </x:c>
      <x:c r="L135" s="7" t="n">
        <x:f>ABS(K135)</x:f>
        <x:v>0.4072799523634818</x:v>
      </x:c>
      <x:c r="M135" s="2" t="str">
        <x:v>Yes</x:v>
      </x:c>
    </x:row>
    <x:row r="136" ht="27" customHeight="1">
      <x:c r="A136" s="2"/>
      <x:c r="B136" s="2" t="str">
        <x:v>CUUR0000SEGB</x:v>
      </x:c>
      <x:c r="C136" s="2" t="str">
        <x:v>2024-12-31</x:v>
      </x:c>
      <x:c r="D136" s="2" t="str">
        <x:v>One month</x:v>
      </x:c>
      <x:c r="E136" s="2" t="str">
        <x:v>2024-11-13</x:v>
      </x:c>
      <x:c r="F136" s="2" t="str">
        <x:v>2024-11-01</x:v>
      </x:c>
      <x:c r="G136" s="2" t="str">
        <x:v>Flat level</x:v>
      </x:c>
      <x:c r="H136" s="7" t="n">
        <x:v>179.634</x:v>
      </x:c>
      <x:c r="I136" s="7" t="n">
        <x:v>179.444</x:v>
      </x:c>
      <x:c r="J136" s="2" t="str">
        <x:v>2024-12-11</x:v>
      </x:c>
      <x:c r="K136" s="7" t="n">
        <x:f>100*(H136/I136-1)</x:f>
        <x:v>0.10588261518913455</x:v>
      </x:c>
      <x:c r="L136" s="7" t="n">
        <x:f>ABS(K136)</x:f>
        <x:v>0.10588261518913455</x:v>
      </x:c>
      <x:c r="M136" s="2" t="str">
        <x:v>Yes</x:v>
      </x:c>
    </x:row>
    <x:row r="137" ht="27" customHeight="1">
      <x:c r="A137" s="2"/>
      <x:c r="B137" s="2" t="str">
        <x:v>CUUR0000SEGB</x:v>
      </x:c>
      <x:c r="C137" s="2" t="str">
        <x:v>2024-12-31</x:v>
      </x:c>
      <x:c r="D137" s="2" t="str">
        <x:v>One month</x:v>
      </x:c>
      <x:c r="E137" s="2" t="str">
        <x:v>2024-11-13</x:v>
      </x:c>
      <x:c r="F137" s="2" t="str">
        <x:v>2024-12-01</x:v>
      </x:c>
      <x:c r="G137" s="2" t="str">
        <x:v>Flat level</x:v>
      </x:c>
      <x:c r="H137" s="7" t="n">
        <x:v>179.634</x:v>
      </x:c>
      <x:c r="I137" s="7" t="n">
        <x:v>177.536</x:v>
      </x:c>
      <x:c r="J137" s="2" t="str">
        <x:v>2025-01-15</x:v>
      </x:c>
      <x:c r="K137" s="7" t="n">
        <x:f>100*(H137/I137-1)</x:f>
        <x:v>1.181732155731785</x:v>
      </x:c>
      <x:c r="L137" s="7" t="n">
        <x:f>ABS(K137)</x:f>
        <x:v>1.181732155731785</x:v>
      </x:c>
      <x:c r="M137" s="2" t="str">
        <x:v>Yes</x:v>
      </x:c>
    </x:row>
    <x:row r="138" ht="27" customHeight="1">
      <x:c r="A138" s="2"/>
      <x:c r="B138" s="2" t="str">
        <x:v>CUUR0000SEGB</x:v>
      </x:c>
      <x:c r="C138" s="2" t="str">
        <x:v>2024-12-31</x:v>
      </x:c>
      <x:c r="D138" s="2" t="str">
        <x:v>One month</x:v>
      </x:c>
      <x:c r="E138" s="2" t="str">
        <x:v>2024-11-13</x:v>
      </x:c>
      <x:c r="F138" s="2" t="str">
        <x:v>2024-11-01</x:v>
      </x:c>
      <x:c r="G138" s="2" t="str">
        <x:v>Recent trend</x:v>
      </x:c>
      <x:c r="H138" s="7" t="n">
        <x:v>180.22499999999997</x:v>
      </x:c>
      <x:c r="I138" s="7" t="n">
        <x:v>179.444</x:v>
      </x:c>
      <x:c r="J138" s="2" t="str">
        <x:v>2024-12-11</x:v>
      </x:c>
      <x:c r="K138" s="7" t="n">
        <x:f>100*(H138/I138-1)</x:f>
        <x:v>0.4352332761195621</x:v>
      </x:c>
      <x:c r="L138" s="7" t="n">
        <x:f>ABS(K138)</x:f>
        <x:v>0.4352332761195621</x:v>
      </x:c>
      <x:c r="M138" s="2" t="str">
        <x:v>Yes</x:v>
      </x:c>
    </x:row>
    <x:row r="139" ht="27" customHeight="1">
      <x:c r="A139" s="2"/>
      <x:c r="B139" s="2" t="str">
        <x:v>CUUR0000SEGB</x:v>
      </x:c>
      <x:c r="C139" s="2" t="str">
        <x:v>2024-12-31</x:v>
      </x:c>
      <x:c r="D139" s="2" t="str">
        <x:v>One month</x:v>
      </x:c>
      <x:c r="E139" s="2" t="str">
        <x:v>2024-11-13</x:v>
      </x:c>
      <x:c r="F139" s="2" t="str">
        <x:v>2024-12-01</x:v>
      </x:c>
      <x:c r="G139" s="2" t="str">
        <x:v>Recent trend</x:v>
      </x:c>
      <x:c r="H139" s="7" t="n">
        <x:v>180.81599999999997</x:v>
      </x:c>
      <x:c r="I139" s="7" t="n">
        <x:v>177.536</x:v>
      </x:c>
      <x:c r="J139" s="2" t="str">
        <x:v>2025-01-15</x:v>
      </x:c>
      <x:c r="K139" s="7" t="n">
        <x:f>100*(H139/I139-1)</x:f>
        <x:v>1.8475126171593192</x:v>
      </x:c>
      <x:c r="L139" s="7" t="n">
        <x:f>ABS(K139)</x:f>
        <x:v>1.8475126171593192</x:v>
      </x:c>
      <x:c r="M139" s="2" t="str">
        <x:v>Yes</x:v>
      </x:c>
    </x:row>
    <x:row r="140" ht="27" customHeight="1">
      <x:c r="A140" s="2"/>
      <x:c r="B140" s="2" t="str">
        <x:v>CUUR0000SEGB</x:v>
      </x:c>
      <x:c r="C140" s="2" t="str">
        <x:v>2024-12-31</x:v>
      </x:c>
      <x:c r="D140" s="2" t="str">
        <x:v>One month</x:v>
      </x:c>
      <x:c r="E140" s="2" t="str">
        <x:v>2024-11-13</x:v>
      </x:c>
      <x:c r="F140" s="2" t="str">
        <x:v>2024-11-01</x:v>
      </x:c>
      <x:c r="G140" s="2" t="str">
        <x:v>Seasonal step</x:v>
      </x:c>
      <x:c r="H140" s="7" t="n">
        <x:v>178.87185922093502</x:v>
      </x:c>
      <x:c r="I140" s="7" t="n">
        <x:v>179.444</x:v>
      </x:c>
      <x:c r="J140" s="2" t="str">
        <x:v>2024-12-11</x:v>
      </x:c>
      <x:c r="K140" s="7" t="n">
        <x:f>100*(H140/I140-1)</x:f>
        <x:v>-0.3188408523355335</x:v>
      </x:c>
      <x:c r="L140" s="7" t="n">
        <x:f>ABS(K140)</x:f>
        <x:v>0.3188408523355335</x:v>
      </x:c>
      <x:c r="M140" s="2" t="str">
        <x:v>Yes</x:v>
      </x:c>
    </x:row>
    <x:row r="141" ht="27" customHeight="1">
      <x:c r="A141" s="2"/>
      <x:c r="B141" s="2" t="str">
        <x:v>CUUR0000SEGB</x:v>
      </x:c>
      <x:c r="C141" s="2" t="str">
        <x:v>2024-12-31</x:v>
      </x:c>
      <x:c r="D141" s="2" t="str">
        <x:v>One month</x:v>
      </x:c>
      <x:c r="E141" s="2" t="str">
        <x:v>2024-11-13</x:v>
      </x:c>
      <x:c r="F141" s="2" t="str">
        <x:v>2024-12-01</x:v>
      </x:c>
      <x:c r="G141" s="2" t="str">
        <x:v>Seasonal step</x:v>
      </x:c>
      <x:c r="H141" s="7" t="n">
        <x:v>178.53624789112584</x:v>
      </x:c>
      <x:c r="I141" s="7" t="n">
        <x:v>177.536</x:v>
      </x:c>
      <x:c r="J141" s="2" t="str">
        <x:v>2025-01-15</x:v>
      </x:c>
      <x:c r="K141" s="7" t="n">
        <x:f>100*(H141/I141-1)</x:f>
        <x:v>0.5634056704701296</x:v>
      </x:c>
      <x:c r="L141" s="7" t="n">
        <x:f>ABS(K141)</x:f>
        <x:v>0.5634056704701296</x:v>
      </x:c>
      <x:c r="M141" s="2" t="str">
        <x:v>Yes</x:v>
      </x:c>
    </x:row>
    <x:row r="142" ht="27" customHeight="1">
      <x:c r="A142" s="2"/>
      <x:c r="B142" s="2" t="str">
        <x:v>CUUR0000SEGB</x:v>
      </x:c>
      <x:c r="C142" s="2" t="str">
        <x:v>2024-12-31</x:v>
      </x:c>
      <x:c r="D142" s="2" t="str">
        <x:v>Two months</x:v>
      </x:c>
      <x:c r="E142" s="2" t="str">
        <x:v>2024-12-11</x:v>
      </x:c>
      <x:c r="F142" s="2" t="str">
        <x:v>2024-12-01</x:v>
      </x:c>
      <x:c r="G142" s="2" t="str">
        <x:v>YoY carry</x:v>
      </x:c>
      <x:c r="H142" s="7" t="n">
        <x:v>177.0036035582922</x:v>
      </x:c>
      <x:c r="I142" s="7" t="n">
        <x:v>177.536</x:v>
      </x:c>
      <x:c r="J142" s="2" t="str">
        <x:v>2025-01-15</x:v>
      </x:c>
      <x:c r="K142" s="7" t="n">
        <x:f>100*(H142/I142-1)</x:f>
        <x:v>-0.29988083639813645</x:v>
      </x:c>
      <x:c r="L142" s="7" t="n">
        <x:f>ABS(K142)</x:f>
        <x:v>0.29988083639813645</x:v>
      </x:c>
      <x:c r="M142" s="2" t="str">
        <x:v>Yes</x:v>
      </x:c>
    </x:row>
    <x:row r="143" ht="27" customHeight="1">
      <x:c r="A143" s="2"/>
      <x:c r="B143" s="2" t="str">
        <x:v>CUUR0000SEGB</x:v>
      </x:c>
      <x:c r="C143" s="2" t="str">
        <x:v>2024-12-31</x:v>
      </x:c>
      <x:c r="D143" s="2" t="str">
        <x:v>Two months</x:v>
      </x:c>
      <x:c r="E143" s="2" t="str">
        <x:v>2024-12-11</x:v>
      </x:c>
      <x:c r="F143" s="2" t="str">
        <x:v>2024-12-01</x:v>
      </x:c>
      <x:c r="G143" s="2" t="str">
        <x:v>Flat level</x:v>
      </x:c>
      <x:c r="H143" s="7" t="n">
        <x:v>179.444</x:v>
      </x:c>
      <x:c r="I143" s="7" t="n">
        <x:v>177.536</x:v>
      </x:c>
      <x:c r="J143" s="2" t="str">
        <x:v>2025-01-15</x:v>
      </x:c>
      <x:c r="K143" s="7" t="n">
        <x:f>100*(H143/I143-1)</x:f>
        <x:v>1.0747116077865826</x:v>
      </x:c>
      <x:c r="L143" s="7" t="n">
        <x:f>ABS(K143)</x:f>
        <x:v>1.0747116077865826</x:v>
      </x:c>
      <x:c r="M143" s="2" t="str">
        <x:v>Yes</x:v>
      </x:c>
    </x:row>
    <x:row r="144" ht="27" customHeight="1">
      <x:c r="A144" s="2"/>
      <x:c r="B144" s="2" t="str">
        <x:v>CUUR0000SEGB</x:v>
      </x:c>
      <x:c r="C144" s="2" t="str">
        <x:v>2024-12-31</x:v>
      </x:c>
      <x:c r="D144" s="2" t="str">
        <x:v>Two months</x:v>
      </x:c>
      <x:c r="E144" s="2" t="str">
        <x:v>2024-12-11</x:v>
      </x:c>
      <x:c r="F144" s="2" t="str">
        <x:v>2024-12-01</x:v>
      </x:c>
      <x:c r="G144" s="2" t="str">
        <x:v>Recent trend</x:v>
      </x:c>
      <x:c r="H144" s="7" t="n">
        <x:v>179.589</x:v>
      </x:c>
      <x:c r="I144" s="7" t="n">
        <x:v>177.536</x:v>
      </x:c>
      <x:c r="J144" s="2" t="str">
        <x:v>2025-01-15</x:v>
      </x:c>
      <x:c r="K144" s="7" t="n">
        <x:f>100*(H144/I144-1)</x:f>
        <x:v>1.1563851838500394</x:v>
      </x:c>
      <x:c r="L144" s="7" t="n">
        <x:f>ABS(K144)</x:f>
        <x:v>1.1563851838500394</x:v>
      </x:c>
      <x:c r="M144" s="2" t="str">
        <x:v>Yes</x:v>
      </x:c>
    </x:row>
    <x:row r="145" ht="27" customHeight="1">
      <x:c r="A145" s="2"/>
      <x:c r="B145" s="2" t="str">
        <x:v>CUUR0000SEGB</x:v>
      </x:c>
      <x:c r="C145" s="2" t="str">
        <x:v>2024-12-31</x:v>
      </x:c>
      <x:c r="D145" s="2" t="str">
        <x:v>Two months</x:v>
      </x:c>
      <x:c r="E145" s="2" t="str">
        <x:v>2024-12-11</x:v>
      </x:c>
      <x:c r="F145" s="2" t="str">
        <x:v>2024-12-01</x:v>
      </x:c>
      <x:c r="G145" s="2" t="str">
        <x:v>Seasonal step</x:v>
      </x:c>
      <x:c r="H145" s="7" t="n">
        <x:v>179.10731518144564</x:v>
      </x:c>
      <x:c r="I145" s="7" t="n">
        <x:v>177.536</x:v>
      </x:c>
      <x:c r="J145" s="2" t="str">
        <x:v>2025-01-15</x:v>
      </x:c>
      <x:c r="K145" s="7" t="n">
        <x:f>100*(H145/I145-1)</x:f>
        <x:v>0.8850684826996469</x:v>
      </x:c>
      <x:c r="L145" s="7" t="n">
        <x:f>ABS(K145)</x:f>
        <x:v>0.8850684826996469</x:v>
      </x:c>
      <x:c r="M145" s="2" t="str">
        <x:v>Yes</x:v>
      </x:c>
    </x:row>
    <x:row r="146" ht="27" customHeight="1">
      <x:c r="A146" s="2"/>
      <x:c r="B146" s="2" t="str">
        <x:v>CUUR0000SEGB</x:v>
      </x:c>
      <x:c r="C146" s="2" t="str">
        <x:v>2025-03-31</x:v>
      </x:c>
      <x:c r="D146" s="2" t="str">
        <x:v>Origin</x:v>
      </x:c>
      <x:c r="E146" s="2" t="str">
        <x:v>2025-01-01</x:v>
      </x:c>
      <x:c r="F146" s="2" t="str">
        <x:v>2025-01-01</x:v>
      </x:c>
      <x:c r="G146" s="2" t="str">
        <x:v>YoY carry</x:v>
      </x:c>
      <x:c r="H146" s="7" t="n">
        <x:v>177.9316147512204</x:v>
      </x:c>
      <x:c r="I146" s="7" t="n">
        <x:v>178.259</x:v>
      </x:c>
      <x:c r="J146" s="2" t="str">
        <x:v>2025-02-12</x:v>
      </x:c>
      <x:c r="K146" s="7" t="n">
        <x:f>100*(H146/I146-1)</x:f>
        <x:v>-0.1836570657187564</x:v>
      </x:c>
      <x:c r="L146" s="7" t="n">
        <x:f>ABS(K146)</x:f>
        <x:v>0.1836570657187564</x:v>
      </x:c>
      <x:c r="M146" s="2" t="str">
        <x:v>Yes</x:v>
      </x:c>
    </x:row>
    <x:row r="147" ht="27" customHeight="1">
      <x:c r="A147" s="2"/>
      <x:c r="B147" s="2" t="str">
        <x:v>CUUR0000SEGB</x:v>
      </x:c>
      <x:c r="C147" s="2" t="str">
        <x:v>2025-03-31</x:v>
      </x:c>
      <x:c r="D147" s="2" t="str">
        <x:v>Origin</x:v>
      </x:c>
      <x:c r="E147" s="2" t="str">
        <x:v>2025-01-01</x:v>
      </x:c>
      <x:c r="F147" s="2" t="str">
        <x:v>2025-02-01</x:v>
      </x:c>
      <x:c r="G147" s="2" t="str">
        <x:v>YoY carry</x:v>
      </x:c>
      <x:c r="H147" s="7" t="n">
        <x:v>179.70044818050582</x:v>
      </x:c>
      <x:c r="I147" s="7" t="n">
        <x:v>179.824</x:v>
      </x:c>
      <x:c r="J147" s="2" t="str">
        <x:v>2025-03-12</x:v>
      </x:c>
      <x:c r="K147" s="7" t="n">
        <x:f>100*(H147/I147-1)</x:f>
        <x:v>-0.06870707997497227</x:v>
      </x:c>
      <x:c r="L147" s="7" t="n">
        <x:f>ABS(K147)</x:f>
        <x:v>0.06870707997497227</x:v>
      </x:c>
      <x:c r="M147" s="2" t="str">
        <x:v>Yes</x:v>
      </x:c>
    </x:row>
    <x:row r="148" ht="27" customHeight="1">
      <x:c r="A148" s="2"/>
      <x:c r="B148" s="2" t="str">
        <x:v>CUUR0000SEGB</x:v>
      </x:c>
      <x:c r="C148" s="2" t="str">
        <x:v>2025-03-31</x:v>
      </x:c>
      <x:c r="D148" s="2" t="str">
        <x:v>Origin</x:v>
      </x:c>
      <x:c r="E148" s="2" t="str">
        <x:v>2025-01-01</x:v>
      </x:c>
      <x:c r="F148" s="2" t="str">
        <x:v>2025-03-01</x:v>
      </x:c>
      <x:c r="G148" s="2" t="str">
        <x:v>YoY carry</x:v>
      </x:c>
      <x:c r="H148" s="7" t="n">
        <x:v>180.09630608677645</x:v>
      </x:c>
      <x:c r="I148" s="7" t="n">
        <x:v>179.746</x:v>
      </x:c>
      <x:c r="J148" s="2" t="str">
        <x:v>2025-04-10</x:v>
      </x:c>
      <x:c r="K148" s="7" t="n">
        <x:f>100*(H148/I148-1)</x:f>
        <x:v>0.1948895033972553</x:v>
      </x:c>
      <x:c r="L148" s="7" t="n">
        <x:f>ABS(K148)</x:f>
        <x:v>0.1948895033972553</x:v>
      </x:c>
      <x:c r="M148" s="2" t="str">
        <x:v>Yes</x:v>
      </x:c>
    </x:row>
    <x:row r="149" ht="27" customHeight="1">
      <x:c r="A149" s="2"/>
      <x:c r="B149" s="2" t="str">
        <x:v>CUUR0000SEGB</x:v>
      </x:c>
      <x:c r="C149" s="2" t="str">
        <x:v>2025-03-31</x:v>
      </x:c>
      <x:c r="D149" s="2" t="str">
        <x:v>Origin</x:v>
      </x:c>
      <x:c r="E149" s="2" t="str">
        <x:v>2025-01-01</x:v>
      </x:c>
      <x:c r="F149" s="2" t="str">
        <x:v>2025-01-01</x:v>
      </x:c>
      <x:c r="G149" s="2" t="str">
        <x:v>Flat level</x:v>
      </x:c>
      <x:c r="H149" s="7" t="n">
        <x:v>179.444</x:v>
      </x:c>
      <x:c r="I149" s="7" t="n">
        <x:v>178.259</x:v>
      </x:c>
      <x:c r="J149" s="2" t="str">
        <x:v>2025-02-12</x:v>
      </x:c>
      <x:c r="K149" s="7" t="n">
        <x:f>100*(H149/I149-1)</x:f>
        <x:v>0.6647630694663453</x:v>
      </x:c>
      <x:c r="L149" s="7" t="n">
        <x:f>ABS(K149)</x:f>
        <x:v>0.6647630694663453</x:v>
      </x:c>
      <x:c r="M149" s="2" t="str">
        <x:v>Yes</x:v>
      </x:c>
    </x:row>
    <x:row r="150" ht="27" customHeight="1">
      <x:c r="A150" s="2"/>
      <x:c r="B150" s="2" t="str">
        <x:v>CUUR0000SEGB</x:v>
      </x:c>
      <x:c r="C150" s="2" t="str">
        <x:v>2025-03-31</x:v>
      </x:c>
      <x:c r="D150" s="2" t="str">
        <x:v>Origin</x:v>
      </x:c>
      <x:c r="E150" s="2" t="str">
        <x:v>2025-01-01</x:v>
      </x:c>
      <x:c r="F150" s="2" t="str">
        <x:v>2025-02-01</x:v>
      </x:c>
      <x:c r="G150" s="2" t="str">
        <x:v>Flat level</x:v>
      </x:c>
      <x:c r="H150" s="7" t="n">
        <x:v>179.444</x:v>
      </x:c>
      <x:c r="I150" s="7" t="n">
        <x:v>179.824</x:v>
      </x:c>
      <x:c r="J150" s="2" t="str">
        <x:v>2025-03-12</x:v>
      </x:c>
      <x:c r="K150" s="7" t="n">
        <x:f>100*(H150/I150-1)</x:f>
        <x:v>-0.21131773289440048</x:v>
      </x:c>
      <x:c r="L150" s="7" t="n">
        <x:f>ABS(K150)</x:f>
        <x:v>0.21131773289440048</x:v>
      </x:c>
      <x:c r="M150" s="2" t="str">
        <x:v>Yes</x:v>
      </x:c>
    </x:row>
    <x:row r="151" ht="27" customHeight="1">
      <x:c r="A151" s="2"/>
      <x:c r="B151" s="2" t="str">
        <x:v>CUUR0000SEGB</x:v>
      </x:c>
      <x:c r="C151" s="2" t="str">
        <x:v>2025-03-31</x:v>
      </x:c>
      <x:c r="D151" s="2" t="str">
        <x:v>Origin</x:v>
      </x:c>
      <x:c r="E151" s="2" t="str">
        <x:v>2025-01-01</x:v>
      </x:c>
      <x:c r="F151" s="2" t="str">
        <x:v>2025-03-01</x:v>
      </x:c>
      <x:c r="G151" s="2" t="str">
        <x:v>Flat level</x:v>
      </x:c>
      <x:c r="H151" s="7" t="n">
        <x:v>179.444</x:v>
      </x:c>
      <x:c r="I151" s="7" t="n">
        <x:v>179.746</x:v>
      </x:c>
      <x:c r="J151" s="2" t="str">
        <x:v>2025-04-10</x:v>
      </x:c>
      <x:c r="K151" s="7" t="n">
        <x:f>100*(H151/I151-1)</x:f>
        <x:v>-0.16801486542121769</x:v>
      </x:c>
      <x:c r="L151" s="7" t="n">
        <x:f>ABS(K151)</x:f>
        <x:v>0.16801486542121769</x:v>
      </x:c>
      <x:c r="M151" s="2" t="str">
        <x:v>Yes</x:v>
      </x:c>
    </x:row>
    <x:row r="152" ht="27" customHeight="1">
      <x:c r="A152" s="2"/>
      <x:c r="B152" s="2" t="str">
        <x:v>CUUR0000SEGB</x:v>
      </x:c>
      <x:c r="C152" s="2" t="str">
        <x:v>2025-03-31</x:v>
      </x:c>
      <x:c r="D152" s="2" t="str">
        <x:v>Origin</x:v>
      </x:c>
      <x:c r="E152" s="2" t="str">
        <x:v>2025-01-01</x:v>
      </x:c>
      <x:c r="F152" s="2" t="str">
        <x:v>2025-01-01</x:v>
      </x:c>
      <x:c r="G152" s="2" t="str">
        <x:v>Recent trend</x:v>
      </x:c>
      <x:c r="H152" s="7" t="n">
        <x:v>179.73399999999998</x:v>
      </x:c>
      <x:c r="I152" s="7" t="n">
        <x:v>178.259</x:v>
      </x:c>
      <x:c r="J152" s="2" t="str">
        <x:v>2025-02-12</x:v>
      </x:c>
      <x:c r="K152" s="7" t="n">
        <x:f>100*(H152/I152-1)</x:f>
        <x:v>0.8274477025002946</x:v>
      </x:c>
      <x:c r="L152" s="7" t="n">
        <x:f>ABS(K152)</x:f>
        <x:v>0.8274477025002946</x:v>
      </x:c>
      <x:c r="M152" s="2" t="str">
        <x:v>Yes</x:v>
      </x:c>
    </x:row>
    <x:row r="153" ht="27" customHeight="1">
      <x:c r="A153" s="2"/>
      <x:c r="B153" s="2" t="str">
        <x:v>CUUR0000SEGB</x:v>
      </x:c>
      <x:c r="C153" s="2" t="str">
        <x:v>2025-03-31</x:v>
      </x:c>
      <x:c r="D153" s="2" t="str">
        <x:v>Origin</x:v>
      </x:c>
      <x:c r="E153" s="2" t="str">
        <x:v>2025-01-01</x:v>
      </x:c>
      <x:c r="F153" s="2" t="str">
        <x:v>2025-02-01</x:v>
      </x:c>
      <x:c r="G153" s="2" t="str">
        <x:v>Recent trend</x:v>
      </x:c>
      <x:c r="H153" s="7" t="n">
        <x:v>179.87899999999996</x:v>
      </x:c>
      <x:c r="I153" s="7" t="n">
        <x:v>179.824</x:v>
      </x:c>
      <x:c r="J153" s="2" t="str">
        <x:v>2025-03-12</x:v>
      </x:c>
      <x:c r="K153" s="7" t="n">
        <x:f>100*(H153/I153-1)</x:f>
        <x:v>0.030585461339938114</x:v>
      </x:c>
      <x:c r="L153" s="7" t="n">
        <x:f>ABS(K153)</x:f>
        <x:v>0.030585461339938114</x:v>
      </x:c>
      <x:c r="M153" s="2" t="str">
        <x:v>Yes</x:v>
      </x:c>
    </x:row>
    <x:row r="154" ht="27" customHeight="1">
      <x:c r="A154" s="2"/>
      <x:c r="B154" s="2" t="str">
        <x:v>CUUR0000SEGB</x:v>
      </x:c>
      <x:c r="C154" s="2" t="str">
        <x:v>2025-03-31</x:v>
      </x:c>
      <x:c r="D154" s="2" t="str">
        <x:v>Origin</x:v>
      </x:c>
      <x:c r="E154" s="2" t="str">
        <x:v>2025-01-01</x:v>
      </x:c>
      <x:c r="F154" s="2" t="str">
        <x:v>2025-03-01</x:v>
      </x:c>
      <x:c r="G154" s="2" t="str">
        <x:v>Recent trend</x:v>
      </x:c>
      <x:c r="H154" s="7" t="n">
        <x:v>180.02399999999997</x:v>
      </x:c>
      <x:c r="I154" s="7" t="n">
        <x:v>179.746</x:v>
      </x:c>
      <x:c r="J154" s="2" t="str">
        <x:v>2025-04-10</x:v>
      </x:c>
      <x:c r="K154" s="7" t="n">
        <x:f>100*(H154/I154-1)</x:f>
        <x:v>0.15466269068571403</x:v>
      </x:c>
      <x:c r="L154" s="7" t="n">
        <x:f>ABS(K154)</x:f>
        <x:v>0.15466269068571403</x:v>
      </x:c>
      <x:c r="M154" s="2" t="str">
        <x:v>Yes</x:v>
      </x:c>
    </x:row>
    <x:row r="155" ht="27" customHeight="1">
      <x:c r="A155" s="2"/>
      <x:c r="B155" s="2" t="str">
        <x:v>CUUR0000SEGB</x:v>
      </x:c>
      <x:c r="C155" s="2" t="str">
        <x:v>2025-03-31</x:v>
      </x:c>
      <x:c r="D155" s="2" t="str">
        <x:v>Origin</x:v>
      </x:c>
      <x:c r="E155" s="2" t="str">
        <x:v>2025-01-01</x:v>
      </x:c>
      <x:c r="F155" s="2" t="str">
        <x:v>2025-01-01</x:v>
      </x:c>
      <x:c r="G155" s="2" t="str">
        <x:v>Seasonal step</x:v>
      </x:c>
      <x:c r="H155" s="7" t="n">
        <x:v>180.04635591215572</x:v>
      </x:c>
      <x:c r="I155" s="7" t="n">
        <x:v>178.259</x:v>
      </x:c>
      <x:c r="J155" s="2" t="str">
        <x:v>2025-02-12</x:v>
      </x:c>
      <x:c r="K155" s="7" t="n">
        <x:f>100*(H155/I155-1)</x:f>
        <x:v>1.0026735885176885</x:v>
      </x:c>
      <x:c r="L155" s="7" t="n">
        <x:f>ABS(K155)</x:f>
        <x:v>1.0026735885176885</x:v>
      </x:c>
      <x:c r="M155" s="2" t="str">
        <x:v>Yes</x:v>
      </x:c>
    </x:row>
    <x:row r="156" ht="27" customHeight="1">
      <x:c r="A156" s="2"/>
      <x:c r="B156" s="2" t="str">
        <x:v>CUUR0000SEGB</x:v>
      </x:c>
      <x:c r="C156" s="2" t="str">
        <x:v>2025-03-31</x:v>
      </x:c>
      <x:c r="D156" s="2" t="str">
        <x:v>Origin</x:v>
      </x:c>
      <x:c r="E156" s="2" t="str">
        <x:v>2025-01-01</x:v>
      </x:c>
      <x:c r="F156" s="2" t="str">
        <x:v>2025-02-01</x:v>
      </x:c>
      <x:c r="G156" s="2" t="str">
        <x:v>Seasonal step</x:v>
      </x:c>
      <x:c r="H156" s="7" t="n">
        <x:v>181.4757233272762</x:v>
      </x:c>
      <x:c r="I156" s="7" t="n">
        <x:v>179.824</x:v>
      </x:c>
      <x:c r="J156" s="2" t="str">
        <x:v>2025-03-12</x:v>
      </x:c>
      <x:c r="K156" s="7" t="n">
        <x:f>100*(H156/I156-1)</x:f>
        <x:v>0.9185221812862521</x:v>
      </x:c>
      <x:c r="L156" s="7" t="n">
        <x:f>ABS(K156)</x:f>
        <x:v>0.9185221812862521</x:v>
      </x:c>
      <x:c r="M156" s="2" t="str">
        <x:v>Yes</x:v>
      </x:c>
    </x:row>
    <x:row r="157" ht="27" customHeight="1">
      <x:c r="A157" s="2"/>
      <x:c r="B157" s="2" t="str">
        <x:v>CUUR0000SEGB</x:v>
      </x:c>
      <x:c r="C157" s="2" t="str">
        <x:v>2025-03-31</x:v>
      </x:c>
      <x:c r="D157" s="2" t="str">
        <x:v>Origin</x:v>
      </x:c>
      <x:c r="E157" s="2" t="str">
        <x:v>2025-01-01</x:v>
      </x:c>
      <x:c r="F157" s="2" t="str">
        <x:v>2025-03-01</x:v>
      </x:c>
      <x:c r="G157" s="2" t="str">
        <x:v>Seasonal step</x:v>
      </x:c>
      <x:c r="H157" s="7" t="n">
        <x:v>182.95684414773095</x:v>
      </x:c>
      <x:c r="I157" s="7" t="n">
        <x:v>179.746</x:v>
      </x:c>
      <x:c r="J157" s="2" t="str">
        <x:v>2025-04-10</x:v>
      </x:c>
      <x:c r="K157" s="7" t="n">
        <x:f>100*(H157/I157-1)</x:f>
        <x:v>1.7863230045346956</x:v>
      </x:c>
      <x:c r="L157" s="7" t="n">
        <x:f>ABS(K157)</x:f>
        <x:v>1.7863230045346956</x:v>
      </x:c>
      <x:c r="M157" s="2" t="str">
        <x:v>Yes</x:v>
      </x:c>
    </x:row>
    <x:row r="158" ht="27" customHeight="1">
      <x:c r="A158" s="2"/>
      <x:c r="B158" s="2" t="str">
        <x:v>CUUR0000SEGB</x:v>
      </x:c>
      <x:c r="C158" s="2" t="str">
        <x:v>2025-03-31</x:v>
      </x:c>
      <x:c r="D158" s="2" t="str">
        <x:v>One month</x:v>
      </x:c>
      <x:c r="E158" s="2" t="str">
        <x:v>2025-02-12</x:v>
      </x:c>
      <x:c r="F158" s="2" t="str">
        <x:v>2025-02-01</x:v>
      </x:c>
      <x:c r="G158" s="2" t="str">
        <x:v>YoY carry</x:v>
      </x:c>
      <x:c r="H158" s="7" t="n">
        <x:v>180.15927558964847</x:v>
      </x:c>
      <x:c r="I158" s="7" t="n">
        <x:v>179.824</x:v>
      </x:c>
      <x:c r="J158" s="2" t="str">
        <x:v>2025-03-12</x:v>
      </x:c>
      <x:c r="K158" s="7" t="n">
        <x:f>100*(H158/I158-1)</x:f>
        <x:v>0.18644651973511728</x:v>
      </x:c>
      <x:c r="L158" s="7" t="n">
        <x:f>ABS(K158)</x:f>
        <x:v>0.18644651973511728</x:v>
      </x:c>
      <x:c r="M158" s="2" t="str">
        <x:v>Yes</x:v>
      </x:c>
    </x:row>
    <x:row r="159" ht="27" customHeight="1">
      <x:c r="A159" s="2"/>
      <x:c r="B159" s="2" t="str">
        <x:v>CUUR0000SEGB</x:v>
      </x:c>
      <x:c r="C159" s="2" t="str">
        <x:v>2025-03-31</x:v>
      </x:c>
      <x:c r="D159" s="2" t="str">
        <x:v>One month</x:v>
      </x:c>
      <x:c r="E159" s="2" t="str">
        <x:v>2025-02-12</x:v>
      </x:c>
      <x:c r="F159" s="2" t="str">
        <x:v>2025-03-01</x:v>
      </x:c>
      <x:c r="G159" s="2" t="str">
        <x:v>YoY carry</x:v>
      </x:c>
      <x:c r="H159" s="7" t="n">
        <x:v>180.55614423606673</x:v>
      </x:c>
      <x:c r="I159" s="7" t="n">
        <x:v>179.746</x:v>
      </x:c>
      <x:c r="J159" s="2" t="str">
        <x:v>2025-04-10</x:v>
      </x:c>
      <x:c r="K159" s="7" t="n">
        <x:f>100*(H159/I159-1)</x:f>
        <x:v>0.4507161417036887</x:v>
      </x:c>
      <x:c r="L159" s="7" t="n">
        <x:f>ABS(K159)</x:f>
        <x:v>0.4507161417036887</x:v>
      </x:c>
      <x:c r="M159" s="2" t="str">
        <x:v>Yes</x:v>
      </x:c>
    </x:row>
    <x:row r="160" ht="27" customHeight="1">
      <x:c r="A160" s="2"/>
      <x:c r="B160" s="2" t="str">
        <x:v>CUUR0000SEGB</x:v>
      </x:c>
      <x:c r="C160" s="2" t="str">
        <x:v>2025-03-31</x:v>
      </x:c>
      <x:c r="D160" s="2" t="str">
        <x:v>One month</x:v>
      </x:c>
      <x:c r="E160" s="2" t="str">
        <x:v>2025-02-12</x:v>
      </x:c>
      <x:c r="F160" s="2" t="str">
        <x:v>2025-02-01</x:v>
      </x:c>
      <x:c r="G160" s="2" t="str">
        <x:v>Flat level</x:v>
      </x:c>
      <x:c r="H160" s="7" t="n">
        <x:v>178.259</x:v>
      </x:c>
      <x:c r="I160" s="7" t="n">
        <x:v>179.824</x:v>
      </x:c>
      <x:c r="J160" s="2" t="str">
        <x:v>2025-03-12</x:v>
      </x:c>
      <x:c r="K160" s="7" t="n">
        <x:f>100*(H160/I160-1)</x:f>
        <x:v>-0.8702953999466301</x:v>
      </x:c>
      <x:c r="L160" s="7" t="n">
        <x:f>ABS(K160)</x:f>
        <x:v>0.8702953999466301</x:v>
      </x:c>
      <x:c r="M160" s="2" t="str">
        <x:v>Yes</x:v>
      </x:c>
    </x:row>
    <x:row r="161" ht="27" customHeight="1">
      <x:c r="A161" s="2"/>
      <x:c r="B161" s="2" t="str">
        <x:v>CUUR0000SEGB</x:v>
      </x:c>
      <x:c r="C161" s="2" t="str">
        <x:v>2025-03-31</x:v>
      </x:c>
      <x:c r="D161" s="2" t="str">
        <x:v>One month</x:v>
      </x:c>
      <x:c r="E161" s="2" t="str">
        <x:v>2025-02-12</x:v>
      </x:c>
      <x:c r="F161" s="2" t="str">
        <x:v>2025-03-01</x:v>
      </x:c>
      <x:c r="G161" s="2" t="str">
        <x:v>Flat level</x:v>
      </x:c>
      <x:c r="H161" s="7" t="n">
        <x:v>178.259</x:v>
      </x:c>
      <x:c r="I161" s="7" t="n">
        <x:v>179.746</x:v>
      </x:c>
      <x:c r="J161" s="2" t="str">
        <x:v>2025-04-10</x:v>
      </x:c>
      <x:c r="K161" s="7" t="n">
        <x:f>100*(H161/I161-1)</x:f>
        <x:v>-0.8272784929845622</x:v>
      </x:c>
      <x:c r="L161" s="7" t="n">
        <x:f>ABS(K161)</x:f>
        <x:v>0.8272784929845622</x:v>
      </x:c>
      <x:c r="M161" s="2" t="str">
        <x:v>Yes</x:v>
      </x:c>
    </x:row>
    <x:row r="162" ht="27" customHeight="1">
      <x:c r="A162" s="2"/>
      <x:c r="B162" s="2" t="str">
        <x:v>CUUR0000SEGB</x:v>
      </x:c>
      <x:c r="C162" s="2" t="str">
        <x:v>2025-03-31</x:v>
      </x:c>
      <x:c r="D162" s="2" t="str">
        <x:v>One month</x:v>
      </x:c>
      <x:c r="E162" s="2" t="str">
        <x:v>2025-02-12</x:v>
      </x:c>
      <x:c r="F162" s="2" t="str">
        <x:v>2025-02-01</x:v>
      </x:c>
      <x:c r="G162" s="2" t="str">
        <x:v>Recent trend</x:v>
      </x:c>
      <x:c r="H162" s="7" t="n">
        <x:v>177.66649999999998</x:v>
      </x:c>
      <x:c r="I162" s="7" t="n">
        <x:v>179.824</x:v>
      </x:c>
      <x:c r="J162" s="2" t="str">
        <x:v>2025-03-12</x:v>
      </x:c>
      <x:c r="K162" s="7" t="n">
        <x:f>100*(H162/I162-1)</x:f>
        <x:v>-1.1997842334727449</x:v>
      </x:c>
      <x:c r="L162" s="7" t="n">
        <x:f>ABS(K162)</x:f>
        <x:v>1.1997842334727449</x:v>
      </x:c>
      <x:c r="M162" s="2" t="str">
        <x:v>Yes</x:v>
      </x:c>
    </x:row>
    <x:row r="163" ht="27" customHeight="1">
      <x:c r="A163" s="2"/>
      <x:c r="B163" s="2" t="str">
        <x:v>CUUR0000SEGB</x:v>
      </x:c>
      <x:c r="C163" s="2" t="str">
        <x:v>2025-03-31</x:v>
      </x:c>
      <x:c r="D163" s="2" t="str">
        <x:v>One month</x:v>
      </x:c>
      <x:c r="E163" s="2" t="str">
        <x:v>2025-02-12</x:v>
      </x:c>
      <x:c r="F163" s="2" t="str">
        <x:v>2025-03-01</x:v>
      </x:c>
      <x:c r="G163" s="2" t="str">
        <x:v>Recent trend</x:v>
      </x:c>
      <x:c r="H163" s="7" t="n">
        <x:v>177.07399999999998</x:v>
      </x:c>
      <x:c r="I163" s="7" t="n">
        <x:v>179.746</x:v>
      </x:c>
      <x:c r="J163" s="2" t="str">
        <x:v>2025-04-10</x:v>
      </x:c>
      <x:c r="K163" s="7" t="n">
        <x:f>100*(H163/I163-1)</x:f>
        <x:v>-1.4865421205478957</x:v>
      </x:c>
      <x:c r="L163" s="7" t="n">
        <x:f>ABS(K163)</x:f>
        <x:v>1.4865421205478957</x:v>
      </x:c>
      <x:c r="M163" s="2" t="str">
        <x:v>Yes</x:v>
      </x:c>
    </x:row>
    <x:row r="164" ht="27" customHeight="1">
      <x:c r="A164" s="2"/>
      <x:c r="B164" s="2" t="str">
        <x:v>CUUR0000SEGB</x:v>
      </x:c>
      <x:c r="C164" s="2" t="str">
        <x:v>2025-03-31</x:v>
      </x:c>
      <x:c r="D164" s="2" t="str">
        <x:v>One month</x:v>
      </x:c>
      <x:c r="E164" s="2" t="str">
        <x:v>2025-02-12</x:v>
      </x:c>
      <x:c r="F164" s="2" t="str">
        <x:v>2025-02-01</x:v>
      </x:c>
      <x:c r="G164" s="2" t="str">
        <x:v>Seasonal step</x:v>
      </x:c>
      <x:c r="H164" s="7" t="n">
        <x:v>179.67417780107849</x:v>
      </x:c>
      <x:c r="I164" s="7" t="n">
        <x:v>179.824</x:v>
      </x:c>
      <x:c r="J164" s="2" t="str">
        <x:v>2025-03-12</x:v>
      </x:c>
      <x:c r="K164" s="7" t="n">
        <x:f>100*(H164/I164-1)</x:f>
        <x:v>-0.08331601950881673</x:v>
      </x:c>
      <x:c r="L164" s="7" t="n">
        <x:f>ABS(K164)</x:f>
        <x:v>0.08331601950881673</x:v>
      </x:c>
      <x:c r="M164" s="2" t="str">
        <x:v>Yes</x:v>
      </x:c>
    </x:row>
    <x:row r="165" ht="27" customHeight="1">
      <x:c r="A165" s="2"/>
      <x:c r="B165" s="2" t="str">
        <x:v>CUUR0000SEGB</x:v>
      </x:c>
      <x:c r="C165" s="2" t="str">
        <x:v>2025-03-31</x:v>
      </x:c>
      <x:c r="D165" s="2" t="str">
        <x:v>One month</x:v>
      </x:c>
      <x:c r="E165" s="2" t="str">
        <x:v>2025-02-12</x:v>
      </x:c>
      <x:c r="F165" s="2" t="str">
        <x:v>2025-03-01</x:v>
      </x:c>
      <x:c r="G165" s="2" t="str">
        <x:v>Seasonal step</x:v>
      </x:c>
      <x:c r="H165" s="7" t="n">
        <x:v>181.14059524116408</x:v>
      </x:c>
      <x:c r="I165" s="7" t="n">
        <x:v>179.746</x:v>
      </x:c>
      <x:c r="J165" s="2" t="str">
        <x:v>2025-04-10</x:v>
      </x:c>
      <x:c r="K165" s="7" t="n">
        <x:f>100*(H165/I165-1)</x:f>
        <x:v>0.775869972719323</x:v>
      </x:c>
      <x:c r="L165" s="7" t="n">
        <x:f>ABS(K165)</x:f>
        <x:v>0.775869972719323</x:v>
      </x:c>
      <x:c r="M165" s="2" t="str">
        <x:v>Yes</x:v>
      </x:c>
    </x:row>
    <x:row r="166" ht="27" customHeight="1">
      <x:c r="A166" s="2"/>
      <x:c r="B166" s="2" t="str">
        <x:v>CUUR0000SEGB</x:v>
      </x:c>
      <x:c r="C166" s="2" t="str">
        <x:v>2025-03-31</x:v>
      </x:c>
      <x:c r="D166" s="2" t="str">
        <x:v>Two months</x:v>
      </x:c>
      <x:c r="E166" s="2" t="str">
        <x:v>2025-03-12</x:v>
      </x:c>
      <x:c r="F166" s="2" t="str">
        <x:v>2025-03-01</x:v>
      </x:c>
      <x:c r="G166" s="2" t="str">
        <x:v>YoY carry</x:v>
      </x:c>
      <x:c r="H166" s="7" t="n">
        <x:v>180.42860306043568</x:v>
      </x:c>
      <x:c r="I166" s="7" t="n">
        <x:v>179.746</x:v>
      </x:c>
      <x:c r="J166" s="2" t="str">
        <x:v>2025-04-10</x:v>
      </x:c>
      <x:c r="K166" s="7" t="n">
        <x:f>100*(H166/I166-1)</x:f>
        <x:v>0.3797598057456941</x:v>
      </x:c>
      <x:c r="L166" s="7" t="n">
        <x:f>ABS(K166)</x:f>
        <x:v>0.3797598057456941</x:v>
      </x:c>
      <x:c r="M166" s="2" t="str">
        <x:v>Yes</x:v>
      </x:c>
    </x:row>
    <x:row r="167" ht="27" customHeight="1">
      <x:c r="A167" s="2"/>
      <x:c r="B167" s="2" t="str">
        <x:v>CUUR0000SEGB</x:v>
      </x:c>
      <x:c r="C167" s="2" t="str">
        <x:v>2025-03-31</x:v>
      </x:c>
      <x:c r="D167" s="2" t="str">
        <x:v>Two months</x:v>
      </x:c>
      <x:c r="E167" s="2" t="str">
        <x:v>2025-03-12</x:v>
      </x:c>
      <x:c r="F167" s="2" t="str">
        <x:v>2025-03-01</x:v>
      </x:c>
      <x:c r="G167" s="2" t="str">
        <x:v>Flat level</x:v>
      </x:c>
      <x:c r="H167" s="7" t="n">
        <x:v>179.824</x:v>
      </x:c>
      <x:c r="I167" s="7" t="n">
        <x:v>179.746</x:v>
      </x:c>
      <x:c r="J167" s="2" t="str">
        <x:v>2025-04-10</x:v>
      </x:c>
      <x:c r="K167" s="7" t="n">
        <x:f>100*(H167/I167-1)</x:f>
        <x:v>0.04339456789024254</x:v>
      </x:c>
      <x:c r="L167" s="7" t="n">
        <x:f>ABS(K167)</x:f>
        <x:v>0.04339456789024254</x:v>
      </x:c>
      <x:c r="M167" s="2" t="str">
        <x:v>Yes</x:v>
      </x:c>
    </x:row>
    <x:row r="168" ht="27" customHeight="1">
      <x:c r="A168" s="2"/>
      <x:c r="B168" s="2" t="str">
        <x:v>CUUR0000SEGB</x:v>
      </x:c>
      <x:c r="C168" s="2" t="str">
        <x:v>2025-03-31</x:v>
      </x:c>
      <x:c r="D168" s="2" t="str">
        <x:v>Two months</x:v>
      </x:c>
      <x:c r="E168" s="2" t="str">
        <x:v>2025-03-12</x:v>
      </x:c>
      <x:c r="F168" s="2" t="str">
        <x:v>2025-03-01</x:v>
      </x:c>
      <x:c r="G168" s="2" t="str">
        <x:v>Recent trend</x:v>
      </x:c>
      <x:c r="H168" s="7" t="n">
        <x:v>180.96800000000002</x:v>
      </x:c>
      <x:c r="I168" s="7" t="n">
        <x:v>179.746</x:v>
      </x:c>
      <x:c r="J168" s="2" t="str">
        <x:v>2025-04-10</x:v>
      </x:c>
      <x:c r="K168" s="7" t="n">
        <x:f>100*(H168/I168-1)</x:f>
        <x:v>0.6798482302805109</x:v>
      </x:c>
      <x:c r="L168" s="7" t="n">
        <x:f>ABS(K168)</x:f>
        <x:v>0.6798482302805109</x:v>
      </x:c>
      <x:c r="M168" s="2" t="str">
        <x:v>Yes</x:v>
      </x:c>
    </x:row>
    <x:row r="169" ht="27" customHeight="1">
      <x:c r="A169" s="2"/>
      <x:c r="B169" s="2" t="str">
        <x:v>CUUR0000SEGB</x:v>
      </x:c>
      <x:c r="C169" s="2" t="str">
        <x:v>2025-03-31</x:v>
      </x:c>
      <x:c r="D169" s="2" t="str">
        <x:v>Two months</x:v>
      </x:c>
      <x:c r="E169" s="2" t="str">
        <x:v>2025-03-12</x:v>
      </x:c>
      <x:c r="F169" s="2" t="str">
        <x:v>2025-03-01</x:v>
      </x:c>
      <x:c r="G169" s="2" t="str">
        <x:v>Seasonal step</x:v>
      </x:c>
      <x:c r="H169" s="7" t="n">
        <x:v>181.2916402194972</x:v>
      </x:c>
      <x:c r="I169" s="7" t="n">
        <x:v>179.746</x:v>
      </x:c>
      <x:c r="J169" s="2" t="str">
        <x:v>2025-04-10</x:v>
      </x:c>
      <x:c r="K169" s="7" t="n">
        <x:f>100*(H169/I169-1)</x:f>
        <x:v>0.8599024287033963</x:v>
      </x:c>
      <x:c r="L169" s="7" t="n">
        <x:f>ABS(K169)</x:f>
        <x:v>0.8599024287033963</x:v>
      </x:c>
      <x:c r="M169" s="2" t="str">
        <x:v>Yes</x:v>
      </x:c>
    </x:row>
    <x:row r="170" ht="27" customHeight="1">
      <x:c r="A170" s="2"/>
      <x:c r="B170" s="2" t="str">
        <x:v>CUUR0000SEGB</x:v>
      </x:c>
      <x:c r="C170" s="2" t="str">
        <x:v>2025-06-30</x:v>
      </x:c>
      <x:c r="D170" s="2" t="str">
        <x:v>Origin</x:v>
      </x:c>
      <x:c r="E170" s="2" t="str">
        <x:v>2025-04-01</x:v>
      </x:c>
      <x:c r="F170" s="2" t="str">
        <x:v>2025-04-01</x:v>
      </x:c>
      <x:c r="G170" s="2" t="str">
        <x:v>YoY carry</x:v>
      </x:c>
      <x:c r="H170" s="7" t="n">
        <x:v>180.00089010202726</x:v>
      </x:c>
      <x:c r="I170" s="7" t="n">
        <x:v>180.004</x:v>
      </x:c>
      <x:c r="J170" s="2" t="str">
        <x:v>2025-05-13</x:v>
      </x:c>
      <x:c r="K170" s="7" t="n">
        <x:f>100*(H170/I170-1)</x:f>
        <x:v>-0.0017276827030121567</x:v>
      </x:c>
      <x:c r="L170" s="7" t="n">
        <x:f>ABS(K170)</x:f>
        <x:v>0.0017276827030121567</x:v>
      </x:c>
      <x:c r="M170" s="2" t="str">
        <x:v>Yes</x:v>
      </x:c>
    </x:row>
    <x:row r="171" ht="27" customHeight="1">
      <x:c r="A171" s="2"/>
      <x:c r="B171" s="2" t="str">
        <x:v>CUUR0000SEGB</x:v>
      </x:c>
      <x:c r="C171" s="2" t="str">
        <x:v>2025-06-30</x:v>
      </x:c>
      <x:c r="D171" s="2" t="str">
        <x:v>Origin</x:v>
      </x:c>
      <x:c r="E171" s="2" t="str">
        <x:v>2025-04-01</x:v>
      </x:c>
      <x:c r="F171" s="2" t="str">
        <x:v>2025-05-01</x:v>
      </x:c>
      <x:c r="G171" s="2" t="str">
        <x:v>YoY carry</x:v>
      </x:c>
      <x:c r="H171" s="7" t="n">
        <x:v>179.54908063891978</x:v>
      </x:c>
      <x:c r="I171" s="7" t="n">
        <x:v>179.673</x:v>
      </x:c>
      <x:c r="J171" s="2" t="str">
        <x:v>2025-06-11</x:v>
      </x:c>
      <x:c r="K171" s="7" t="n">
        <x:f>100*(H171/I171-1)</x:f>
        <x:v>-0.0689693838697103</x:v>
      </x:c>
      <x:c r="L171" s="7" t="n">
        <x:f>ABS(K171)</x:f>
        <x:v>0.0689693838697103</x:v>
      </x:c>
      <x:c r="M171" s="2" t="str">
        <x:v>Yes</x:v>
      </x:c>
    </x:row>
    <x:row r="172" ht="27" customHeight="1">
      <x:c r="A172" s="2"/>
      <x:c r="B172" s="2" t="str">
        <x:v>CUUR0000SEGB</x:v>
      </x:c>
      <x:c r="C172" s="2" t="str">
        <x:v>2025-06-30</x:v>
      </x:c>
      <x:c r="D172" s="2" t="str">
        <x:v>Origin</x:v>
      </x:c>
      <x:c r="E172" s="2" t="str">
        <x:v>2025-04-01</x:v>
      </x:c>
      <x:c r="F172" s="2" t="str">
        <x:v>2025-06-01</x:v>
      </x:c>
      <x:c r="G172" s="2" t="str">
        <x:v>YoY carry</x:v>
      </x:c>
      <x:c r="H172" s="7" t="n">
        <x:v>179.40048552660883</x:v>
      </x:c>
      <x:c r="I172" s="7" t="n">
        <x:v>179.83</x:v>
      </x:c>
      <x:c r="J172" s="2" t="str">
        <x:v>2025-07-15</x:v>
      </x:c>
      <x:c r="K172" s="7" t="n">
        <x:f>100*(H172/I172-1)</x:f>
        <x:v>-0.23884472745991925</x:v>
      </x:c>
      <x:c r="L172" s="7" t="n">
        <x:f>ABS(K172)</x:f>
        <x:v>0.23884472745991925</x:v>
      </x:c>
      <x:c r="M172" s="2" t="str">
        <x:v>Yes</x:v>
      </x:c>
    </x:row>
    <x:row r="173" ht="27" customHeight="1">
      <x:c r="A173" s="2"/>
      <x:c r="B173" s="2" t="str">
        <x:v>CUUR0000SEGB</x:v>
      </x:c>
      <x:c r="C173" s="2" t="str">
        <x:v>2025-06-30</x:v>
      </x:c>
      <x:c r="D173" s="2" t="str">
        <x:v>Origin</x:v>
      </x:c>
      <x:c r="E173" s="2" t="str">
        <x:v>2025-04-01</x:v>
      </x:c>
      <x:c r="F173" s="2" t="str">
        <x:v>2025-04-01</x:v>
      </x:c>
      <x:c r="G173" s="2" t="str">
        <x:v>Flat level</x:v>
      </x:c>
      <x:c r="H173" s="7" t="n">
        <x:v>179.824</x:v>
      </x:c>
      <x:c r="I173" s="7" t="n">
        <x:v>180.004</x:v>
      </x:c>
      <x:c r="J173" s="2" t="str">
        <x:v>2025-05-13</x:v>
      </x:c>
      <x:c r="K173" s="7" t="n">
        <x:f>100*(H173/I173-1)</x:f>
        <x:v>-0.09999777782714325</x:v>
      </x:c>
      <x:c r="L173" s="7" t="n">
        <x:f>ABS(K173)</x:f>
        <x:v>0.09999777782714325</x:v>
      </x:c>
      <x:c r="M173" s="2" t="str">
        <x:v>Yes</x:v>
      </x:c>
    </x:row>
    <x:row r="174" ht="27" customHeight="1">
      <x:c r="A174" s="2"/>
      <x:c r="B174" s="2" t="str">
        <x:v>CUUR0000SEGB</x:v>
      </x:c>
      <x:c r="C174" s="2" t="str">
        <x:v>2025-06-30</x:v>
      </x:c>
      <x:c r="D174" s="2" t="str">
        <x:v>Origin</x:v>
      </x:c>
      <x:c r="E174" s="2" t="str">
        <x:v>2025-04-01</x:v>
      </x:c>
      <x:c r="F174" s="2" t="str">
        <x:v>2025-05-01</x:v>
      </x:c>
      <x:c r="G174" s="2" t="str">
        <x:v>Flat level</x:v>
      </x:c>
      <x:c r="H174" s="7" t="n">
        <x:v>179.824</x:v>
      </x:c>
      <x:c r="I174" s="7" t="n">
        <x:v>179.673</x:v>
      </x:c>
      <x:c r="J174" s="2" t="str">
        <x:v>2025-06-11</x:v>
      </x:c>
      <x:c r="K174" s="7" t="n">
        <x:f>100*(H174/I174-1)</x:f>
        <x:v>0.08404156439754118</x:v>
      </x:c>
      <x:c r="L174" s="7" t="n">
        <x:f>ABS(K174)</x:f>
        <x:v>0.08404156439754118</x:v>
      </x:c>
      <x:c r="M174" s="2" t="str">
        <x:v>Yes</x:v>
      </x:c>
    </x:row>
    <x:row r="175" ht="27" customHeight="1">
      <x:c r="A175" s="2"/>
      <x:c r="B175" s="2" t="str">
        <x:v>CUUR0000SEGB</x:v>
      </x:c>
      <x:c r="C175" s="2" t="str">
        <x:v>2025-06-30</x:v>
      </x:c>
      <x:c r="D175" s="2" t="str">
        <x:v>Origin</x:v>
      </x:c>
      <x:c r="E175" s="2" t="str">
        <x:v>2025-04-01</x:v>
      </x:c>
      <x:c r="F175" s="2" t="str">
        <x:v>2025-06-01</x:v>
      </x:c>
      <x:c r="G175" s="2" t="str">
        <x:v>Flat level</x:v>
      </x:c>
      <x:c r="H175" s="7" t="n">
        <x:v>179.824</x:v>
      </x:c>
      <x:c r="I175" s="7" t="n">
        <x:v>179.83</x:v>
      </x:c>
      <x:c r="J175" s="2" t="str">
        <x:v>2025-07-15</x:v>
      </x:c>
      <x:c r="K175" s="7" t="n">
        <x:f>100*(H175/I175-1)</x:f>
        <x:v>-0.0033364844575389796</x:v>
      </x:c>
      <x:c r="L175" s="7" t="n">
        <x:f>ABS(K175)</x:f>
        <x:v>0.0033364844575389796</x:v>
      </x:c>
      <x:c r="M175" s="2" t="str">
        <x:v>Yes</x:v>
      </x:c>
    </x:row>
    <x:row r="176" ht="27" customHeight="1">
      <x:c r="A176" s="2"/>
      <x:c r="B176" s="2" t="str">
        <x:v>CUUR0000SEGB</x:v>
      </x:c>
      <x:c r="C176" s="2" t="str">
        <x:v>2025-06-30</x:v>
      </x:c>
      <x:c r="D176" s="2" t="str">
        <x:v>Origin</x:v>
      </x:c>
      <x:c r="E176" s="2" t="str">
        <x:v>2025-04-01</x:v>
      </x:c>
      <x:c r="F176" s="2" t="str">
        <x:v>2025-04-01</x:v>
      </x:c>
      <x:c r="G176" s="2" t="str">
        <x:v>Recent trend</x:v>
      </x:c>
      <x:c r="H176" s="7" t="n">
        <x:v>182.11200000000002</x:v>
      </x:c>
      <x:c r="I176" s="7" t="n">
        <x:v>180.004</x:v>
      </x:c>
      <x:c r="J176" s="2" t="str">
        <x:v>2025-05-13</x:v>
      </x:c>
      <x:c r="K176" s="7" t="n">
        <x:f>100*(H176/I176-1)</x:f>
        <x:v>1.1710850869980804</x:v>
      </x:c>
      <x:c r="L176" s="7" t="n">
        <x:f>ABS(K176)</x:f>
        <x:v>1.1710850869980804</x:v>
      </x:c>
      <x:c r="M176" s="2" t="str">
        <x:v>Yes</x:v>
      </x:c>
    </x:row>
    <x:row r="177" ht="27" customHeight="1">
      <x:c r="A177" s="2"/>
      <x:c r="B177" s="2" t="str">
        <x:v>CUUR0000SEGB</x:v>
      </x:c>
      <x:c r="C177" s="2" t="str">
        <x:v>2025-06-30</x:v>
      </x:c>
      <x:c r="D177" s="2" t="str">
        <x:v>Origin</x:v>
      </x:c>
      <x:c r="E177" s="2" t="str">
        <x:v>2025-04-01</x:v>
      </x:c>
      <x:c r="F177" s="2" t="str">
        <x:v>2025-05-01</x:v>
      </x:c>
      <x:c r="G177" s="2" t="str">
        <x:v>Recent trend</x:v>
      </x:c>
      <x:c r="H177" s="7" t="n">
        <x:v>183.25600000000003</x:v>
      </x:c>
      <x:c r="I177" s="7" t="n">
        <x:v>179.673</x:v>
      </x:c>
      <x:c r="J177" s="2" t="str">
        <x:v>2025-06-11</x:v>
      </x:c>
      <x:c r="K177" s="7" t="n">
        <x:f>100*(H177/I177-1)</x:f>
        <x:v>1.9941783128238688</x:v>
      </x:c>
      <x:c r="L177" s="7" t="n">
        <x:f>ABS(K177)</x:f>
        <x:v>1.9941783128238688</x:v>
      </x:c>
      <x:c r="M177" s="2" t="str">
        <x:v>Yes</x:v>
      </x:c>
    </x:row>
    <x:row r="178" ht="27" customHeight="1">
      <x:c r="A178" s="2"/>
      <x:c r="B178" s="2" t="str">
        <x:v>CUUR0000SEGB</x:v>
      </x:c>
      <x:c r="C178" s="2" t="str">
        <x:v>2025-06-30</x:v>
      </x:c>
      <x:c r="D178" s="2" t="str">
        <x:v>Origin</x:v>
      </x:c>
      <x:c r="E178" s="2" t="str">
        <x:v>2025-04-01</x:v>
      </x:c>
      <x:c r="F178" s="2" t="str">
        <x:v>2025-06-01</x:v>
      </x:c>
      <x:c r="G178" s="2" t="str">
        <x:v>Recent trend</x:v>
      </x:c>
      <x:c r="H178" s="7" t="n">
        <x:v>184.40000000000003</x:v>
      </x:c>
      <x:c r="I178" s="7" t="n">
        <x:v>179.83</x:v>
      </x:c>
      <x:c r="J178" s="2" t="str">
        <x:v>2025-07-15</x:v>
      </x:c>
      <x:c r="K178" s="7" t="n">
        <x:f>100*(H178/I178-1)</x:f>
        <x:v>2.5412889951621054</x:v>
      </x:c>
      <x:c r="L178" s="7" t="n">
        <x:f>ABS(K178)</x:f>
        <x:v>2.5412889951621054</x:v>
      </x:c>
      <x:c r="M178" s="2" t="str">
        <x:v>Yes</x:v>
      </x:c>
    </x:row>
    <x:row r="179" ht="27" customHeight="1">
      <x:c r="A179" s="2"/>
      <x:c r="B179" s="2" t="str">
        <x:v>CUUR0000SEGB</x:v>
      </x:c>
      <x:c r="C179" s="2" t="str">
        <x:v>2025-06-30</x:v>
      </x:c>
      <x:c r="D179" s="2" t="str">
        <x:v>Origin</x:v>
      </x:c>
      <x:c r="E179" s="2" t="str">
        <x:v>2025-04-01</x:v>
      </x:c>
      <x:c r="F179" s="2" t="str">
        <x:v>2025-04-01</x:v>
      </x:c>
      <x:c r="G179" s="2" t="str">
        <x:v>Seasonal step</x:v>
      </x:c>
      <x:c r="H179" s="7" t="n">
        <x:v>181.8893721173865</x:v>
      </x:c>
      <x:c r="I179" s="7" t="n">
        <x:v>180.004</x:v>
      </x:c>
      <x:c r="J179" s="2" t="str">
        <x:v>2025-05-13</x:v>
      </x:c>
      <x:c r="K179" s="7" t="n">
        <x:f>100*(H179/I179-1)</x:f>
        <x:v>1.0474056784218755</x:v>
      </x:c>
      <x:c r="L179" s="7" t="n">
        <x:f>ABS(K179)</x:f>
        <x:v>1.0474056784218755</x:v>
      </x:c>
      <x:c r="M179" s="2" t="str">
        <x:v>Yes</x:v>
      </x:c>
    </x:row>
    <x:row r="180" ht="27" customHeight="1">
      <x:c r="A180" s="2"/>
      <x:c r="B180" s="2" t="str">
        <x:v>CUUR0000SEGB</x:v>
      </x:c>
      <x:c r="C180" s="2" t="str">
        <x:v>2025-06-30</x:v>
      </x:c>
      <x:c r="D180" s="2" t="str">
        <x:v>Origin</x:v>
      </x:c>
      <x:c r="E180" s="2" t="str">
        <x:v>2025-04-01</x:v>
      </x:c>
      <x:c r="F180" s="2" t="str">
        <x:v>2025-05-01</x:v>
      </x:c>
      <x:c r="G180" s="2" t="str">
        <x:v>Seasonal step</x:v>
      </x:c>
      <x:c r="H180" s="7" t="n">
        <x:v>182.4015550261727</x:v>
      </x:c>
      <x:c r="I180" s="7" t="n">
        <x:v>179.673</x:v>
      </x:c>
      <x:c r="J180" s="2" t="str">
        <x:v>2025-06-11</x:v>
      </x:c>
      <x:c r="K180" s="7" t="n">
        <x:f>100*(H180/I180-1)</x:f>
        <x:v>1.5186227347307124</x:v>
      </x:c>
      <x:c r="L180" s="7" t="n">
        <x:f>ABS(K180)</x:f>
        <x:v>1.5186227347307124</x:v>
      </x:c>
      <x:c r="M180" s="2" t="str">
        <x:v>Yes</x:v>
      </x:c>
    </x:row>
    <x:row r="181" ht="27" customHeight="1">
      <x:c r="A181" s="2"/>
      <x:c r="B181" s="2" t="str">
        <x:v>CUUR0000SEGB</x:v>
      </x:c>
      <x:c r="C181" s="2" t="str">
        <x:v>2025-06-30</x:v>
      </x:c>
      <x:c r="D181" s="2" t="str">
        <x:v>Origin</x:v>
      </x:c>
      <x:c r="E181" s="2" t="str">
        <x:v>2025-04-01</x:v>
      </x:c>
      <x:c r="F181" s="2" t="str">
        <x:v>2025-06-01</x:v>
      </x:c>
      <x:c r="G181" s="2" t="str">
        <x:v>Seasonal step</x:v>
      </x:c>
      <x:c r="H181" s="7" t="n">
        <x:v>182.77569298156513</x:v>
      </x:c>
      <x:c r="I181" s="7" t="n">
        <x:v>179.83</x:v>
      </x:c>
      <x:c r="J181" s="2" t="str">
        <x:v>2025-07-15</x:v>
      </x:c>
      <x:c r="K181" s="7" t="n">
        <x:f>100*(H181/I181-1)</x:f>
        <x:v>1.638043141614376</x:v>
      </x:c>
      <x:c r="L181" s="7" t="n">
        <x:f>ABS(K181)</x:f>
        <x:v>1.638043141614376</x:v>
      </x:c>
      <x:c r="M181" s="2" t="str">
        <x:v>Yes</x:v>
      </x:c>
    </x:row>
    <x:row r="182" ht="27" customHeight="1">
      <x:c r="A182" s="2"/>
      <x:c r="B182" s="2" t="str">
        <x:v>CUUR0000SEGB</x:v>
      </x:c>
      <x:c r="C182" s="2" t="str">
        <x:v>2025-06-30</x:v>
      </x:c>
      <x:c r="D182" s="2" t="str">
        <x:v>One month</x:v>
      </x:c>
      <x:c r="E182" s="2" t="str">
        <x:v>2025-05-13</x:v>
      </x:c>
      <x:c r="F182" s="2" t="str">
        <x:v>2025-05-01</x:v>
      </x:c>
      <x:c r="G182" s="2" t="str">
        <x:v>YoY carry</x:v>
      </x:c>
      <x:c r="H182" s="7" t="n">
        <x:v>179.25453720943648</x:v>
      </x:c>
      <x:c r="I182" s="7" t="n">
        <x:v>179.673</x:v>
      </x:c>
      <x:c r="J182" s="2" t="str">
        <x:v>2025-06-11</x:v>
      </x:c>
      <x:c r="K182" s="7" t="n">
        <x:f>100*(H182/I182-1)</x:f>
        <x:v>-0.23290243417960488</x:v>
      </x:c>
      <x:c r="L182" s="7" t="n">
        <x:f>ABS(K182)</x:f>
        <x:v>0.23290243417960488</x:v>
      </x:c>
      <x:c r="M182" s="2" t="str">
        <x:v>Yes</x:v>
      </x:c>
    </x:row>
    <x:row r="183" ht="27" customHeight="1">
      <x:c r="A183" s="2"/>
      <x:c r="B183" s="2" t="str">
        <x:v>CUUR0000SEGB</x:v>
      </x:c>
      <x:c r="C183" s="2" t="str">
        <x:v>2025-06-30</x:v>
      </x:c>
      <x:c r="D183" s="2" t="str">
        <x:v>One month</x:v>
      </x:c>
      <x:c r="E183" s="2" t="str">
        <x:v>2025-05-13</x:v>
      </x:c>
      <x:c r="F183" s="2" t="str">
        <x:v>2025-06-01</x:v>
      </x:c>
      <x:c r="G183" s="2" t="str">
        <x:v>YoY carry</x:v>
      </x:c>
      <x:c r="H183" s="7" t="n">
        <x:v>179.10618586174874</x:v>
      </x:c>
      <x:c r="I183" s="7" t="n">
        <x:v>179.83</x:v>
      </x:c>
      <x:c r="J183" s="2" t="str">
        <x:v>2025-07-15</x:v>
      </x:c>
      <x:c r="K183" s="7" t="n">
        <x:f>100*(H183/I183-1)</x:f>
        <x:v>-0.4024991037375747</x:v>
      </x:c>
      <x:c r="L183" s="7" t="n">
        <x:f>ABS(K183)</x:f>
        <x:v>0.4024991037375747</x:v>
      </x:c>
      <x:c r="M183" s="2" t="str">
        <x:v>Yes</x:v>
      </x:c>
    </x:row>
    <x:row r="184" ht="27" customHeight="1">
      <x:c r="A184" s="2"/>
      <x:c r="B184" s="2" t="str">
        <x:v>CUUR0000SEGB</x:v>
      </x:c>
      <x:c r="C184" s="2" t="str">
        <x:v>2025-06-30</x:v>
      </x:c>
      <x:c r="D184" s="2" t="str">
        <x:v>One month</x:v>
      </x:c>
      <x:c r="E184" s="2" t="str">
        <x:v>2025-05-13</x:v>
      </x:c>
      <x:c r="F184" s="2" t="str">
        <x:v>2025-05-01</x:v>
      </x:c>
      <x:c r="G184" s="2" t="str">
        <x:v>Flat level</x:v>
      </x:c>
      <x:c r="H184" s="7" t="n">
        <x:v>180.004</x:v>
      </x:c>
      <x:c r="I184" s="7" t="n">
        <x:v>179.673</x:v>
      </x:c>
      <x:c r="J184" s="2" t="str">
        <x:v>2025-06-11</x:v>
      </x:c>
      <x:c r="K184" s="7" t="n">
        <x:f>100*(H184/I184-1)</x:f>
        <x:v>0.18422356169263132</x:v>
      </x:c>
      <x:c r="L184" s="7" t="n">
        <x:f>ABS(K184)</x:f>
        <x:v>0.18422356169263132</x:v>
      </x:c>
      <x:c r="M184" s="2" t="str">
        <x:v>Yes</x:v>
      </x:c>
    </x:row>
    <x:row r="185" ht="27" customHeight="1">
      <x:c r="A185" s="2"/>
      <x:c r="B185" s="2" t="str">
        <x:v>CUUR0000SEGB</x:v>
      </x:c>
      <x:c r="C185" s="2" t="str">
        <x:v>2025-06-30</x:v>
      </x:c>
      <x:c r="D185" s="2" t="str">
        <x:v>One month</x:v>
      </x:c>
      <x:c r="E185" s="2" t="str">
        <x:v>2025-05-13</x:v>
      </x:c>
      <x:c r="F185" s="2" t="str">
        <x:v>2025-06-01</x:v>
      </x:c>
      <x:c r="G185" s="2" t="str">
        <x:v>Flat level</x:v>
      </x:c>
      <x:c r="H185" s="7" t="n">
        <x:v>180.004</x:v>
      </x:c>
      <x:c r="I185" s="7" t="n">
        <x:v>179.83</x:v>
      </x:c>
      <x:c r="J185" s="2" t="str">
        <x:v>2025-07-15</x:v>
      </x:c>
      <x:c r="K185" s="7" t="n">
        <x:f>100*(H185/I185-1)</x:f>
        <x:v>0.09675804926874143</x:v>
      </x:c>
      <x:c r="L185" s="7" t="n">
        <x:f>ABS(K185)</x:f>
        <x:v>0.09675804926874143</x:v>
      </x:c>
      <x:c r="M185" s="2" t="str">
        <x:v>Yes</x:v>
      </x:c>
    </x:row>
    <x:row r="186" ht="27" customHeight="1">
      <x:c r="A186" s="2"/>
      <x:c r="B186" s="2" t="str">
        <x:v>CUUR0000SEGB</x:v>
      </x:c>
      <x:c r="C186" s="2" t="str">
        <x:v>2025-06-30</x:v>
      </x:c>
      <x:c r="D186" s="2" t="str">
        <x:v>One month</x:v>
      </x:c>
      <x:c r="E186" s="2" t="str">
        <x:v>2025-05-13</x:v>
      </x:c>
      <x:c r="F186" s="2" t="str">
        <x:v>2025-05-01</x:v>
      </x:c>
      <x:c r="G186" s="2" t="str">
        <x:v>Recent trend</x:v>
      </x:c>
      <x:c r="H186" s="7" t="n">
        <x:v>180.094</x:v>
      </x:c>
      <x:c r="I186" s="7" t="n">
        <x:v>179.673</x:v>
      </x:c>
      <x:c r="J186" s="2" t="str">
        <x:v>2025-06-11</x:v>
      </x:c>
      <x:c r="K186" s="7" t="n">
        <x:f>100*(H186/I186-1)</x:f>
        <x:v>0.2343145603401764</x:v>
      </x:c>
      <x:c r="L186" s="7" t="n">
        <x:f>ABS(K186)</x:f>
        <x:v>0.2343145603401764</x:v>
      </x:c>
      <x:c r="M186" s="2" t="str">
        <x:v>Yes</x:v>
      </x:c>
    </x:row>
    <x:row r="187" ht="27" customHeight="1">
      <x:c r="A187" s="2"/>
      <x:c r="B187" s="2" t="str">
        <x:v>CUUR0000SEGB</x:v>
      </x:c>
      <x:c r="C187" s="2" t="str">
        <x:v>2025-06-30</x:v>
      </x:c>
      <x:c r="D187" s="2" t="str">
        <x:v>One month</x:v>
      </x:c>
      <x:c r="E187" s="2" t="str">
        <x:v>2025-05-13</x:v>
      </x:c>
      <x:c r="F187" s="2" t="str">
        <x:v>2025-06-01</x:v>
      </x:c>
      <x:c r="G187" s="2" t="str">
        <x:v>Recent trend</x:v>
      </x:c>
      <x:c r="H187" s="7" t="n">
        <x:v>180.18399999999997</x:v>
      </x:c>
      <x:c r="I187" s="7" t="n">
        <x:v>179.83</x:v>
      </x:c>
      <x:c r="J187" s="2" t="str">
        <x:v>2025-07-15</x:v>
      </x:c>
      <x:c r="K187" s="7" t="n">
        <x:f>100*(H187/I187-1)</x:f>
        <x:v>0.19685258299502184</x:v>
      </x:c>
      <x:c r="L187" s="7" t="n">
        <x:f>ABS(K187)</x:f>
        <x:v>0.19685258299502184</x:v>
      </x:c>
      <x:c r="M187" s="2" t="str">
        <x:v>Yes</x:v>
      </x:c>
    </x:row>
    <x:row r="188" ht="27" customHeight="1">
      <x:c r="A188" s="2"/>
      <x:c r="B188" s="2" t="str">
        <x:v>CUUR0000SEGB</x:v>
      </x:c>
      <x:c r="C188" s="2" t="str">
        <x:v>2025-06-30</x:v>
      </x:c>
      <x:c r="D188" s="2" t="str">
        <x:v>One month</x:v>
      </x:c>
      <x:c r="E188" s="2" t="str">
        <x:v>2025-05-13</x:v>
      </x:c>
      <x:c r="F188" s="2" t="str">
        <x:v>2025-05-01</x:v>
      </x:c>
      <x:c r="G188" s="2" t="str">
        <x:v>Seasonal step</x:v>
      </x:c>
      <x:c r="H188" s="7" t="n">
        <x:v>180.51087388295372</x:v>
      </x:c>
      <x:c r="I188" s="7" t="n">
        <x:v>179.673</x:v>
      </x:c>
      <x:c r="J188" s="2" t="str">
        <x:v>2025-06-11</x:v>
      </x:c>
      <x:c r="K188" s="7" t="n">
        <x:f>100*(H188/I188-1)</x:f>
        <x:v>0.466332661531621</x:v>
      </x:c>
      <x:c r="L188" s="7" t="n">
        <x:f>ABS(K188)</x:f>
        <x:v>0.466332661531621</x:v>
      </x:c>
      <x:c r="M188" s="2" t="str">
        <x:v>Yes</x:v>
      </x:c>
    </x:row>
    <x:row r="189" ht="27" customHeight="1">
      <x:c r="A189" s="2"/>
      <x:c r="B189" s="2" t="str">
        <x:v>CUUR0000SEGB</x:v>
      </x:c>
      <x:c r="C189" s="2" t="str">
        <x:v>2025-06-30</x:v>
      </x:c>
      <x:c r="D189" s="2" t="str">
        <x:v>One month</x:v>
      </x:c>
      <x:c r="E189" s="2" t="str">
        <x:v>2025-05-13</x:v>
      </x:c>
      <x:c r="F189" s="2" t="str">
        <x:v>2025-06-01</x:v>
      </x:c>
      <x:c r="G189" s="2" t="str">
        <x:v>Seasonal step</x:v>
      </x:c>
      <x:c r="H189" s="7" t="n">
        <x:v>180.88113371583165</x:v>
      </x:c>
      <x:c r="I189" s="7" t="n">
        <x:v>179.83</x:v>
      </x:c>
      <x:c r="J189" s="2" t="str">
        <x:v>2025-07-15</x:v>
      </x:c>
      <x:c r="K189" s="7" t="n">
        <x:f>100*(H189/I189-1)</x:f>
        <x:v>0.5845152176119806</x:v>
      </x:c>
      <x:c r="L189" s="7" t="n">
        <x:f>ABS(K189)</x:f>
        <x:v>0.5845152176119806</x:v>
      </x:c>
      <x:c r="M189" s="2" t="str">
        <x:v>Yes</x:v>
      </x:c>
    </x:row>
    <x:row r="190" ht="27" customHeight="1">
      <x:c r="A190" s="2"/>
      <x:c r="B190" s="2" t="str">
        <x:v>CUUR0000SEGB</x:v>
      </x:c>
      <x:c r="C190" s="2" t="str">
        <x:v>2025-06-30</x:v>
      </x:c>
      <x:c r="D190" s="2" t="str">
        <x:v>Two months</x:v>
      </x:c>
      <x:c r="E190" s="2" t="str">
        <x:v>2025-06-11</x:v>
      </x:c>
      <x:c r="F190" s="2" t="str">
        <x:v>2025-06-01</x:v>
      </x:c>
      <x:c r="G190" s="2" t="str">
        <x:v>YoY carry</x:v>
      </x:c>
      <x:c r="H190" s="7" t="n">
        <x:v>179.21655315176739</x:v>
      </x:c>
      <x:c r="I190" s="7" t="n">
        <x:v>179.83</x:v>
      </x:c>
      <x:c r="J190" s="2" t="str">
        <x:v>2025-07-15</x:v>
      </x:c>
      <x:c r="K190" s="7" t="n">
        <x:f>100*(H190/I190-1)</x:f>
        <x:v>-0.34112597910950226</x:v>
      </x:c>
      <x:c r="L190" s="7" t="n">
        <x:f>ABS(K190)</x:f>
        <x:v>0.34112597910950226</x:v>
      </x:c>
      <x:c r="M190" s="2" t="str">
        <x:v>Yes</x:v>
      </x:c>
    </x:row>
    <x:row r="191" ht="27" customHeight="1">
      <x:c r="A191" s="2"/>
      <x:c r="B191" s="2" t="str">
        <x:v>CUUR0000SEGB</x:v>
      </x:c>
      <x:c r="C191" s="2" t="str">
        <x:v>2025-06-30</x:v>
      </x:c>
      <x:c r="D191" s="2" t="str">
        <x:v>Two months</x:v>
      </x:c>
      <x:c r="E191" s="2" t="str">
        <x:v>2025-06-11</x:v>
      </x:c>
      <x:c r="F191" s="2" t="str">
        <x:v>2025-06-01</x:v>
      </x:c>
      <x:c r="G191" s="2" t="str">
        <x:v>Flat level</x:v>
      </x:c>
      <x:c r="H191" s="7" t="n">
        <x:v>179.673</x:v>
      </x:c>
      <x:c r="I191" s="7" t="n">
        <x:v>179.83</x:v>
      </x:c>
      <x:c r="J191" s="2" t="str">
        <x:v>2025-07-15</x:v>
      </x:c>
      <x:c r="K191" s="7" t="n">
        <x:f>100*(H191/I191-1)</x:f>
        <x:v>-0.08730467663905506</x:v>
      </x:c>
      <x:c r="L191" s="7" t="n">
        <x:f>ABS(K191)</x:f>
        <x:v>0.08730467663905506</x:v>
      </x:c>
      <x:c r="M191" s="2" t="str">
        <x:v>Yes</x:v>
      </x:c>
    </x:row>
    <x:row r="192" ht="27" customHeight="1">
      <x:c r="A192" s="2"/>
      <x:c r="B192" s="2" t="str">
        <x:v>CUUR0000SEGB</x:v>
      </x:c>
      <x:c r="C192" s="2" t="str">
        <x:v>2025-06-30</x:v>
      </x:c>
      <x:c r="D192" s="2" t="str">
        <x:v>Two months</x:v>
      </x:c>
      <x:c r="E192" s="2" t="str">
        <x:v>2025-06-11</x:v>
      </x:c>
      <x:c r="F192" s="2" t="str">
        <x:v>2025-06-01</x:v>
      </x:c>
      <x:c r="G192" s="2" t="str">
        <x:v>Recent trend</x:v>
      </x:c>
      <x:c r="H192" s="7" t="n">
        <x:v>179.6365</x:v>
      </x:c>
      <x:c r="I192" s="7" t="n">
        <x:v>179.83</x:v>
      </x:c>
      <x:c r="J192" s="2" t="str">
        <x:v>2025-07-15</x:v>
      </x:c>
      <x:c r="K192" s="7" t="n">
        <x:f>100*(H192/I192-1)</x:f>
        <x:v>-0.10760162375577087</x:v>
      </x:c>
      <x:c r="L192" s="7" t="n">
        <x:f>ABS(K192)</x:f>
        <x:v>0.10760162375577087</x:v>
      </x:c>
      <x:c r="M192" s="2" t="str">
        <x:v>Yes</x:v>
      </x:c>
    </x:row>
    <x:row r="193" ht="27" customHeight="1">
      <x:c r="A193" s="2"/>
      <x:c r="B193" s="2" t="str">
        <x:v>CUUR0000SEGB</x:v>
      </x:c>
      <x:c r="C193" s="2" t="str">
        <x:v>2025-06-30</x:v>
      </x:c>
      <x:c r="D193" s="2" t="str">
        <x:v>Two months</x:v>
      </x:c>
      <x:c r="E193" s="2" t="str">
        <x:v>2025-06-11</x:v>
      </x:c>
      <x:c r="F193" s="2" t="str">
        <x:v>2025-06-01</x:v>
      </x:c>
      <x:c r="G193" s="2" t="str">
        <x:v>Seasonal step</x:v>
      </x:c>
      <x:c r="H193" s="7" t="n">
        <x:v>180.04154120486845</x:v>
      </x:c>
      <x:c r="I193" s="7" t="n">
        <x:v>179.83</x:v>
      </x:c>
      <x:c r="J193" s="2" t="str">
        <x:v>2025-07-15</x:v>
      </x:c>
      <x:c r="K193" s="7" t="n">
        <x:f>100*(H193/I193-1)</x:f>
        <x:v>0.11763399036224254</x:v>
      </x:c>
      <x:c r="L193" s="7" t="n">
        <x:f>ABS(K193)</x:f>
        <x:v>0.11763399036224254</x:v>
      </x:c>
      <x:c r="M193" s="2" t="str">
        <x:v>Yes</x:v>
      </x:c>
    </x:row>
    <x:row r="194" ht="27" customHeight="1">
      <x:c r="A194" s="2"/>
      <x:c r="B194" s="2" t="str">
        <x:v>CUUR0000SEGB</x:v>
      </x:c>
      <x:c r="C194" s="2" t="str">
        <x:v>2025-09-30</x:v>
      </x:c>
      <x:c r="D194" s="2" t="str">
        <x:v>Origin</x:v>
      </x:c>
      <x:c r="E194" s="2" t="str">
        <x:v>2025-07-01</x:v>
      </x:c>
      <x:c r="F194" s="2" t="str">
        <x:v>2025-07-01</x:v>
      </x:c>
      <x:c r="G194" s="2" t="str">
        <x:v>YoY carry</x:v>
      </x:c>
      <x:c r="H194" s="7" t="n">
        <x:v>179.614740834921</x:v>
      </x:c>
      <x:c r="I194" s="7" t="n">
        <x:v>179.777</x:v>
      </x:c>
      <x:c r="J194" s="2" t="str">
        <x:v>2025-08-12</x:v>
      </x:c>
      <x:c r="K194" s="7" t="n">
        <x:f>100*(H194/I194-1)</x:f>
        <x:v>-0.09025579750411294</x:v>
      </x:c>
      <x:c r="L194" s="7" t="n">
        <x:f>ABS(K194)</x:f>
        <x:v>0.09025579750411294</x:v>
      </x:c>
      <x:c r="M194" s="2" t="str">
        <x:v>Yes</x:v>
      </x:c>
    </x:row>
    <x:row r="195" ht="27" customHeight="1">
      <x:c r="A195" s="2"/>
      <x:c r="B195" s="2" t="str">
        <x:v>CUUR0000SEGB</x:v>
      </x:c>
      <x:c r="C195" s="2" t="str">
        <x:v>2025-09-30</x:v>
      </x:c>
      <x:c r="D195" s="2" t="str">
        <x:v>Origin</x:v>
      </x:c>
      <x:c r="E195" s="2" t="str">
        <x:v>2025-07-01</x:v>
      </x:c>
      <x:c r="F195" s="2" t="str">
        <x:v>2025-08-01</x:v>
      </x:c>
      <x:c r="G195" s="2" t="str">
        <x:v>YoY carry</x:v>
      </x:c>
      <x:c r="H195" s="7" t="n">
        <x:v>178.98586507336609</x:v>
      </x:c>
      <x:c r="I195" s="7" t="n">
        <x:v>180.503</x:v>
      </x:c>
      <x:c r="J195" s="2" t="str">
        <x:v>2025-09-11</x:v>
      </x:c>
      <x:c r="K195" s="7" t="n">
        <x:f>100*(H195/I195-1)</x:f>
        <x:v>-0.840503995298636</x:v>
      </x:c>
      <x:c r="L195" s="7" t="n">
        <x:f>ABS(K195)</x:f>
        <x:v>0.840503995298636</x:v>
      </x:c>
      <x:c r="M195" s="2" t="str">
        <x:v>Yes</x:v>
      </x:c>
    </x:row>
    <x:row r="196" ht="27" customHeight="1">
      <x:c r="A196" s="2"/>
      <x:c r="B196" s="2" t="str">
        <x:v>CUUR0000SEGB</x:v>
      </x:c>
      <x:c r="C196" s="2" t="str">
        <x:v>2025-09-30</x:v>
      </x:c>
      <x:c r="D196" s="2" t="str">
        <x:v>Origin</x:v>
      </x:c>
      <x:c r="E196" s="2" t="str">
        <x:v>2025-07-01</x:v>
      </x:c>
      <x:c r="F196" s="2" t="str">
        <x:v>2025-09-01</x:v>
      </x:c>
      <x:c r="G196" s="2" t="str">
        <x:v>YoY carry</x:v>
      </x:c>
      <x:c r="H196" s="7" t="n">
        <x:v>179.68996520831274</x:v>
      </x:c>
      <x:c r="I196" s="7" t="n">
        <x:v>181.816</x:v>
      </x:c>
      <x:c r="J196" s="2" t="str">
        <x:v>2025-10-24</x:v>
      </x:c>
      <x:c r="K196" s="7" t="n">
        <x:f>100*(H196/I196-1)</x:f>
        <x:v>-1.169333167426001</x:v>
      </x:c>
      <x:c r="L196" s="7" t="n">
        <x:f>ABS(K196)</x:f>
        <x:v>1.169333167426001</x:v>
      </x:c>
      <x:c r="M196" s="2" t="str">
        <x:v>Yes</x:v>
      </x:c>
    </x:row>
    <x:row r="197" ht="27" customHeight="1">
      <x:c r="A197" s="2"/>
      <x:c r="B197" s="2" t="str">
        <x:v>CUUR0000SEGB</x:v>
      </x:c>
      <x:c r="C197" s="2" t="str">
        <x:v>2025-09-30</x:v>
      </x:c>
      <x:c r="D197" s="2" t="str">
        <x:v>Origin</x:v>
      </x:c>
      <x:c r="E197" s="2" t="str">
        <x:v>2025-07-01</x:v>
      </x:c>
      <x:c r="F197" s="2" t="str">
        <x:v>2025-07-01</x:v>
      </x:c>
      <x:c r="G197" s="2" t="str">
        <x:v>Flat level</x:v>
      </x:c>
      <x:c r="H197" s="7" t="n">
        <x:v>179.673</x:v>
      </x:c>
      <x:c r="I197" s="7" t="n">
        <x:v>179.777</x:v>
      </x:c>
      <x:c r="J197" s="2" t="str">
        <x:v>2025-08-12</x:v>
      </x:c>
      <x:c r="K197" s="7" t="n">
        <x:f>100*(H197/I197-1)</x:f>
        <x:v>-0.057849446814661754</x:v>
      </x:c>
      <x:c r="L197" s="7" t="n">
        <x:f>ABS(K197)</x:f>
        <x:v>0.057849446814661754</x:v>
      </x:c>
      <x:c r="M197" s="2" t="str">
        <x:v>Yes</x:v>
      </x:c>
    </x:row>
    <x:row r="198" ht="27" customHeight="1">
      <x:c r="A198" s="2"/>
      <x:c r="B198" s="2" t="str">
        <x:v>CUUR0000SEGB</x:v>
      </x:c>
      <x:c r="C198" s="2" t="str">
        <x:v>2025-09-30</x:v>
      </x:c>
      <x:c r="D198" s="2" t="str">
        <x:v>Origin</x:v>
      </x:c>
      <x:c r="E198" s="2" t="str">
        <x:v>2025-07-01</x:v>
      </x:c>
      <x:c r="F198" s="2" t="str">
        <x:v>2025-08-01</x:v>
      </x:c>
      <x:c r="G198" s="2" t="str">
        <x:v>Flat level</x:v>
      </x:c>
      <x:c r="H198" s="7" t="n">
        <x:v>179.673</x:v>
      </x:c>
      <x:c r="I198" s="7" t="n">
        <x:v>180.503</x:v>
      </x:c>
      <x:c r="J198" s="2" t="str">
        <x:v>2025-09-11</x:v>
      </x:c>
      <x:c r="K198" s="7" t="n">
        <x:f>100*(H198/I198-1)</x:f>
        <x:v>-0.4598261524739078</x:v>
      </x:c>
      <x:c r="L198" s="7" t="n">
        <x:f>ABS(K198)</x:f>
        <x:v>0.4598261524739078</x:v>
      </x:c>
      <x:c r="M198" s="2" t="str">
        <x:v>Yes</x:v>
      </x:c>
    </x:row>
    <x:row r="199" ht="27" customHeight="1">
      <x:c r="A199" s="2"/>
      <x:c r="B199" s="2" t="str">
        <x:v>CUUR0000SEGB</x:v>
      </x:c>
      <x:c r="C199" s="2" t="str">
        <x:v>2025-09-30</x:v>
      </x:c>
      <x:c r="D199" s="2" t="str">
        <x:v>Origin</x:v>
      </x:c>
      <x:c r="E199" s="2" t="str">
        <x:v>2025-07-01</x:v>
      </x:c>
      <x:c r="F199" s="2" t="str">
        <x:v>2025-09-01</x:v>
      </x:c>
      <x:c r="G199" s="2" t="str">
        <x:v>Flat level</x:v>
      </x:c>
      <x:c r="H199" s="7" t="n">
        <x:v>179.673</x:v>
      </x:c>
      <x:c r="I199" s="7" t="n">
        <x:v>181.816</x:v>
      </x:c>
      <x:c r="J199" s="2" t="str">
        <x:v>2025-10-24</x:v>
      </x:c>
      <x:c r="K199" s="7" t="n">
        <x:f>100*(H199/I199-1)</x:f>
        <x:v>-1.178664143969732</x:v>
      </x:c>
      <x:c r="L199" s="7" t="n">
        <x:f>ABS(K199)</x:f>
        <x:v>1.178664143969732</x:v>
      </x:c>
      <x:c r="M199" s="2" t="str">
        <x:v>Yes</x:v>
      </x:c>
    </x:row>
    <x:row r="200" ht="27" customHeight="1">
      <x:c r="A200" s="2"/>
      <x:c r="B200" s="2" t="str">
        <x:v>CUUR0000SEGB</x:v>
      </x:c>
      <x:c r="C200" s="2" t="str">
        <x:v>2025-09-30</x:v>
      </x:c>
      <x:c r="D200" s="2" t="str">
        <x:v>Origin</x:v>
      </x:c>
      <x:c r="E200" s="2" t="str">
        <x:v>2025-07-01</x:v>
      </x:c>
      <x:c r="F200" s="2" t="str">
        <x:v>2025-07-01</x:v>
      </x:c>
      <x:c r="G200" s="2" t="str">
        <x:v>Recent trend</x:v>
      </x:c>
      <x:c r="H200" s="7" t="n">
        <x:v>179.6</x:v>
      </x:c>
      <x:c r="I200" s="7" t="n">
        <x:v>179.777</x:v>
      </x:c>
      <x:c r="J200" s="2" t="str">
        <x:v>2025-08-12</x:v>
      </x:c>
      <x:c r="K200" s="7" t="n">
        <x:f>100*(H200/I200-1)</x:f>
        <x:v>-0.09845530852110596</x:v>
      </x:c>
      <x:c r="L200" s="7" t="n">
        <x:f>ABS(K200)</x:f>
        <x:v>0.09845530852110596</x:v>
      </x:c>
      <x:c r="M200" s="2" t="str">
        <x:v>Yes</x:v>
      </x:c>
    </x:row>
    <x:row r="201" ht="27" customHeight="1">
      <x:c r="A201" s="2"/>
      <x:c r="B201" s="2" t="str">
        <x:v>CUUR0000SEGB</x:v>
      </x:c>
      <x:c r="C201" s="2" t="str">
        <x:v>2025-09-30</x:v>
      </x:c>
      <x:c r="D201" s="2" t="str">
        <x:v>Origin</x:v>
      </x:c>
      <x:c r="E201" s="2" t="str">
        <x:v>2025-07-01</x:v>
      </x:c>
      <x:c r="F201" s="2" t="str">
        <x:v>2025-08-01</x:v>
      </x:c>
      <x:c r="G201" s="2" t="str">
        <x:v>Recent trend</x:v>
      </x:c>
      <x:c r="H201" s="7" t="n">
        <x:v>179.56349999999998</x:v>
      </x:c>
      <x:c r="I201" s="7" t="n">
        <x:v>180.503</x:v>
      </x:c>
      <x:c r="J201" s="2" t="str">
        <x:v>2025-09-11</x:v>
      </x:c>
      <x:c r="K201" s="7" t="n">
        <x:f>100*(H201/I201-1)</x:f>
        <x:v>-0.5204899641557237</x:v>
      </x:c>
      <x:c r="L201" s="7" t="n">
        <x:f>ABS(K201)</x:f>
        <x:v>0.5204899641557237</x:v>
      </x:c>
      <x:c r="M201" s="2" t="str">
        <x:v>Yes</x:v>
      </x:c>
    </x:row>
    <x:row r="202" ht="27" customHeight="1">
      <x:c r="A202" s="2"/>
      <x:c r="B202" s="2" t="str">
        <x:v>CUUR0000SEGB</x:v>
      </x:c>
      <x:c r="C202" s="2" t="str">
        <x:v>2025-09-30</x:v>
      </x:c>
      <x:c r="D202" s="2" t="str">
        <x:v>Origin</x:v>
      </x:c>
      <x:c r="E202" s="2" t="str">
        <x:v>2025-07-01</x:v>
      </x:c>
      <x:c r="F202" s="2" t="str">
        <x:v>2025-09-01</x:v>
      </x:c>
      <x:c r="G202" s="2" t="str">
        <x:v>Recent trend</x:v>
      </x:c>
      <x:c r="H202" s="7" t="n">
        <x:v>179.527</x:v>
      </x:c>
      <x:c r="I202" s="7" t="n">
        <x:v>181.816</x:v>
      </x:c>
      <x:c r="J202" s="2" t="str">
        <x:v>2025-10-24</x:v>
      </x:c>
      <x:c r="K202" s="7" t="n">
        <x:f>100*(H202/I202-1)</x:f>
        <x:v>-1.2589651075813002</x:v>
      </x:c>
      <x:c r="L202" s="7" t="n">
        <x:f>ABS(K202)</x:f>
        <x:v>1.2589651075813002</x:v>
      </x:c>
      <x:c r="M202" s="2" t="str">
        <x:v>Yes</x:v>
      </x:c>
    </x:row>
    <x:row r="203" ht="27" customHeight="1">
      <x:c r="A203" s="2"/>
      <x:c r="B203" s="2" t="str">
        <x:v>CUUR0000SEGB</x:v>
      </x:c>
      <x:c r="C203" s="2" t="str">
        <x:v>2025-09-30</x:v>
      </x:c>
      <x:c r="D203" s="2" t="str">
        <x:v>Origin</x:v>
      </x:c>
      <x:c r="E203" s="2" t="str">
        <x:v>2025-07-01</x:v>
      </x:c>
      <x:c r="F203" s="2" t="str">
        <x:v>2025-07-01</x:v>
      </x:c>
      <x:c r="G203" s="2" t="str">
        <x:v>Seasonal step</x:v>
      </x:c>
      <x:c r="H203" s="7" t="n">
        <x:v>180.8610872543687</x:v>
      </x:c>
      <x:c r="I203" s="7" t="n">
        <x:v>179.777</x:v>
      </x:c>
      <x:c r="J203" s="2" t="str">
        <x:v>2025-08-12</x:v>
      </x:c>
      <x:c r="K203" s="7" t="n">
        <x:f>100*(H203/I203-1)</x:f>
        <x:v>0.6030177688851834</x:v>
      </x:c>
      <x:c r="L203" s="7" t="n">
        <x:f>ABS(K203)</x:f>
        <x:v>0.6030177688851834</x:v>
      </x:c>
      <x:c r="M203" s="2" t="str">
        <x:v>Yes</x:v>
      </x:c>
    </x:row>
    <x:row r="204" ht="27" customHeight="1">
      <x:c r="A204" s="2"/>
      <x:c r="B204" s="2" t="str">
        <x:v>CUUR0000SEGB</x:v>
      </x:c>
      <x:c r="C204" s="2" t="str">
        <x:v>2025-09-30</x:v>
      </x:c>
      <x:c r="D204" s="2" t="str">
        <x:v>Origin</x:v>
      </x:c>
      <x:c r="E204" s="2" t="str">
        <x:v>2025-07-01</x:v>
      </x:c>
      <x:c r="F204" s="2" t="str">
        <x:v>2025-08-01</x:v>
      </x:c>
      <x:c r="G204" s="2" t="str">
        <x:v>Seasonal step</x:v>
      </x:c>
      <x:c r="H204" s="7" t="n">
        <x:v>181.35892330182907</x:v>
      </x:c>
      <x:c r="I204" s="7" t="n">
        <x:v>180.503</x:v>
      </x:c>
      <x:c r="J204" s="2" t="str">
        <x:v>2025-09-11</x:v>
      </x:c>
      <x:c r="K204" s="7" t="n">
        <x:f>100*(H204/I204-1)</x:f>
        <x:v>0.47418785384678586</x:v>
      </x:c>
      <x:c r="L204" s="7" t="n">
        <x:f>ABS(K204)</x:f>
        <x:v>0.47418785384678586</x:v>
      </x:c>
      <x:c r="M204" s="2" t="str">
        <x:v>Yes</x:v>
      </x:c>
    </x:row>
    <x:row r="205" ht="27" customHeight="1">
      <x:c r="A205" s="2"/>
      <x:c r="B205" s="2" t="str">
        <x:v>CUUR0000SEGB</x:v>
      </x:c>
      <x:c r="C205" s="2" t="str">
        <x:v>2025-09-30</x:v>
      </x:c>
      <x:c r="D205" s="2" t="str">
        <x:v>Origin</x:v>
      </x:c>
      <x:c r="E205" s="2" t="str">
        <x:v>2025-07-01</x:v>
      </x:c>
      <x:c r="F205" s="2" t="str">
        <x:v>2025-09-01</x:v>
      </x:c>
      <x:c r="G205" s="2" t="str">
        <x:v>Seasonal step</x:v>
      </x:c>
      <x:c r="H205" s="7" t="n">
        <x:v>182.07235864667183</x:v>
      </x:c>
      <x:c r="I205" s="7" t="n">
        <x:v>181.816</x:v>
      </x:c>
      <x:c r="J205" s="2" t="str">
        <x:v>2025-10-24</x:v>
      </x:c>
      <x:c r="K205" s="7" t="n">
        <x:f>100*(H205/I205-1)</x:f>
        <x:v>0.14099894765686738</x:v>
      </x:c>
      <x:c r="L205" s="7" t="n">
        <x:f>ABS(K205)</x:f>
        <x:v>0.14099894765686738</x:v>
      </x:c>
      <x:c r="M205" s="2" t="str">
        <x:v>Yes</x:v>
      </x:c>
    </x:row>
    <x:row r="206" ht="27" customHeight="1">
      <x:c r="A206" s="2"/>
      <x:c r="B206" s="2" t="str">
        <x:v>CUUR0000SEGB</x:v>
      </x:c>
      <x:c r="C206" s="2" t="str">
        <x:v>2025-09-30</x:v>
      </x:c>
      <x:c r="D206" s="2" t="str">
        <x:v>One month</x:v>
      </x:c>
      <x:c r="E206" s="2" t="str">
        <x:v>2025-08-12</x:v>
      </x:c>
      <x:c r="F206" s="2" t="str">
        <x:v>2025-08-01</x:v>
      </x:c>
      <x:c r="G206" s="2" t="str">
        <x:v>YoY carry</x:v>
      </x:c>
      <x:c r="H206" s="7" t="n">
        <x:v>179.3464321792074</x:v>
      </x:c>
      <x:c r="I206" s="7" t="n">
        <x:v>180.503</x:v>
      </x:c>
      <x:c r="J206" s="2" t="str">
        <x:v>2025-09-11</x:v>
      </x:c>
      <x:c r="K206" s="7" t="n">
        <x:f>100*(H206/I206-1)</x:f>
        <x:v>-0.6407471459159098</x:v>
      </x:c>
      <x:c r="L206" s="7" t="n">
        <x:f>ABS(K206)</x:f>
        <x:v>0.6407471459159098</x:v>
      </x:c>
      <x:c r="M206" s="2" t="str">
        <x:v>Yes</x:v>
      </x:c>
    </x:row>
    <x:row r="207" ht="27" customHeight="1">
      <x:c r="A207" s="2"/>
      <x:c r="B207" s="2" t="str">
        <x:v>CUUR0000SEGB</x:v>
      </x:c>
      <x:c r="C207" s="2" t="str">
        <x:v>2025-09-30</x:v>
      </x:c>
      <x:c r="D207" s="2" t="str">
        <x:v>One month</x:v>
      </x:c>
      <x:c r="E207" s="2" t="str">
        <x:v>2025-08-12</x:v>
      </x:c>
      <x:c r="F207" s="2" t="str">
        <x:v>2025-09-01</x:v>
      </x:c>
      <x:c r="G207" s="2" t="str">
        <x:v>YoY carry</x:v>
      </x:c>
      <x:c r="H207" s="7" t="n">
        <x:v>180.05195072419318</x:v>
      </x:c>
      <x:c r="I207" s="7" t="n">
        <x:v>181.816</x:v>
      </x:c>
      <x:c r="J207" s="2" t="str">
        <x:v>2025-10-24</x:v>
      </x:c>
      <x:c r="K207" s="7" t="n">
        <x:f>100*(H207/I207-1)</x:f>
        <x:v>-0.9702387445586935</x:v>
      </x:c>
      <x:c r="L207" s="7" t="n">
        <x:f>ABS(K207)</x:f>
        <x:v>0.9702387445586935</x:v>
      </x:c>
      <x:c r="M207" s="2" t="str">
        <x:v>Yes</x:v>
      </x:c>
    </x:row>
    <x:row r="208" ht="27" customHeight="1">
      <x:c r="A208" s="2"/>
      <x:c r="B208" s="2" t="str">
        <x:v>CUUR0000SEGB</x:v>
      </x:c>
      <x:c r="C208" s="2" t="str">
        <x:v>2025-09-30</x:v>
      </x:c>
      <x:c r="D208" s="2" t="str">
        <x:v>One month</x:v>
      </x:c>
      <x:c r="E208" s="2" t="str">
        <x:v>2025-08-12</x:v>
      </x:c>
      <x:c r="F208" s="2" t="str">
        <x:v>2025-08-01</x:v>
      </x:c>
      <x:c r="G208" s="2" t="str">
        <x:v>Flat level</x:v>
      </x:c>
      <x:c r="H208" s="7" t="n">
        <x:v>179.777</x:v>
      </x:c>
      <x:c r="I208" s="7" t="n">
        <x:v>180.503</x:v>
      </x:c>
      <x:c r="J208" s="2" t="str">
        <x:v>2025-09-11</x:v>
      </x:c>
      <x:c r="K208" s="7" t="n">
        <x:f>100*(H208/I208-1)</x:f>
        <x:v>-0.40220938156152464</x:v>
      </x:c>
      <x:c r="L208" s="7" t="n">
        <x:f>ABS(K208)</x:f>
        <x:v>0.40220938156152464</x:v>
      </x:c>
      <x:c r="M208" s="2" t="str">
        <x:v>Yes</x:v>
      </x:c>
    </x:row>
    <x:row r="209" ht="27" customHeight="1">
      <x:c r="A209" s="2"/>
      <x:c r="B209" s="2" t="str">
        <x:v>CUUR0000SEGB</x:v>
      </x:c>
      <x:c r="C209" s="2" t="str">
        <x:v>2025-09-30</x:v>
      </x:c>
      <x:c r="D209" s="2" t="str">
        <x:v>One month</x:v>
      </x:c>
      <x:c r="E209" s="2" t="str">
        <x:v>2025-08-12</x:v>
      </x:c>
      <x:c r="F209" s="2" t="str">
        <x:v>2025-09-01</x:v>
      </x:c>
      <x:c r="G209" s="2" t="str">
        <x:v>Flat level</x:v>
      </x:c>
      <x:c r="H209" s="7" t="n">
        <x:v>179.777</x:v>
      </x:c>
      <x:c r="I209" s="7" t="n">
        <x:v>181.816</x:v>
      </x:c>
      <x:c r="J209" s="2" t="str">
        <x:v>2025-10-24</x:v>
      </x:c>
      <x:c r="K209" s="7" t="n">
        <x:f>100*(H209/I209-1)</x:f>
        <x:v>-1.1214634575615001</x:v>
      </x:c>
      <x:c r="L209" s="7" t="n">
        <x:f>ABS(K209)</x:f>
        <x:v>1.1214634575615001</x:v>
      </x:c>
      <x:c r="M209" s="2" t="str">
        <x:v>Yes</x:v>
      </x:c>
    </x:row>
    <x:row r="210" ht="27" customHeight="1">
      <x:c r="A210" s="2"/>
      <x:c r="B210" s="2" t="str">
        <x:v>CUUR0000SEGB</x:v>
      </x:c>
      <x:c r="C210" s="2" t="str">
        <x:v>2025-09-30</x:v>
      </x:c>
      <x:c r="D210" s="2" t="str">
        <x:v>One month</x:v>
      </x:c>
      <x:c r="E210" s="2" t="str">
        <x:v>2025-08-12</x:v>
      </x:c>
      <x:c r="F210" s="2" t="str">
        <x:v>2025-08-01</x:v>
      </x:c>
      <x:c r="G210" s="2" t="str">
        <x:v>Recent trend</x:v>
      </x:c>
      <x:c r="H210" s="7" t="n">
        <x:v>179.82899999999998</x:v>
      </x:c>
      <x:c r="I210" s="7" t="n">
        <x:v>180.503</x:v>
      </x:c>
      <x:c r="J210" s="2" t="str">
        <x:v>2025-09-11</x:v>
      </x:c>
      <x:c r="K210" s="7" t="n">
        <x:f>100*(H210/I210-1)</x:f>
        <x:v>-0.37340099610533306</x:v>
      </x:c>
      <x:c r="L210" s="7" t="n">
        <x:f>ABS(K210)</x:f>
        <x:v>0.37340099610533306</x:v>
      </x:c>
      <x:c r="M210" s="2" t="str">
        <x:v>Yes</x:v>
      </x:c>
    </x:row>
    <x:row r="211" ht="27" customHeight="1">
      <x:c r="A211" s="2"/>
      <x:c r="B211" s="2" t="str">
        <x:v>CUUR0000SEGB</x:v>
      </x:c>
      <x:c r="C211" s="2" t="str">
        <x:v>2025-09-30</x:v>
      </x:c>
      <x:c r="D211" s="2" t="str">
        <x:v>One month</x:v>
      </x:c>
      <x:c r="E211" s="2" t="str">
        <x:v>2025-08-12</x:v>
      </x:c>
      <x:c r="F211" s="2" t="str">
        <x:v>2025-09-01</x:v>
      </x:c>
      <x:c r="G211" s="2" t="str">
        <x:v>Recent trend</x:v>
      </x:c>
      <x:c r="H211" s="7" t="n">
        <x:v>179.88099999999997</x:v>
      </x:c>
      <x:c r="I211" s="7" t="n">
        <x:v>181.816</x:v>
      </x:c>
      <x:c r="J211" s="2" t="str">
        <x:v>2025-10-24</x:v>
      </x:c>
      <x:c r="K211" s="7" t="n">
        <x:f>100*(H211/I211-1)</x:f>
        <x:v>-1.0642627711532682</x:v>
      </x:c>
      <x:c r="L211" s="7" t="n">
        <x:f>ABS(K211)</x:f>
        <x:v>1.0642627711532682</x:v>
      </x:c>
      <x:c r="M211" s="2" t="str">
        <x:v>Yes</x:v>
      </x:c>
    </x:row>
    <x:row r="212" ht="27" customHeight="1">
      <x:c r="A212" s="2"/>
      <x:c r="B212" s="2" t="str">
        <x:v>CUUR0000SEGB</x:v>
      </x:c>
      <x:c r="C212" s="2" t="str">
        <x:v>2025-09-30</x:v>
      </x:c>
      <x:c r="D212" s="2" t="str">
        <x:v>One month</x:v>
      </x:c>
      <x:c r="E212" s="2" t="str">
        <x:v>2025-08-12</x:v>
      </x:c>
      <x:c r="F212" s="2" t="str">
        <x:v>2025-08-01</x:v>
      </x:c>
      <x:c r="G212" s="2" t="str">
        <x:v>Seasonal step</x:v>
      </x:c>
      <x:c r="H212" s="7" t="n">
        <x:v>180.27185200195885</x:v>
      </x:c>
      <x:c r="I212" s="7" t="n">
        <x:v>180.503</x:v>
      </x:c>
      <x:c r="J212" s="2" t="str">
        <x:v>2025-09-11</x:v>
      </x:c>
      <x:c r="K212" s="7" t="n">
        <x:f>100*(H212/I212-1)</x:f>
        <x:v>-0.12805770432687824</x:v>
      </x:c>
      <x:c r="L212" s="7" t="n">
        <x:f>ABS(K212)</x:f>
        <x:v>0.12805770432687824</x:v>
      </x:c>
      <x:c r="M212" s="2" t="str">
        <x:v>Yes</x:v>
      </x:c>
    </x:row>
    <x:row r="213" ht="27" customHeight="1">
      <x:c r="A213" s="2"/>
      <x:c r="B213" s="2" t="str">
        <x:v>CUUR0000SEGB</x:v>
      </x:c>
      <x:c r="C213" s="2" t="str">
        <x:v>2025-09-30</x:v>
      </x:c>
      <x:c r="D213" s="2" t="str">
        <x:v>One month</x:v>
      </x:c>
      <x:c r="E213" s="2" t="str">
        <x:v>2025-08-12</x:v>
      </x:c>
      <x:c r="F213" s="2" t="str">
        <x:v>2025-09-01</x:v>
      </x:c>
      <x:c r="G213" s="2" t="str">
        <x:v>Seasonal step</x:v>
      </x:c>
      <x:c r="H213" s="7" t="n">
        <x:v>180.98101099208154</x:v>
      </x:c>
      <x:c r="I213" s="7" t="n">
        <x:v>181.816</x:v>
      </x:c>
      <x:c r="J213" s="2" t="str">
        <x:v>2025-10-24</x:v>
      </x:c>
      <x:c r="K213" s="7" t="n">
        <x:f>100*(H213/I213-1)</x:f>
        <x:v>-0.45924946534874334</x:v>
      </x:c>
      <x:c r="L213" s="7" t="n">
        <x:f>ABS(K213)</x:f>
        <x:v>0.45924946534874334</x:v>
      </x:c>
      <x:c r="M213" s="2" t="str">
        <x:v>Yes</x:v>
      </x:c>
    </x:row>
    <x:row r="214" ht="27" customHeight="1">
      <x:c r="A214" s="2"/>
      <x:c r="B214" s="2" t="str">
        <x:v>CUUR0000SEGB</x:v>
      </x:c>
      <x:c r="C214" s="2" t="str">
        <x:v>2025-09-30</x:v>
      </x:c>
      <x:c r="D214" s="2" t="str">
        <x:v>Two months</x:v>
      </x:c>
      <x:c r="E214" s="2" t="str">
        <x:v>2025-09-11</x:v>
      </x:c>
      <x:c r="F214" s="2" t="str">
        <x:v>2025-09-01</x:v>
      </x:c>
      <x:c r="G214" s="2" t="str">
        <x:v>YoY carry</x:v>
      </x:c>
      <x:c r="H214" s="7" t="n">
        <x:v>180.45679771074015</x:v>
      </x:c>
      <x:c r="I214" s="7" t="n">
        <x:v>181.816</x:v>
      </x:c>
      <x:c r="J214" s="2" t="str">
        <x:v>2025-10-24</x:v>
      </x:c>
      <x:c r="K214" s="7" t="n">
        <x:f>100*(H214/I214-1)</x:f>
        <x:v>-0.747570229935679</x:v>
      </x:c>
      <x:c r="L214" s="7" t="n">
        <x:f>ABS(K214)</x:f>
        <x:v>0.747570229935679</x:v>
      </x:c>
      <x:c r="M214" s="2" t="str">
        <x:v>Yes</x:v>
      </x:c>
    </x:row>
    <x:row r="215" ht="27" customHeight="1">
      <x:c r="A215" s="2"/>
      <x:c r="B215" s="2" t="str">
        <x:v>CUUR0000SEGB</x:v>
      </x:c>
      <x:c r="C215" s="2" t="str">
        <x:v>2025-09-30</x:v>
      </x:c>
      <x:c r="D215" s="2" t="str">
        <x:v>Two months</x:v>
      </x:c>
      <x:c r="E215" s="2" t="str">
        <x:v>2025-09-11</x:v>
      </x:c>
      <x:c r="F215" s="2" t="str">
        <x:v>2025-09-01</x:v>
      </x:c>
      <x:c r="G215" s="2" t="str">
        <x:v>Flat level</x:v>
      </x:c>
      <x:c r="H215" s="7" t="n">
        <x:v>180.503</x:v>
      </x:c>
      <x:c r="I215" s="7" t="n">
        <x:v>181.816</x:v>
      </x:c>
      <x:c r="J215" s="2" t="str">
        <x:v>2025-10-24</x:v>
      </x:c>
      <x:c r="K215" s="7" t="n">
        <x:f>100*(H215/I215-1)</x:f>
        <x:v>-0.7221586659040047</x:v>
      </x:c>
      <x:c r="L215" s="7" t="n">
        <x:f>ABS(K215)</x:f>
        <x:v>0.7221586659040047</x:v>
      </x:c>
      <x:c r="M215" s="2" t="str">
        <x:v>Yes</x:v>
      </x:c>
    </x:row>
    <x:row r="216" ht="27" customHeight="1">
      <x:c r="A216" s="2"/>
      <x:c r="B216" s="2" t="str">
        <x:v>CUUR0000SEGB</x:v>
      </x:c>
      <x:c r="C216" s="2" t="str">
        <x:v>2025-09-30</x:v>
      </x:c>
      <x:c r="D216" s="2" t="str">
        <x:v>Two months</x:v>
      </x:c>
      <x:c r="E216" s="2" t="str">
        <x:v>2025-09-11</x:v>
      </x:c>
      <x:c r="F216" s="2" t="str">
        <x:v>2025-09-01</x:v>
      </x:c>
      <x:c r="G216" s="2" t="str">
        <x:v>Recent trend</x:v>
      </x:c>
      <x:c r="H216" s="7" t="n">
        <x:v>180.8395</x:v>
      </x:c>
      <x:c r="I216" s="7" t="n">
        <x:v>181.816</x:v>
      </x:c>
      <x:c r="J216" s="2" t="str">
        <x:v>2025-10-24</x:v>
      </x:c>
      <x:c r="K216" s="7" t="n">
        <x:f>100*(H216/I216-1)</x:f>
        <x:v>-0.5370814449773498</x:v>
      </x:c>
      <x:c r="L216" s="7" t="n">
        <x:f>ABS(K216)</x:f>
        <x:v>0.5370814449773498</x:v>
      </x:c>
      <x:c r="M216" s="2" t="str">
        <x:v>Yes</x:v>
      </x:c>
    </x:row>
    <x:row r="217" ht="27" customHeight="1">
      <x:c r="A217" s="2"/>
      <x:c r="B217" s="2" t="str">
        <x:v>CUUR0000SEGB</x:v>
      </x:c>
      <x:c r="C217" s="2" t="str">
        <x:v>2025-09-30</x:v>
      </x:c>
      <x:c r="D217" s="2" t="str">
        <x:v>Two months</x:v>
      </x:c>
      <x:c r="E217" s="2" t="str">
        <x:v>2025-09-11</x:v>
      </x:c>
      <x:c r="F217" s="2" t="str">
        <x:v>2025-09-01</x:v>
      </x:c>
      <x:c r="G217" s="2" t="str">
        <x:v>Seasonal step</x:v>
      </x:c>
      <x:c r="H217" s="7" t="n">
        <x:v>181.21306828727052</x:v>
      </x:c>
      <x:c r="I217" s="7" t="n">
        <x:v>181.816</x:v>
      </x:c>
      <x:c r="J217" s="2" t="str">
        <x:v>2025-10-24</x:v>
      </x:c>
      <x:c r="K217" s="7" t="n">
        <x:f>100*(H217/I217-1)</x:f>
        <x:v>-0.3316164213982731</x:v>
      </x:c>
      <x:c r="L217" s="7" t="n">
        <x:f>ABS(K217)</x:f>
        <x:v>0.3316164213982731</x:v>
      </x:c>
      <x:c r="M217" s="2" t="str">
        <x:v>Yes</x:v>
      </x:c>
    </x:row>
    <x:row r="218" ht="27" customHeight="1">
      <x:c r="A218" s="2"/>
      <x:c r="B218" s="2" t="str">
        <x:v>CUUR0000SEGB</x:v>
      </x:c>
      <x:c r="C218" s="2" t="str">
        <x:v>2025-09-30</x:v>
      </x:c>
      <x:c r="D218" s="2" t="str">
        <x:v>Pre-earnings</x:v>
      </x:c>
      <x:c r="E218" s="2" t="str">
        <x:v>2025-10-23</x:v>
      </x:c>
      <x:c r="F218" s="2" t="str">
        <x:v>2025-09-01</x:v>
      </x:c>
      <x:c r="G218" s="2" t="str">
        <x:v>YoY carry</x:v>
      </x:c>
      <x:c r="H218" s="7" t="n">
        <x:v>180.45679771074015</x:v>
      </x:c>
      <x:c r="I218" s="7" t="n">
        <x:v>181.816</x:v>
      </x:c>
      <x:c r="J218" s="2" t="str">
        <x:v>2025-10-24</x:v>
      </x:c>
      <x:c r="K218" s="7" t="n">
        <x:f>100*(H218/I218-1)</x:f>
        <x:v>-0.747570229935679</x:v>
      </x:c>
      <x:c r="L218" s="7" t="n">
        <x:f>ABS(K218)</x:f>
        <x:v>0.747570229935679</x:v>
      </x:c>
      <x:c r="M218" s="2" t="str">
        <x:v>Yes</x:v>
      </x:c>
    </x:row>
    <x:row r="219" ht="27" customHeight="1">
      <x:c r="A219" s="2"/>
      <x:c r="B219" s="2" t="str">
        <x:v>CUUR0000SEGB</x:v>
      </x:c>
      <x:c r="C219" s="2" t="str">
        <x:v>2025-09-30</x:v>
      </x:c>
      <x:c r="D219" s="2" t="str">
        <x:v>Pre-earnings</x:v>
      </x:c>
      <x:c r="E219" s="2" t="str">
        <x:v>2025-10-23</x:v>
      </x:c>
      <x:c r="F219" s="2" t="str">
        <x:v>2025-09-01</x:v>
      </x:c>
      <x:c r="G219" s="2" t="str">
        <x:v>Flat level</x:v>
      </x:c>
      <x:c r="H219" s="7" t="n">
        <x:v>180.503</x:v>
      </x:c>
      <x:c r="I219" s="7" t="n">
        <x:v>181.816</x:v>
      </x:c>
      <x:c r="J219" s="2" t="str">
        <x:v>2025-10-24</x:v>
      </x:c>
      <x:c r="K219" s="7" t="n">
        <x:f>100*(H219/I219-1)</x:f>
        <x:v>-0.7221586659040047</x:v>
      </x:c>
      <x:c r="L219" s="7" t="n">
        <x:f>ABS(K219)</x:f>
        <x:v>0.7221586659040047</x:v>
      </x:c>
      <x:c r="M219" s="2" t="str">
        <x:v>Yes</x:v>
      </x:c>
    </x:row>
    <x:row r="220" ht="27" customHeight="1">
      <x:c r="A220" s="2"/>
      <x:c r="B220" s="2" t="str">
        <x:v>CUUR0000SEGB</x:v>
      </x:c>
      <x:c r="C220" s="2" t="str">
        <x:v>2025-09-30</x:v>
      </x:c>
      <x:c r="D220" s="2" t="str">
        <x:v>Pre-earnings</x:v>
      </x:c>
      <x:c r="E220" s="2" t="str">
        <x:v>2025-10-23</x:v>
      </x:c>
      <x:c r="F220" s="2" t="str">
        <x:v>2025-09-01</x:v>
      </x:c>
      <x:c r="G220" s="2" t="str">
        <x:v>Recent trend</x:v>
      </x:c>
      <x:c r="H220" s="7" t="n">
        <x:v>180.8395</x:v>
      </x:c>
      <x:c r="I220" s="7" t="n">
        <x:v>181.816</x:v>
      </x:c>
      <x:c r="J220" s="2" t="str">
        <x:v>2025-10-24</x:v>
      </x:c>
      <x:c r="K220" s="7" t="n">
        <x:f>100*(H220/I220-1)</x:f>
        <x:v>-0.5370814449773498</x:v>
      </x:c>
      <x:c r="L220" s="7" t="n">
        <x:f>ABS(K220)</x:f>
        <x:v>0.5370814449773498</x:v>
      </x:c>
      <x:c r="M220" s="2" t="str">
        <x:v>Yes</x:v>
      </x:c>
    </x:row>
    <x:row r="221" ht="27" customHeight="1">
      <x:c r="A221" s="2"/>
      <x:c r="B221" s="2" t="str">
        <x:v>CUUR0000SEGB</x:v>
      </x:c>
      <x:c r="C221" s="2" t="str">
        <x:v>2025-09-30</x:v>
      </x:c>
      <x:c r="D221" s="2" t="str">
        <x:v>Pre-earnings</x:v>
      </x:c>
      <x:c r="E221" s="2" t="str">
        <x:v>2025-10-23</x:v>
      </x:c>
      <x:c r="F221" s="2" t="str">
        <x:v>2025-09-01</x:v>
      </x:c>
      <x:c r="G221" s="2" t="str">
        <x:v>Seasonal step</x:v>
      </x:c>
      <x:c r="H221" s="7" t="n">
        <x:v>181.21306828727052</x:v>
      </x:c>
      <x:c r="I221" s="7" t="n">
        <x:v>181.816</x:v>
      </x:c>
      <x:c r="J221" s="2" t="str">
        <x:v>2025-10-24</x:v>
      </x:c>
      <x:c r="K221" s="7" t="n">
        <x:f>100*(H221/I221-1)</x:f>
        <x:v>-0.3316164213982731</x:v>
      </x:c>
      <x:c r="L221" s="7" t="n">
        <x:f>ABS(K221)</x:f>
        <x:v>0.3316164213982731</x:v>
      </x:c>
      <x:c r="M221" s="2" t="str">
        <x:v>Yes</x:v>
      </x:c>
    </x:row>
    <x:row r="222" ht="27" customHeight="1">
      <x:c r="A222" s="2"/>
      <x:c r="B222" s="2" t="str">
        <x:v>CUUR0000SEGB</x:v>
      </x:c>
      <x:c r="C222" s="2" t="str">
        <x:v>2025-12-31</x:v>
      </x:c>
      <x:c r="D222" s="2" t="str">
        <x:v>Origin</x:v>
      </x:c>
      <x:c r="E222" s="2" t="str">
        <x:v>2025-10-01</x:v>
      </x:c>
      <x:c r="F222" s="2" t="str">
        <x:v>2025-10-01</x:v>
      </x:c>
      <x:c r="G222" s="2" t="str">
        <x:v>YoY carry</x:v>
      </x:c>
      <x:c r="H222" s="7" t="n">
        <x:v>180.94028824347262</x:v>
      </x:c>
      <x:c r="I222" s="7"/>
      <x:c r="J222" s="2"/>
      <x:c r="K222" s="7"/>
      <x:c r="L222" s="7"/>
      <x:c r="M222" s="2" t="str">
        <x:v>Yes</x:v>
      </x:c>
    </x:row>
    <x:row r="223" ht="27" customHeight="1">
      <x:c r="A223" s="2"/>
      <x:c r="B223" s="2" t="str">
        <x:v>CUUR0000SEGB</x:v>
      </x:c>
      <x:c r="C223" s="2" t="str">
        <x:v>2025-12-31</x:v>
      </x:c>
      <x:c r="D223" s="2" t="str">
        <x:v>Origin</x:v>
      </x:c>
      <x:c r="E223" s="2" t="str">
        <x:v>2025-10-01</x:v>
      </x:c>
      <x:c r="F223" s="2" t="str">
        <x:v>2025-11-01</x:v>
      </x:c>
      <x:c r="G223" s="2" t="str">
        <x:v>YoY carry</x:v>
      </x:c>
      <x:c r="H223" s="7" t="n">
        <x:v>180.74890657426602</x:v>
      </x:c>
      <x:c r="I223" s="7" t="n">
        <x:v>180.752</x:v>
      </x:c>
      <x:c r="J223" s="2" t="str">
        <x:v>2025-12-18</x:v>
      </x:c>
      <x:c r="K223" s="7" t="n">
        <x:f>100*(H223/I223-1)</x:f>
        <x:v>-0.00171141992010293</x:v>
      </x:c>
      <x:c r="L223" s="7" t="n">
        <x:f>ABS(K223)</x:f>
        <x:v>0.00171141992010293</x:v>
      </x:c>
      <x:c r="M223" s="2" t="str">
        <x:v>Yes</x:v>
      </x:c>
    </x:row>
    <x:row r="224" ht="27" customHeight="1">
      <x:c r="A224" s="2"/>
      <x:c r="B224" s="2" t="str">
        <x:v>CUUR0000SEGB</x:v>
      </x:c>
      <x:c r="C224" s="2" t="str">
        <x:v>2025-12-31</x:v>
      </x:c>
      <x:c r="D224" s="2" t="str">
        <x:v>Origin</x:v>
      </x:c>
      <x:c r="E224" s="2" t="str">
        <x:v>2025-10-01</x:v>
      </x:c>
      <x:c r="F224" s="2" t="str">
        <x:v>2025-12-01</x:v>
      </x:c>
      <x:c r="G224" s="2" t="str">
        <x:v>YoY carry</x:v>
      </x:c>
      <x:c r="H224" s="7" t="n">
        <x:v>178.82703170665442</x:v>
      </x:c>
      <x:c r="I224" s="7" t="n">
        <x:v>180.246</x:v>
      </x:c>
      <x:c r="J224" s="2" t="str">
        <x:v>2026-01-13</x:v>
      </x:c>
      <x:c r="K224" s="7" t="n">
        <x:f>100*(H224/I224-1)</x:f>
        <x:v>-0.7872398240990619</x:v>
      </x:c>
      <x:c r="L224" s="7" t="n">
        <x:f>ABS(K224)</x:f>
        <x:v>0.7872398240990619</x:v>
      </x:c>
      <x:c r="M224" s="2" t="str">
        <x:v>Yes</x:v>
      </x:c>
    </x:row>
    <x:row r="225" ht="27" customHeight="1">
      <x:c r="A225" s="2"/>
      <x:c r="B225" s="2" t="str">
        <x:v>CUUR0000SEGB</x:v>
      </x:c>
      <x:c r="C225" s="2" t="str">
        <x:v>2025-12-31</x:v>
      </x:c>
      <x:c r="D225" s="2" t="str">
        <x:v>Origin</x:v>
      </x:c>
      <x:c r="E225" s="2" t="str">
        <x:v>2025-10-01</x:v>
      </x:c>
      <x:c r="F225" s="2" t="str">
        <x:v>2025-10-01</x:v>
      </x:c>
      <x:c r="G225" s="2" t="str">
        <x:v>Flat level</x:v>
      </x:c>
      <x:c r="H225" s="7" t="n">
        <x:v>180.503</x:v>
      </x:c>
      <x:c r="I225" s="7"/>
      <x:c r="J225" s="2"/>
      <x:c r="K225" s="7"/>
      <x:c r="L225" s="7"/>
      <x:c r="M225" s="2" t="str">
        <x:v>Yes</x:v>
      </x:c>
    </x:row>
    <x:row r="226" ht="27" customHeight="1">
      <x:c r="A226" s="2"/>
      <x:c r="B226" s="2" t="str">
        <x:v>CUUR0000SEGB</x:v>
      </x:c>
      <x:c r="C226" s="2" t="str">
        <x:v>2025-12-31</x:v>
      </x:c>
      <x:c r="D226" s="2" t="str">
        <x:v>Origin</x:v>
      </x:c>
      <x:c r="E226" s="2" t="str">
        <x:v>2025-10-01</x:v>
      </x:c>
      <x:c r="F226" s="2" t="str">
        <x:v>2025-11-01</x:v>
      </x:c>
      <x:c r="G226" s="2" t="str">
        <x:v>Flat level</x:v>
      </x:c>
      <x:c r="H226" s="7" t="n">
        <x:v>180.503</x:v>
      </x:c>
      <x:c r="I226" s="7" t="n">
        <x:v>180.752</x:v>
      </x:c>
      <x:c r="J226" s="2" t="str">
        <x:v>2025-12-18</x:v>
      </x:c>
      <x:c r="K226" s="7" t="n">
        <x:f>100*(H226/I226-1)</x:f>
        <x:v>-0.1377578118084588</x:v>
      </x:c>
      <x:c r="L226" s="7" t="n">
        <x:f>ABS(K226)</x:f>
        <x:v>0.1377578118084588</x:v>
      </x:c>
      <x:c r="M226" s="2" t="str">
        <x:v>Yes</x:v>
      </x:c>
    </x:row>
    <x:row r="227" ht="27" customHeight="1">
      <x:c r="A227" s="2"/>
      <x:c r="B227" s="2" t="str">
        <x:v>CUUR0000SEGB</x:v>
      </x:c>
      <x:c r="C227" s="2" t="str">
        <x:v>2025-12-31</x:v>
      </x:c>
      <x:c r="D227" s="2" t="str">
        <x:v>Origin</x:v>
      </x:c>
      <x:c r="E227" s="2" t="str">
        <x:v>2025-10-01</x:v>
      </x:c>
      <x:c r="F227" s="2" t="str">
        <x:v>2025-12-01</x:v>
      </x:c>
      <x:c r="G227" s="2" t="str">
        <x:v>Flat level</x:v>
      </x:c>
      <x:c r="H227" s="7" t="n">
        <x:v>180.503</x:v>
      </x:c>
      <x:c r="I227" s="7" t="n">
        <x:v>180.246</x:v>
      </x:c>
      <x:c r="J227" s="2" t="str">
        <x:v>2026-01-13</x:v>
      </x:c>
      <x:c r="K227" s="7" t="n">
        <x:f>100*(H227/I227-1)</x:f>
        <x:v>0.1425829144613422</x:v>
      </x:c>
      <x:c r="L227" s="7" t="n">
        <x:f>ABS(K227)</x:f>
        <x:v>0.1425829144613422</x:v>
      </x:c>
      <x:c r="M227" s="2" t="str">
        <x:v>Yes</x:v>
      </x:c>
    </x:row>
    <x:row r="228" ht="27" customHeight="1">
      <x:c r="A228" s="2"/>
      <x:c r="B228" s="2" t="str">
        <x:v>CUUR0000SEGB</x:v>
      </x:c>
      <x:c r="C228" s="2" t="str">
        <x:v>2025-12-31</x:v>
      </x:c>
      <x:c r="D228" s="2" t="str">
        <x:v>Origin</x:v>
      </x:c>
      <x:c r="E228" s="2" t="str">
        <x:v>2025-10-01</x:v>
      </x:c>
      <x:c r="F228" s="2" t="str">
        <x:v>2025-10-01</x:v>
      </x:c>
      <x:c r="G228" s="2" t="str">
        <x:v>Recent trend</x:v>
      </x:c>
      <x:c r="H228" s="7" t="n">
        <x:v>181.17599999999996</x:v>
      </x:c>
      <x:c r="I228" s="7"/>
      <x:c r="J228" s="2"/>
      <x:c r="K228" s="7"/>
      <x:c r="L228" s="7"/>
      <x:c r="M228" s="2" t="str">
        <x:v>Yes</x:v>
      </x:c>
    </x:row>
    <x:row r="229" ht="27" customHeight="1">
      <x:c r="A229" s="2"/>
      <x:c r="B229" s="2" t="str">
        <x:v>CUUR0000SEGB</x:v>
      </x:c>
      <x:c r="C229" s="2" t="str">
        <x:v>2025-12-31</x:v>
      </x:c>
      <x:c r="D229" s="2" t="str">
        <x:v>Origin</x:v>
      </x:c>
      <x:c r="E229" s="2" t="str">
        <x:v>2025-10-01</x:v>
      </x:c>
      <x:c r="F229" s="2" t="str">
        <x:v>2025-11-01</x:v>
      </x:c>
      <x:c r="G229" s="2" t="str">
        <x:v>Recent trend</x:v>
      </x:c>
      <x:c r="H229" s="7" t="n">
        <x:v>181.51249999999993</x:v>
      </x:c>
      <x:c r="I229" s="7" t="n">
        <x:v>180.752</x:v>
      </x:c>
      <x:c r="J229" s="2" t="str">
        <x:v>2025-12-18</x:v>
      </x:c>
      <x:c r="K229" s="7" t="n">
        <x:f>100*(H229/I229-1)</x:f>
        <x:v>0.4207422324510546</x:v>
      </x:c>
      <x:c r="L229" s="7" t="n">
        <x:f>ABS(K229)</x:f>
        <x:v>0.4207422324510546</x:v>
      </x:c>
      <x:c r="M229" s="2" t="str">
        <x:v>Yes</x:v>
      </x:c>
    </x:row>
    <x:row r="230" ht="27" customHeight="1">
      <x:c r="A230" s="2"/>
      <x:c r="B230" s="2" t="str">
        <x:v>CUUR0000SEGB</x:v>
      </x:c>
      <x:c r="C230" s="2" t="str">
        <x:v>2025-12-31</x:v>
      </x:c>
      <x:c r="D230" s="2" t="str">
        <x:v>Origin</x:v>
      </x:c>
      <x:c r="E230" s="2" t="str">
        <x:v>2025-10-01</x:v>
      </x:c>
      <x:c r="F230" s="2" t="str">
        <x:v>2025-12-01</x:v>
      </x:c>
      <x:c r="G230" s="2" t="str">
        <x:v>Recent trend</x:v>
      </x:c>
      <x:c r="H230" s="7" t="n">
        <x:v>181.84899999999993</x:v>
      </x:c>
      <x:c r="I230" s="7" t="n">
        <x:v>180.246</x:v>
      </x:c>
      <x:c r="J230" s="2" t="str">
        <x:v>2026-01-13</x:v>
      </x:c>
      <x:c r="K230" s="7" t="n">
        <x:f>100*(H230/I230-1)</x:f>
        <x:v>0.88934012405264</x:v>
      </x:c>
      <x:c r="L230" s="7" t="n">
        <x:f>ABS(K230)</x:f>
        <x:v>0.88934012405264</x:v>
      </x:c>
      <x:c r="M230" s="2" t="str">
        <x:v>Yes</x:v>
      </x:c>
    </x:row>
    <x:row r="231" ht="27" customHeight="1">
      <x:c r="A231" s="2"/>
      <x:c r="B231" s="2" t="str">
        <x:v>CUUR0000SEGB</x:v>
      </x:c>
      <x:c r="C231" s="2" t="str">
        <x:v>2025-12-31</x:v>
      </x:c>
      <x:c r="D231" s="2" t="str">
        <x:v>Origin</x:v>
      </x:c>
      <x:c r="E231" s="2" t="str">
        <x:v>2025-10-01</x:v>
      </x:c>
      <x:c r="F231" s="2" t="str">
        <x:v>2025-10-01</x:v>
      </x:c>
      <x:c r="G231" s="2" t="str">
        <x:v>Seasonal step</x:v>
      </x:c>
      <x:c r="H231" s="7" t="n">
        <x:v>181.92954428530436</x:v>
      </x:c>
      <x:c r="I231" s="7"/>
      <x:c r="J231" s="2"/>
      <x:c r="K231" s="7"/>
      <x:c r="L231" s="7"/>
      <x:c r="M231" s="2" t="str">
        <x:v>Yes</x:v>
      </x:c>
    </x:row>
    <x:row r="232" ht="27" customHeight="1">
      <x:c r="A232" s="2"/>
      <x:c r="B232" s="2" t="str">
        <x:v>CUUR0000SEGB</x:v>
      </x:c>
      <x:c r="C232" s="2" t="str">
        <x:v>2025-12-31</x:v>
      </x:c>
      <x:c r="D232" s="2" t="str">
        <x:v>Origin</x:v>
      </x:c>
      <x:c r="E232" s="2" t="str">
        <x:v>2025-10-01</x:v>
      </x:c>
      <x:c r="F232" s="2" t="str">
        <x:v>2025-11-01</x:v>
      </x:c>
      <x:c r="G232" s="2" t="str">
        <x:v>Seasonal step</x:v>
      </x:c>
      <x:c r="H232" s="7" t="n">
        <x:v>181.7371162738243</x:v>
      </x:c>
      <x:c r="I232" s="7" t="n">
        <x:v>180.752</x:v>
      </x:c>
      <x:c r="J232" s="2" t="str">
        <x:v>2025-12-18</x:v>
      </x:c>
      <x:c r="K232" s="7" t="n">
        <x:f>100*(H232/I232-1)</x:f>
        <x:v>0.5450098885900534</x:v>
      </x:c>
      <x:c r="L232" s="7" t="n">
        <x:f>ABS(K232)</x:f>
        <x:v>0.5450098885900534</x:v>
      </x:c>
      <x:c r="M232" s="2" t="str">
        <x:v>Yes</x:v>
      </x:c>
    </x:row>
    <x:row r="233" ht="27" customHeight="1">
      <x:c r="A233" s="2"/>
      <x:c r="B233" s="2" t="str">
        <x:v>CUUR0000SEGB</x:v>
      </x:c>
      <x:c r="C233" s="2" t="str">
        <x:v>2025-12-31</x:v>
      </x:c>
      <x:c r="D233" s="2" t="str">
        <x:v>Origin</x:v>
      </x:c>
      <x:c r="E233" s="2" t="str">
        <x:v>2025-10-01</x:v>
      </x:c>
      <x:c r="F233" s="2" t="str">
        <x:v>2025-12-01</x:v>
      </x:c>
      <x:c r="G233" s="2" t="str">
        <x:v>Seasonal step</x:v>
      </x:c>
      <x:c r="H233" s="7" t="n">
        <x:v>179.80473392696146</x:v>
      </x:c>
      <x:c r="I233" s="7" t="n">
        <x:v>180.246</x:v>
      </x:c>
      <x:c r="J233" s="2" t="str">
        <x:v>2026-01-13</x:v>
      </x:c>
      <x:c r="K233" s="7" t="n">
        <x:f>100*(H233/I233-1)</x:f>
        <x:v>-0.2448132402597225</x:v>
      </x:c>
      <x:c r="L233" s="7" t="n">
        <x:f>ABS(K233)</x:f>
        <x:v>0.2448132402597225</x:v>
      </x:c>
      <x:c r="M233" s="2" t="str">
        <x:v>Yes</x:v>
      </x:c>
    </x:row>
    <x:row r="234" ht="27" customHeight="1">
      <x:c r="A234" s="2"/>
      <x:c r="B234" s="2" t="str">
        <x:v>CUUR0000SEGB</x:v>
      </x:c>
      <x:c r="C234" s="2" t="str">
        <x:v>2026-03-31</x:v>
      </x:c>
      <x:c r="D234" s="2" t="str">
        <x:v>One month</x:v>
      </x:c>
      <x:c r="E234" s="2" t="str">
        <x:v>2026-02-13</x:v>
      </x:c>
      <x:c r="F234" s="2" t="str">
        <x:v>2026-02-01</x:v>
      </x:c>
      <x:c r="G234" s="2" t="str">
        <x:v>YoY carry</x:v>
      </x:c>
      <x:c r="H234" s="7" t="n">
        <x:v>182.29833353079817</x:v>
      </x:c>
      <x:c r="I234" s="7" t="n">
        <x:v>182.953</x:v>
      </x:c>
      <x:c r="J234" s="2" t="str">
        <x:v>2026-03-11</x:v>
      </x:c>
      <x:c r="K234" s="7" t="n">
        <x:f>100*(H234/I234-1)</x:f>
        <x:v>-0.3578331425020842</x:v>
      </x:c>
      <x:c r="L234" s="7" t="n">
        <x:f>ABS(K234)</x:f>
        <x:v>0.3578331425020842</x:v>
      </x:c>
      <x:c r="M234" s="2" t="str">
        <x:v>Yes</x:v>
      </x:c>
    </x:row>
    <x:row r="235" ht="27" customHeight="1">
      <x:c r="A235" s="2"/>
      <x:c r="B235" s="2" t="str">
        <x:v>CUUR0000SEGB</x:v>
      </x:c>
      <x:c r="C235" s="2" t="str">
        <x:v>2026-03-31</x:v>
      </x:c>
      <x:c r="D235" s="2" t="str">
        <x:v>One month</x:v>
      </x:c>
      <x:c r="E235" s="2" t="str">
        <x:v>2026-02-13</x:v>
      </x:c>
      <x:c r="F235" s="2" t="str">
        <x:v>2026-03-01</x:v>
      </x:c>
      <x:c r="G235" s="2" t="str">
        <x:v>YoY carry</x:v>
      </x:c>
      <x:c r="H235" s="7" t="n">
        <x:v>182.2192602701911</x:v>
      </x:c>
      <x:c r="I235" s="7" t="n">
        <x:v>183.762</x:v>
      </x:c>
      <x:c r="J235" s="2" t="str">
        <x:v>2026-04-10</x:v>
      </x:c>
      <x:c r="K235" s="7" t="n">
        <x:f>100*(H235/I235-1)</x:f>
        <x:v>-0.8395314209732607</x:v>
      </x:c>
      <x:c r="L235" s="7" t="n">
        <x:f>ABS(K235)</x:f>
        <x:v>0.8395314209732607</x:v>
      </x:c>
      <x:c r="M235" s="2" t="str">
        <x:v>Yes</x:v>
      </x:c>
    </x:row>
    <x:row r="236" ht="27" customHeight="1">
      <x:c r="A236" s="2"/>
      <x:c r="B236" s="2" t="str">
        <x:v>CUUR0000SEGB</x:v>
      </x:c>
      <x:c r="C236" s="2" t="str">
        <x:v>2026-03-31</x:v>
      </x:c>
      <x:c r="D236" s="2" t="str">
        <x:v>One month</x:v>
      </x:c>
      <x:c r="E236" s="2" t="str">
        <x:v>2026-02-13</x:v>
      </x:c>
      <x:c r="F236" s="2" t="str">
        <x:v>2026-02-01</x:v>
      </x:c>
      <x:c r="G236" s="2" t="str">
        <x:v>Flat level</x:v>
      </x:c>
      <x:c r="H236" s="7" t="n">
        <x:v>181.597</x:v>
      </x:c>
      <x:c r="I236" s="7" t="n">
        <x:v>182.953</x:v>
      </x:c>
      <x:c r="J236" s="2" t="str">
        <x:v>2026-03-11</x:v>
      </x:c>
      <x:c r="K236" s="7" t="n">
        <x:f>100*(H236/I236-1)</x:f>
        <x:v>-0.7411739627117275</x:v>
      </x:c>
      <x:c r="L236" s="7" t="n">
        <x:f>ABS(K236)</x:f>
        <x:v>0.7411739627117275</x:v>
      </x:c>
      <x:c r="M236" s="2" t="str">
        <x:v>Yes</x:v>
      </x:c>
    </x:row>
    <x:row r="237" ht="27" customHeight="1">
      <x:c r="A237" s="2"/>
      <x:c r="B237" s="2" t="str">
        <x:v>CUUR0000SEGB</x:v>
      </x:c>
      <x:c r="C237" s="2" t="str">
        <x:v>2026-03-31</x:v>
      </x:c>
      <x:c r="D237" s="2" t="str">
        <x:v>One month</x:v>
      </x:c>
      <x:c r="E237" s="2" t="str">
        <x:v>2026-02-13</x:v>
      </x:c>
      <x:c r="F237" s="2" t="str">
        <x:v>2026-03-01</x:v>
      </x:c>
      <x:c r="G237" s="2" t="str">
        <x:v>Flat level</x:v>
      </x:c>
      <x:c r="H237" s="7" t="n">
        <x:v>181.597</x:v>
      </x:c>
      <x:c r="I237" s="7" t="n">
        <x:v>183.762</x:v>
      </x:c>
      <x:c r="J237" s="2" t="str">
        <x:v>2026-04-10</x:v>
      </x:c>
      <x:c r="K237" s="7" t="n">
        <x:f>100*(H237/I237-1)</x:f>
        <x:v>-1.178154351824634</x:v>
      </x:c>
      <x:c r="L237" s="7" t="n">
        <x:f>ABS(K237)</x:f>
        <x:v>1.178154351824634</x:v>
      </x:c>
      <x:c r="M237" s="2" t="str">
        <x:v>Yes</x:v>
      </x:c>
    </x:row>
    <x:row r="238" ht="27" customHeight="1">
      <x:c r="A238" s="2"/>
      <x:c r="B238" s="2" t="str">
        <x:v>CUUR0000SEGB</x:v>
      </x:c>
      <x:c r="C238" s="2" t="str">
        <x:v>2026-03-31</x:v>
      </x:c>
      <x:c r="D238" s="2" t="str">
        <x:v>One month</x:v>
      </x:c>
      <x:c r="E238" s="2" t="str">
        <x:v>2026-02-13</x:v>
      </x:c>
      <x:c r="F238" s="2" t="str">
        <x:v>2026-02-01</x:v>
      </x:c>
      <x:c r="G238" s="2" t="str">
        <x:v>Recent trend</x:v>
      </x:c>
      <x:c r="H238" s="7" t="n">
        <x:v>182.0195</x:v>
      </x:c>
      <x:c r="I238" s="7" t="n">
        <x:v>182.953</x:v>
      </x:c>
      <x:c r="J238" s="2" t="str">
        <x:v>2026-03-11</x:v>
      </x:c>
      <x:c r="K238" s="7" t="n">
        <x:f>100*(H238/I238-1)</x:f>
        <x:v>-0.5102403349494189</x:v>
      </x:c>
      <x:c r="L238" s="7" t="n">
        <x:f>ABS(K238)</x:f>
        <x:v>0.5102403349494189</x:v>
      </x:c>
      <x:c r="M238" s="2" t="str">
        <x:v>Yes</x:v>
      </x:c>
    </x:row>
    <x:row r="239" ht="27" customHeight="1">
      <x:c r="A239" s="2"/>
      <x:c r="B239" s="2" t="str">
        <x:v>CUUR0000SEGB</x:v>
      </x:c>
      <x:c r="C239" s="2" t="str">
        <x:v>2026-03-31</x:v>
      </x:c>
      <x:c r="D239" s="2" t="str">
        <x:v>One month</x:v>
      </x:c>
      <x:c r="E239" s="2" t="str">
        <x:v>2026-02-13</x:v>
      </x:c>
      <x:c r="F239" s="2" t="str">
        <x:v>2026-03-01</x:v>
      </x:c>
      <x:c r="G239" s="2" t="str">
        <x:v>Recent trend</x:v>
      </x:c>
      <x:c r="H239" s="7" t="n">
        <x:v>182.442</x:v>
      </x:c>
      <x:c r="I239" s="7" t="n">
        <x:v>183.762</x:v>
      </x:c>
      <x:c r="J239" s="2" t="str">
        <x:v>2026-04-10</x:v>
      </x:c>
      <x:c r="K239" s="7" t="n">
        <x:f>100*(H239/I239-1)</x:f>
        <x:v>-0.718320436216402</x:v>
      </x:c>
      <x:c r="L239" s="7" t="n">
        <x:f>ABS(K239)</x:f>
        <x:v>0.718320436216402</x:v>
      </x:c>
      <x:c r="M239" s="2" t="str">
        <x:v>Yes</x:v>
      </x:c>
    </x:row>
    <x:row r="240" ht="27" customHeight="1">
      <x:c r="A240" s="2"/>
      <x:c r="B240" s="2" t="str">
        <x:v>CUUR0000SEGB</x:v>
      </x:c>
      <x:c r="C240" s="2" t="str">
        <x:v>2026-03-31</x:v>
      </x:c>
      <x:c r="D240" s="2" t="str">
        <x:v>One month</x:v>
      </x:c>
      <x:c r="E240" s="2" t="str">
        <x:v>2026-02-13</x:v>
      </x:c>
      <x:c r="F240" s="2" t="str">
        <x:v>2026-02-01</x:v>
      </x:c>
      <x:c r="G240" s="2" t="str">
        <x:v>Seasonal step</x:v>
      </x:c>
      <x:c r="H240" s="7" t="n">
        <x:v>183.1913055049114</x:v>
      </x:c>
      <x:c r="I240" s="7" t="n">
        <x:v>182.953</x:v>
      </x:c>
      <x:c r="J240" s="2" t="str">
        <x:v>2026-03-11</x:v>
      </x:c>
      <x:c r="K240" s="7" t="n">
        <x:f>100*(H240/I240-1)</x:f>
        <x:v>0.13025504086372486</x:v>
      </x:c>
      <x:c r="L240" s="7" t="n">
        <x:f>ABS(K240)</x:f>
        <x:v>0.13025504086372486</x:v>
      </x:c>
      <x:c r="M240" s="2" t="str">
        <x:v>Yes</x:v>
      </x:c>
    </x:row>
    <x:row r="241" ht="27" customHeight="1">
      <x:c r="A241" s="2"/>
      <x:c r="B241" s="2" t="str">
        <x:v>CUUR0000SEGB</x:v>
      </x:c>
      <x:c r="C241" s="2" t="str">
        <x:v>2026-03-31</x:v>
      </x:c>
      <x:c r="D241" s="2" t="str">
        <x:v>One month</x:v>
      </x:c>
      <x:c r="E241" s="2" t="str">
        <x:v>2026-02-13</x:v>
      </x:c>
      <x:c r="F241" s="2" t="str">
        <x:v>2026-03-01</x:v>
      </x:c>
      <x:c r="G241" s="2" t="str">
        <x:v>Seasonal step</x:v>
      </x:c>
      <x:c r="H241" s="7" t="n">
        <x:v>183.59485333897868</x:v>
      </x:c>
      <x:c r="I241" s="7" t="n">
        <x:v>183.762</x:v>
      </x:c>
      <x:c r="J241" s="2" t="str">
        <x:v>2026-04-10</x:v>
      </x:c>
      <x:c r="K241" s="7" t="n">
        <x:f>100*(H241/I241-1)</x:f>
        <x:v>-0.09095822913405271</x:v>
      </x:c>
      <x:c r="L241" s="7" t="n">
        <x:f>ABS(K241)</x:f>
        <x:v>0.09095822913405271</x:v>
      </x:c>
      <x:c r="M241" s="2" t="str">
        <x:v>Yes</x:v>
      </x:c>
    </x:row>
    <x:row r="242" ht="27" customHeight="1">
      <x:c r="A242" s="2"/>
      <x:c r="B242" s="2" t="str">
        <x:v>CUUR0000SEGB</x:v>
      </x:c>
      <x:c r="C242" s="2" t="str">
        <x:v>2026-03-31</x:v>
      </x:c>
      <x:c r="D242" s="2" t="str">
        <x:v>Two months</x:v>
      </x:c>
      <x:c r="E242" s="2" t="str">
        <x:v>2026-03-11</x:v>
      </x:c>
      <x:c r="F242" s="2" t="str">
        <x:v>2026-03-01</x:v>
      </x:c>
      <x:c r="G242" s="2" t="str">
        <x:v>YoY carry</x:v>
      </x:c>
      <x:c r="H242" s="7" t="n">
        <x:v>182.82507408350017</x:v>
      </x:c>
      <x:c r="I242" s="7" t="n">
        <x:v>183.762</x:v>
      </x:c>
      <x:c r="J242" s="2" t="str">
        <x:v>2026-04-10</x:v>
      </x:c>
      <x:c r="K242" s="7" t="n">
        <x:f>100*(H242/I242-1)</x:f>
        <x:v>-0.5098583583656224</x:v>
      </x:c>
      <x:c r="L242" s="7" t="n">
        <x:f>ABS(K242)</x:f>
        <x:v>0.5098583583656224</x:v>
      </x:c>
      <x:c r="M242" s="2" t="str">
        <x:v>Yes</x:v>
      </x:c>
    </x:row>
    <x:row r="243" ht="27" customHeight="1">
      <x:c r="A243" s="2"/>
      <x:c r="B243" s="2" t="str">
        <x:v>CUUR0000SEGB</x:v>
      </x:c>
      <x:c r="C243" s="2" t="str">
        <x:v>2026-03-31</x:v>
      </x:c>
      <x:c r="D243" s="2" t="str">
        <x:v>Two months</x:v>
      </x:c>
      <x:c r="E243" s="2" t="str">
        <x:v>2026-03-11</x:v>
      </x:c>
      <x:c r="F243" s="2" t="str">
        <x:v>2026-03-01</x:v>
      </x:c>
      <x:c r="G243" s="2" t="str">
        <x:v>Flat level</x:v>
      </x:c>
      <x:c r="H243" s="7" t="n">
        <x:v>182.953</x:v>
      </x:c>
      <x:c r="I243" s="7" t="n">
        <x:v>183.762</x:v>
      </x:c>
      <x:c r="J243" s="2" t="str">
        <x:v>2026-04-10</x:v>
      </x:c>
      <x:c r="K243" s="7" t="n">
        <x:f>100*(H243/I243-1)</x:f>
        <x:v>-0.44024335825687544</x:v>
      </x:c>
      <x:c r="L243" s="7" t="n">
        <x:f>ABS(K243)</x:f>
        <x:v>0.44024335825687544</x:v>
      </x:c>
      <x:c r="M243" s="2" t="str">
        <x:v>Yes</x:v>
      </x:c>
    </x:row>
    <x:row r="244" ht="27" customHeight="1">
      <x:c r="A244" s="2"/>
      <x:c r="B244" s="2" t="str">
        <x:v>CUUR0000SEGB</x:v>
      </x:c>
      <x:c r="C244" s="2" t="str">
        <x:v>2026-03-31</x:v>
      </x:c>
      <x:c r="D244" s="2" t="str">
        <x:v>Two months</x:v>
      </x:c>
      <x:c r="E244" s="2" t="str">
        <x:v>2026-03-11</x:v>
      </x:c>
      <x:c r="F244" s="2" t="str">
        <x:v>2026-03-01</x:v>
      </x:c>
      <x:c r="G244" s="2" t="str">
        <x:v>Recent trend</x:v>
      </x:c>
      <x:c r="H244" s="7" t="n">
        <x:v>184.3065</x:v>
      </x:c>
      <x:c r="I244" s="7" t="n">
        <x:v>183.762</x:v>
      </x:c>
      <x:c r="J244" s="2" t="str">
        <x:v>2026-04-10</x:v>
      </x:c>
      <x:c r="K244" s="7" t="n">
        <x:f>100*(H244/I244-1)</x:f>
        <x:v>0.29630717993927025</x:v>
      </x:c>
      <x:c r="L244" s="7" t="n">
        <x:f>ABS(K244)</x:f>
        <x:v>0.29630717993927025</x:v>
      </x:c>
      <x:c r="M244" s="2" t="str">
        <x:v>Yes</x:v>
      </x:c>
    </x:row>
    <x:row r="245" ht="27" customHeight="1">
      <x:c r="A245" s="2"/>
      <x:c r="B245" s="2" t="str">
        <x:v>CUUR0000SEGB</x:v>
      </x:c>
      <x:c r="C245" s="2" t="str">
        <x:v>2026-03-31</x:v>
      </x:c>
      <x:c r="D245" s="2" t="str">
        <x:v>Two months</x:v>
      </x:c>
      <x:c r="E245" s="2" t="str">
        <x:v>2026-03-11</x:v>
      </x:c>
      <x:c r="F245" s="2" t="str">
        <x:v>2026-03-01</x:v>
      </x:c>
      <x:c r="G245" s="2" t="str">
        <x:v>Seasonal step</x:v>
      </x:c>
      <x:c r="H245" s="7" t="n">
        <x:v>183.35602287645486</x:v>
      </x:c>
      <x:c r="I245" s="7" t="n">
        <x:v>183.762</x:v>
      </x:c>
      <x:c r="J245" s="2" t="str">
        <x:v>2026-04-10</x:v>
      </x:c>
      <x:c r="K245" s="7" t="n">
        <x:f>100*(H245/I245-1)</x:f>
        <x:v>-0.2209255033930546</x:v>
      </x:c>
      <x:c r="L245" s="7" t="n">
        <x:f>ABS(K245)</x:f>
        <x:v>0.2209255033930546</x:v>
      </x:c>
      <x:c r="M245" s="2" t="str">
        <x:v>Yes</x:v>
      </x:c>
    </x:row>
    <x:row r="246" ht="27" customHeight="1">
      <x:c r="A246" s="2"/>
      <x:c r="B246" s="2" t="str">
        <x:v>CUUR0000SEGB02</x:v>
      </x:c>
      <x:c r="C246" s="2" t="str">
        <x:v>2023-06-30</x:v>
      </x:c>
      <x:c r="D246" s="2" t="str">
        <x:v>Origin</x:v>
      </x:c>
      <x:c r="E246" s="2" t="str">
        <x:v>2023-04-01</x:v>
      </x:c>
      <x:c r="F246" s="2" t="str">
        <x:v>2023-04-01</x:v>
      </x:c>
      <x:c r="G246" s="2" t="str">
        <x:v>YoY carry</x:v>
      </x:c>
      <x:c r="H246" s="7" t="n">
        <x:v>188.759776135522</x:v>
      </x:c>
      <x:c r="I246" s="7" t="n">
        <x:v>188.647</x:v>
      </x:c>
      <x:c r="J246" s="2" t="str">
        <x:v>2023-07-01</x:v>
      </x:c>
      <x:c r="K246" s="7" t="n">
        <x:f>100*(H246/I246-1)</x:f>
        <x:v>0.059781568496730664</x:v>
      </x:c>
      <x:c r="L246" s="7" t="n">
        <x:f>ABS(K246)</x:f>
        <x:v>0.059781568496730664</x:v>
      </x:c>
      <x:c r="M246" s="2" t="str">
        <x:v>Calibration</x:v>
      </x:c>
    </x:row>
    <x:row r="247" ht="27" customHeight="1">
      <x:c r="A247" s="2"/>
      <x:c r="B247" s="2" t="str">
        <x:v>CUUR0000SEGB02</x:v>
      </x:c>
      <x:c r="C247" s="2" t="str">
        <x:v>2023-06-30</x:v>
      </x:c>
      <x:c r="D247" s="2" t="str">
        <x:v>Origin</x:v>
      </x:c>
      <x:c r="E247" s="2" t="str">
        <x:v>2023-04-01</x:v>
      </x:c>
      <x:c r="F247" s="2" t="str">
        <x:v>2023-05-01</x:v>
      </x:c>
      <x:c r="G247" s="2" t="str">
        <x:v>YoY carry</x:v>
      </x:c>
      <x:c r="H247" s="7" t="n">
        <x:v>189.4108387521353</x:v>
      </x:c>
      <x:c r="I247" s="7" t="n">
        <x:v>189.549</x:v>
      </x:c>
      <x:c r="J247" s="2" t="str">
        <x:v>2023-07-01</x:v>
      </x:c>
      <x:c r="K247" s="7" t="n">
        <x:f>100*(H247/I247-1)</x:f>
        <x:v>-0.07288946281156505</x:v>
      </x:c>
      <x:c r="L247" s="7" t="n">
        <x:f>ABS(K247)</x:f>
        <x:v>0.07288946281156505</x:v>
      </x:c>
      <x:c r="M247" s="2" t="str">
        <x:v>Calibration</x:v>
      </x:c>
    </x:row>
    <x:row r="248" ht="27" customHeight="1">
      <x:c r="A248" s="2"/>
      <x:c r="B248" s="2" t="str">
        <x:v>CUUR0000SEGB02</x:v>
      </x:c>
      <x:c r="C248" s="2" t="str">
        <x:v>2023-06-30</x:v>
      </x:c>
      <x:c r="D248" s="2" t="str">
        <x:v>Origin</x:v>
      </x:c>
      <x:c r="E248" s="2" t="str">
        <x:v>2023-04-01</x:v>
      </x:c>
      <x:c r="F248" s="2" t="str">
        <x:v>2023-06-01</x:v>
      </x:c>
      <x:c r="G248" s="2" t="str">
        <x:v>YoY carry</x:v>
      </x:c>
      <x:c r="H248" s="7" t="n">
        <x:v>189.78317504661206</x:v>
      </x:c>
      <x:c r="I248" s="7" t="n">
        <x:v>189.937</x:v>
      </x:c>
      <x:c r="J248" s="2" t="str">
        <x:v>2023-07-27</x:v>
      </x:c>
      <x:c r="K248" s="7" t="n">
        <x:f>100*(H248/I248-1)</x:f>
        <x:v>-0.08098735548521807</x:v>
      </x:c>
      <x:c r="L248" s="7" t="n">
        <x:f>ABS(K248)</x:f>
        <x:v>0.08098735548521807</x:v>
      </x:c>
      <x:c r="M248" s="2" t="str">
        <x:v>Calibration</x:v>
      </x:c>
    </x:row>
    <x:row r="249" ht="27" customHeight="1">
      <x:c r="A249" s="2"/>
      <x:c r="B249" s="2" t="str">
        <x:v>CUUR0000SEGB02</x:v>
      </x:c>
      <x:c r="C249" s="2" t="str">
        <x:v>2023-06-30</x:v>
      </x:c>
      <x:c r="D249" s="2" t="str">
        <x:v>Origin</x:v>
      </x:c>
      <x:c r="E249" s="2" t="str">
        <x:v>2023-04-01</x:v>
      </x:c>
      <x:c r="F249" s="2" t="str">
        <x:v>2023-04-01</x:v>
      </x:c>
      <x:c r="G249" s="2" t="str">
        <x:v>Flat level</x:v>
      </x:c>
      <x:c r="H249" s="7" t="n">
        <x:v>187.494</x:v>
      </x:c>
      <x:c r="I249" s="7" t="n">
        <x:v>188.647</x:v>
      </x:c>
      <x:c r="J249" s="2" t="str">
        <x:v>2023-07-01</x:v>
      </x:c>
      <x:c r="K249" s="7" t="n">
        <x:f>100*(H249/I249-1)</x:f>
        <x:v>-0.6111944531320357</x:v>
      </x:c>
      <x:c r="L249" s="7" t="n">
        <x:f>ABS(K249)</x:f>
        <x:v>0.6111944531320357</x:v>
      </x:c>
      <x:c r="M249" s="2" t="str">
        <x:v>Calibration</x:v>
      </x:c>
    </x:row>
    <x:row r="250" ht="27" customHeight="1">
      <x:c r="A250" s="2"/>
      <x:c r="B250" s="2" t="str">
        <x:v>CUUR0000SEGB02</x:v>
      </x:c>
      <x:c r="C250" s="2" t="str">
        <x:v>2023-06-30</x:v>
      </x:c>
      <x:c r="D250" s="2" t="str">
        <x:v>Origin</x:v>
      </x:c>
      <x:c r="E250" s="2" t="str">
        <x:v>2023-04-01</x:v>
      </x:c>
      <x:c r="F250" s="2" t="str">
        <x:v>2023-05-01</x:v>
      </x:c>
      <x:c r="G250" s="2" t="str">
        <x:v>Flat level</x:v>
      </x:c>
      <x:c r="H250" s="7" t="n">
        <x:v>187.494</x:v>
      </x:c>
      <x:c r="I250" s="7" t="n">
        <x:v>189.549</x:v>
      </x:c>
      <x:c r="J250" s="2" t="str">
        <x:v>2023-07-01</x:v>
      </x:c>
      <x:c r="K250" s="7" t="n">
        <x:f>100*(H250/I250-1)</x:f>
        <x:v>-1.0841523827611943</x:v>
      </x:c>
      <x:c r="L250" s="7" t="n">
        <x:f>ABS(K250)</x:f>
        <x:v>1.0841523827611943</x:v>
      </x:c>
      <x:c r="M250" s="2" t="str">
        <x:v>Calibration</x:v>
      </x:c>
    </x:row>
    <x:row r="251" ht="27" customHeight="1">
      <x:c r="A251" s="2"/>
      <x:c r="B251" s="2" t="str">
        <x:v>CUUR0000SEGB02</x:v>
      </x:c>
      <x:c r="C251" s="2" t="str">
        <x:v>2023-06-30</x:v>
      </x:c>
      <x:c r="D251" s="2" t="str">
        <x:v>Origin</x:v>
      </x:c>
      <x:c r="E251" s="2" t="str">
        <x:v>2023-04-01</x:v>
      </x:c>
      <x:c r="F251" s="2" t="str">
        <x:v>2023-06-01</x:v>
      </x:c>
      <x:c r="G251" s="2" t="str">
        <x:v>Flat level</x:v>
      </x:c>
      <x:c r="H251" s="7" t="n">
        <x:v>187.494</x:v>
      </x:c>
      <x:c r="I251" s="7" t="n">
        <x:v>189.937</x:v>
      </x:c>
      <x:c r="J251" s="2" t="str">
        <x:v>2023-07-27</x:v>
      </x:c>
      <x:c r="K251" s="7" t="n">
        <x:f>100*(H251/I251-1)</x:f>
        <x:v>-1.2862159558169384</x:v>
      </x:c>
      <x:c r="L251" s="7" t="n">
        <x:f>ABS(K251)</x:f>
        <x:v>1.2862159558169384</x:v>
      </x:c>
      <x:c r="M251" s="2" t="str">
        <x:v>Calibration</x:v>
      </x:c>
    </x:row>
    <x:row r="252" ht="27" customHeight="1">
      <x:c r="A252" s="2"/>
      <x:c r="B252" s="2" t="str">
        <x:v>CUUR0000SEGB02</x:v>
      </x:c>
      <x:c r="C252" s="2" t="str">
        <x:v>2023-06-30</x:v>
      </x:c>
      <x:c r="D252" s="2" t="str">
        <x:v>Origin</x:v>
      </x:c>
      <x:c r="E252" s="2" t="str">
        <x:v>2023-04-01</x:v>
      </x:c>
      <x:c r="F252" s="2" t="str">
        <x:v>2023-04-01</x:v>
      </x:c>
      <x:c r="G252" s="2" t="str">
        <x:v>Recent trend</x:v>
      </x:c>
      <x:c r="H252" s="7" t="n">
        <x:v>189.919</x:v>
      </x:c>
      <x:c r="I252" s="7" t="n">
        <x:v>188.647</x:v>
      </x:c>
      <x:c r="J252" s="2" t="str">
        <x:v>2023-07-01</x:v>
      </x:c>
      <x:c r="K252" s="7" t="n">
        <x:f>100*(H252/I252-1)</x:f>
        <x:v>0.6742752336374336</x:v>
      </x:c>
      <x:c r="L252" s="7" t="n">
        <x:f>ABS(K252)</x:f>
        <x:v>0.6742752336374336</x:v>
      </x:c>
      <x:c r="M252" s="2" t="str">
        <x:v>Calibration</x:v>
      </x:c>
    </x:row>
    <x:row r="253" ht="27" customHeight="1">
      <x:c r="A253" s="2"/>
      <x:c r="B253" s="2" t="str">
        <x:v>CUUR0000SEGB02</x:v>
      </x:c>
      <x:c r="C253" s="2" t="str">
        <x:v>2023-06-30</x:v>
      </x:c>
      <x:c r="D253" s="2" t="str">
        <x:v>Origin</x:v>
      </x:c>
      <x:c r="E253" s="2" t="str">
        <x:v>2023-04-01</x:v>
      </x:c>
      <x:c r="F253" s="2" t="str">
        <x:v>2023-05-01</x:v>
      </x:c>
      <x:c r="G253" s="2" t="str">
        <x:v>Recent trend</x:v>
      </x:c>
      <x:c r="H253" s="7" t="n">
        <x:v>191.13150000000002</x:v>
      </x:c>
      <x:c r="I253" s="7" t="n">
        <x:v>189.549</x:v>
      </x:c>
      <x:c r="J253" s="2" t="str">
        <x:v>2023-07-01</x:v>
      </x:c>
      <x:c r="K253" s="7" t="n">
        <x:f>100*(H253/I253-1)</x:f>
        <x:v>0.8348764699365407</x:v>
      </x:c>
      <x:c r="L253" s="7" t="n">
        <x:f>ABS(K253)</x:f>
        <x:v>0.8348764699365407</x:v>
      </x:c>
      <x:c r="M253" s="2" t="str">
        <x:v>Calibration</x:v>
      </x:c>
    </x:row>
    <x:row r="254" ht="27" customHeight="1">
      <x:c r="A254" s="2"/>
      <x:c r="B254" s="2" t="str">
        <x:v>CUUR0000SEGB02</x:v>
      </x:c>
      <x:c r="C254" s="2" t="str">
        <x:v>2023-06-30</x:v>
      </x:c>
      <x:c r="D254" s="2" t="str">
        <x:v>Origin</x:v>
      </x:c>
      <x:c r="E254" s="2" t="str">
        <x:v>2023-04-01</x:v>
      </x:c>
      <x:c r="F254" s="2" t="str">
        <x:v>2023-06-01</x:v>
      </x:c>
      <x:c r="G254" s="2" t="str">
        <x:v>Recent trend</x:v>
      </x:c>
      <x:c r="H254" s="7" t="n">
        <x:v>192.34400000000002</x:v>
      </x:c>
      <x:c r="I254" s="7" t="n">
        <x:v>189.937</x:v>
      </x:c>
      <x:c r="J254" s="2" t="str">
        <x:v>2023-07-27</x:v>
      </x:c>
      <x:c r="K254" s="7" t="n">
        <x:f>100*(H254/I254-1)</x:f>
        <x:v>1.26726230276355</x:v>
      </x:c>
      <x:c r="L254" s="7" t="n">
        <x:f>ABS(K254)</x:f>
        <x:v>1.26726230276355</x:v>
      </x:c>
      <x:c r="M254" s="2" t="str">
        <x:v>Calibration</x:v>
      </x:c>
    </x:row>
    <x:row r="255" ht="27" customHeight="1">
      <x:c r="A255" s="2"/>
      <x:c r="B255" s="2" t="str">
        <x:v>CUUR0000SEGB02</x:v>
      </x:c>
      <x:c r="C255" s="2" t="str">
        <x:v>2023-06-30</x:v>
      </x:c>
      <x:c r="D255" s="2" t="str">
        <x:v>Origin</x:v>
      </x:c>
      <x:c r="E255" s="2" t="str">
        <x:v>2023-04-01</x:v>
      </x:c>
      <x:c r="F255" s="2" t="str">
        <x:v>2023-04-01</x:v>
      </x:c>
      <x:c r="G255" s="2" t="str">
        <x:v>Seasonal step</x:v>
      </x:c>
      <x:c r="H255" s="7" t="n">
        <x:v>187.0484742062289</x:v>
      </x:c>
      <x:c r="I255" s="7" t="n">
        <x:v>188.647</x:v>
      </x:c>
      <x:c r="J255" s="2" t="str">
        <x:v>2023-07-01</x:v>
      </x:c>
      <x:c r="K255" s="7" t="n">
        <x:f>100*(H255/I255-1)</x:f>
        <x:v>-0.847363485118291</x:v>
      </x:c>
      <x:c r="L255" s="7" t="n">
        <x:f>ABS(K255)</x:f>
        <x:v>0.847363485118291</x:v>
      </x:c>
      <x:c r="M255" s="2" t="str">
        <x:v>Calibration</x:v>
      </x:c>
    </x:row>
    <x:row r="256" ht="27" customHeight="1">
      <x:c r="A256" s="2"/>
      <x:c r="B256" s="2" t="str">
        <x:v>CUUR0000SEGB02</x:v>
      </x:c>
      <x:c r="C256" s="2" t="str">
        <x:v>2023-06-30</x:v>
      </x:c>
      <x:c r="D256" s="2" t="str">
        <x:v>Origin</x:v>
      </x:c>
      <x:c r="E256" s="2" t="str">
        <x:v>2023-04-01</x:v>
      </x:c>
      <x:c r="F256" s="2" t="str">
        <x:v>2023-05-01</x:v>
      </x:c>
      <x:c r="G256" s="2" t="str">
        <x:v>Seasonal step</x:v>
      </x:c>
      <x:c r="H256" s="7" t="n">
        <x:v>185.60439176098933</x:v>
      </x:c>
      <x:c r="I256" s="7" t="n">
        <x:v>189.549</x:v>
      </x:c>
      <x:c r="J256" s="2" t="str">
        <x:v>2023-07-01</x:v>
      </x:c>
      <x:c r="K256" s="7" t="n">
        <x:f>100*(H256/I256-1)</x:f>
        <x:v>-2.081049353470965</x:v>
      </x:c>
      <x:c r="L256" s="7" t="n">
        <x:f>ABS(K256)</x:f>
        <x:v>2.081049353470965</x:v>
      </x:c>
      <x:c r="M256" s="2" t="str">
        <x:v>Calibration</x:v>
      </x:c>
    </x:row>
    <x:row r="257" ht="27" customHeight="1">
      <x:c r="A257" s="2"/>
      <x:c r="B257" s="2" t="str">
        <x:v>CUUR0000SEGB02</x:v>
      </x:c>
      <x:c r="C257" s="2" t="str">
        <x:v>2023-06-30</x:v>
      </x:c>
      <x:c r="D257" s="2" t="str">
        <x:v>Origin</x:v>
      </x:c>
      <x:c r="E257" s="2" t="str">
        <x:v>2023-04-01</x:v>
      </x:c>
      <x:c r="F257" s="2" t="str">
        <x:v>2023-06-01</x:v>
      </x:c>
      <x:c r="G257" s="2" t="str">
        <x:v>Seasonal step</x:v>
      </x:c>
      <x:c r="H257" s="7" t="n">
        <x:v>185.44817839359277</x:v>
      </x:c>
      <x:c r="I257" s="7" t="n">
        <x:v>189.937</x:v>
      </x:c>
      <x:c r="J257" s="2" t="str">
        <x:v>2023-07-27</x:v>
      </x:c>
      <x:c r="K257" s="7" t="n">
        <x:f>100*(H257/I257-1)</x:f>
        <x:v>-2.3633213151767363</x:v>
      </x:c>
      <x:c r="L257" s="7" t="n">
        <x:f>ABS(K257)</x:f>
        <x:v>2.3633213151767363</x:v>
      </x:c>
      <x:c r="M257" s="2" t="str">
        <x:v>Calibration</x:v>
      </x:c>
    </x:row>
    <x:row r="258" ht="27" customHeight="1">
      <x:c r="A258" s="2"/>
      <x:c r="B258" s="2" t="str">
        <x:v>CUUR0000SEGB02</x:v>
      </x:c>
      <x:c r="C258" s="2" t="str">
        <x:v>2023-06-30</x:v>
      </x:c>
      <x:c r="D258" s="2" t="str">
        <x:v>Two months</x:v>
      </x:c>
      <x:c r="E258" s="2" t="str">
        <x:v>2023-07-01</x:v>
      </x:c>
      <x:c r="F258" s="2" t="str">
        <x:v>2023-06-01</x:v>
      </x:c>
      <x:c r="G258" s="2" t="str">
        <x:v>YoY carry</x:v>
      </x:c>
      <x:c r="H258" s="7" t="n">
        <x:v>189.17862196397905</x:v>
      </x:c>
      <x:c r="I258" s="7" t="n">
        <x:v>189.937</x:v>
      </x:c>
      <x:c r="J258" s="2" t="str">
        <x:v>2023-07-27</x:v>
      </x:c>
      <x:c r="K258" s="7" t="n">
        <x:f>100*(H258/I258-1)</x:f>
        <x:v>-0.3992787271679288</x:v>
      </x:c>
      <x:c r="L258" s="7" t="n">
        <x:f>ABS(K258)</x:f>
        <x:v>0.3992787271679288</x:v>
      </x:c>
      <x:c r="M258" s="2" t="str">
        <x:v>Calibration</x:v>
      </x:c>
    </x:row>
    <x:row r="259" ht="27" customHeight="1">
      <x:c r="A259" s="2"/>
      <x:c r="B259" s="2" t="str">
        <x:v>CUUR0000SEGB02</x:v>
      </x:c>
      <x:c r="C259" s="2" t="str">
        <x:v>2023-06-30</x:v>
      </x:c>
      <x:c r="D259" s="2" t="str">
        <x:v>Two months</x:v>
      </x:c>
      <x:c r="E259" s="2" t="str">
        <x:v>2023-07-01</x:v>
      </x:c>
      <x:c r="F259" s="2" t="str">
        <x:v>2023-06-01</x:v>
      </x:c>
      <x:c r="G259" s="2" t="str">
        <x:v>Flat level</x:v>
      </x:c>
      <x:c r="H259" s="7" t="n">
        <x:v>189.549</x:v>
      </x:c>
      <x:c r="I259" s="7" t="n">
        <x:v>189.937</x:v>
      </x:c>
      <x:c r="J259" s="2" t="str">
        <x:v>2023-07-27</x:v>
      </x:c>
      <x:c r="K259" s="7" t="n">
        <x:f>100*(H259/I259-1)</x:f>
        <x:v>-0.20427826068644128</x:v>
      </x:c>
      <x:c r="L259" s="7" t="n">
        <x:f>ABS(K259)</x:f>
        <x:v>0.20427826068644128</x:v>
      </x:c>
      <x:c r="M259" s="2" t="str">
        <x:v>Calibration</x:v>
      </x:c>
    </x:row>
    <x:row r="260" ht="27" customHeight="1">
      <x:c r="A260" s="2"/>
      <x:c r="B260" s="2" t="str">
        <x:v>CUUR0000SEGB02</x:v>
      </x:c>
      <x:c r="C260" s="2" t="str">
        <x:v>2023-06-30</x:v>
      </x:c>
      <x:c r="D260" s="2" t="str">
        <x:v>Two months</x:v>
      </x:c>
      <x:c r="E260" s="2" t="str">
        <x:v>2023-07-01</x:v>
      </x:c>
      <x:c r="F260" s="2" t="str">
        <x:v>2023-06-01</x:v>
      </x:c>
      <x:c r="G260" s="2" t="str">
        <x:v>Recent trend</x:v>
      </x:c>
      <x:c r="H260" s="7" t="n">
        <x:v>190.24450000000002</x:v>
      </x:c>
      <x:c r="I260" s="7" t="n">
        <x:v>189.937</x:v>
      </x:c>
      <x:c r="J260" s="2" t="str">
        <x:v>2023-07-27</x:v>
      </x:c>
      <x:c r="K260" s="7" t="n">
        <x:f>100*(H260/I260-1)</x:f>
        <x:v>0.16189578649763448</x:v>
      </x:c>
      <x:c r="L260" s="7" t="n">
        <x:f>ABS(K260)</x:f>
        <x:v>0.16189578649763448</x:v>
      </x:c>
      <x:c r="M260" s="2" t="str">
        <x:v>Calibration</x:v>
      </x:c>
    </x:row>
    <x:row r="261" ht="27" customHeight="1">
      <x:c r="A261" s="2"/>
      <x:c r="B261" s="2" t="str">
        <x:v>CUUR0000SEGB02</x:v>
      </x:c>
      <x:c r="C261" s="2" t="str">
        <x:v>2023-06-30</x:v>
      </x:c>
      <x:c r="D261" s="2" t="str">
        <x:v>Two months</x:v>
      </x:c>
      <x:c r="E261" s="2" t="str">
        <x:v>2023-07-01</x:v>
      </x:c>
      <x:c r="F261" s="2" t="str">
        <x:v>2023-06-01</x:v>
      </x:c>
      <x:c r="G261" s="2" t="str">
        <x:v>Seasonal step</x:v>
      </x:c>
      <x:c r="H261" s="7" t="n">
        <x:v>189.3894666651704</x:v>
      </x:c>
      <x:c r="I261" s="7" t="n">
        <x:v>189.937</x:v>
      </x:c>
      <x:c r="J261" s="2" t="str">
        <x:v>2023-07-27</x:v>
      </x:c>
      <x:c r="K261" s="7" t="n">
        <x:f>100*(H261/I261-1)</x:f>
        <x:v>-0.288271023986697</x:v>
      </x:c>
      <x:c r="L261" s="7" t="n">
        <x:f>ABS(K261)</x:f>
        <x:v>0.288271023986697</x:v>
      </x:c>
      <x:c r="M261" s="2" t="str">
        <x:v>Calibration</x:v>
      </x:c>
    </x:row>
    <x:row r="262" ht="27" customHeight="1">
      <x:c r="A262" s="2"/>
      <x:c r="B262" s="2" t="str">
        <x:v>CUUR0000SEGB02</x:v>
      </x:c>
      <x:c r="C262" s="2" t="str">
        <x:v>2023-09-30</x:v>
      </x:c>
      <x:c r="D262" s="2" t="str">
        <x:v>Origin</x:v>
      </x:c>
      <x:c r="E262" s="2" t="str">
        <x:v>2023-07-01</x:v>
      </x:c>
      <x:c r="F262" s="2" t="str">
        <x:v>2023-07-01</x:v>
      </x:c>
      <x:c r="G262" s="2" t="str">
        <x:v>YoY carry</x:v>
      </x:c>
      <x:c r="H262" s="7" t="n">
        <x:v>190.62443030532992</x:v>
      </x:c>
      <x:c r="I262" s="7" t="n">
        <x:v>190.996</x:v>
      </x:c>
      <x:c r="J262" s="2" t="str">
        <x:v>2023-10-01</x:v>
      </x:c>
      <x:c r="K262" s="7" t="n">
        <x:f>100*(H262/I262-1)</x:f>
        <x:v>-0.19454318135986304</x:v>
      </x:c>
      <x:c r="L262" s="7" t="n">
        <x:f>ABS(K262)</x:f>
        <x:v>0.19454318135986304</x:v>
      </x:c>
      <x:c r="M262" s="2" t="str">
        <x:v>Calibration</x:v>
      </x:c>
    </x:row>
    <x:row r="263" ht="27" customHeight="1">
      <x:c r="A263" s="2"/>
      <x:c r="B263" s="2" t="str">
        <x:v>CUUR0000SEGB02</x:v>
      </x:c>
      <x:c r="C263" s="2" t="str">
        <x:v>2023-09-30</x:v>
      </x:c>
      <x:c r="D263" s="2" t="str">
        <x:v>Origin</x:v>
      </x:c>
      <x:c r="E263" s="2" t="str">
        <x:v>2023-07-01</x:v>
      </x:c>
      <x:c r="F263" s="2" t="str">
        <x:v>2023-08-01</x:v>
      </x:c>
      <x:c r="G263" s="2" t="str">
        <x:v>YoY carry</x:v>
      </x:c>
      <x:c r="H263" s="7" t="n">
        <x:v>195.05621555470637</x:v>
      </x:c>
      <x:c r="I263" s="7" t="n">
        <x:v>190.978</x:v>
      </x:c>
      <x:c r="J263" s="2" t="str">
        <x:v>2023-10-01</x:v>
      </x:c>
      <x:c r="K263" s="7" t="n">
        <x:f>100*(H263/I263-1)</x:f>
        <x:v>2.135437356505121</x:v>
      </x:c>
      <x:c r="L263" s="7" t="n">
        <x:f>ABS(K263)</x:f>
        <x:v>2.135437356505121</x:v>
      </x:c>
      <x:c r="M263" s="2" t="str">
        <x:v>Calibration</x:v>
      </x:c>
    </x:row>
    <x:row r="264" ht="27" customHeight="1">
      <x:c r="A264" s="2"/>
      <x:c r="B264" s="2" t="str">
        <x:v>CUUR0000SEGB02</x:v>
      </x:c>
      <x:c r="C264" s="2" t="str">
        <x:v>2023-09-30</x:v>
      </x:c>
      <x:c r="D264" s="2" t="str">
        <x:v>Origin</x:v>
      </x:c>
      <x:c r="E264" s="2" t="str">
        <x:v>2023-07-01</x:v>
      </x:c>
      <x:c r="F264" s="2" t="str">
        <x:v>2023-09-01</x:v>
      </x:c>
      <x:c r="G264" s="2" t="str">
        <x:v>YoY carry</x:v>
      </x:c>
      <x:c r="H264" s="7" t="n">
        <x:v>195.8551321291149</x:v>
      </x:c>
      <x:c r="I264" s="7" t="n">
        <x:v>192.057</x:v>
      </x:c>
      <x:c r="J264" s="2" t="str">
        <x:v>2023-10-17</x:v>
      </x:c>
      <x:c r="K264" s="7" t="n">
        <x:f>100*(H264/I264-1)</x:f>
        <x:v>1.9776067152537546</x:v>
      </x:c>
      <x:c r="L264" s="7" t="n">
        <x:f>ABS(K264)</x:f>
        <x:v>1.9776067152537546</x:v>
      </x:c>
      <x:c r="M264" s="2" t="str">
        <x:v>Calibration</x:v>
      </x:c>
    </x:row>
    <x:row r="265" ht="27" customHeight="1">
      <x:c r="A265" s="2"/>
      <x:c r="B265" s="2" t="str">
        <x:v>CUUR0000SEGB02</x:v>
      </x:c>
      <x:c r="C265" s="2" t="str">
        <x:v>2023-09-30</x:v>
      </x:c>
      <x:c r="D265" s="2" t="str">
        <x:v>Origin</x:v>
      </x:c>
      <x:c r="E265" s="2" t="str">
        <x:v>2023-07-01</x:v>
      </x:c>
      <x:c r="F265" s="2" t="str">
        <x:v>2023-07-01</x:v>
      </x:c>
      <x:c r="G265" s="2" t="str">
        <x:v>Flat level</x:v>
      </x:c>
      <x:c r="H265" s="7" t="n">
        <x:v>189.549</x:v>
      </x:c>
      <x:c r="I265" s="7" t="n">
        <x:v>190.996</x:v>
      </x:c>
      <x:c r="J265" s="2" t="str">
        <x:v>2023-10-01</x:v>
      </x:c>
      <x:c r="K265" s="7" t="n">
        <x:f>100*(H265/I265-1)</x:f>
        <x:v>-0.7576074891620821</x:v>
      </x:c>
      <x:c r="L265" s="7" t="n">
        <x:f>ABS(K265)</x:f>
        <x:v>0.7576074891620821</x:v>
      </x:c>
      <x:c r="M265" s="2" t="str">
        <x:v>Calibration</x:v>
      </x:c>
    </x:row>
    <x:row r="266" ht="27" customHeight="1">
      <x:c r="A266" s="2"/>
      <x:c r="B266" s="2" t="str">
        <x:v>CUUR0000SEGB02</x:v>
      </x:c>
      <x:c r="C266" s="2" t="str">
        <x:v>2023-09-30</x:v>
      </x:c>
      <x:c r="D266" s="2" t="str">
        <x:v>Origin</x:v>
      </x:c>
      <x:c r="E266" s="2" t="str">
        <x:v>2023-07-01</x:v>
      </x:c>
      <x:c r="F266" s="2" t="str">
        <x:v>2023-08-01</x:v>
      </x:c>
      <x:c r="G266" s="2" t="str">
        <x:v>Flat level</x:v>
      </x:c>
      <x:c r="H266" s="7" t="n">
        <x:v>189.549</x:v>
      </x:c>
      <x:c r="I266" s="7" t="n">
        <x:v>190.978</x:v>
      </x:c>
      <x:c r="J266" s="2" t="str">
        <x:v>2023-10-01</x:v>
      </x:c>
      <x:c r="K266" s="7" t="n">
        <x:f>100*(H266/I266-1)</x:f>
        <x:v>-0.7482537255600108</x:v>
      </x:c>
      <x:c r="L266" s="7" t="n">
        <x:f>ABS(K266)</x:f>
        <x:v>0.7482537255600108</x:v>
      </x:c>
      <x:c r="M266" s="2" t="str">
        <x:v>Calibration</x:v>
      </x:c>
    </x:row>
    <x:row r="267" ht="27" customHeight="1">
      <x:c r="A267" s="2"/>
      <x:c r="B267" s="2" t="str">
        <x:v>CUUR0000SEGB02</x:v>
      </x:c>
      <x:c r="C267" s="2" t="str">
        <x:v>2023-09-30</x:v>
      </x:c>
      <x:c r="D267" s="2" t="str">
        <x:v>Origin</x:v>
      </x:c>
      <x:c r="E267" s="2" t="str">
        <x:v>2023-07-01</x:v>
      </x:c>
      <x:c r="F267" s="2" t="str">
        <x:v>2023-09-01</x:v>
      </x:c>
      <x:c r="G267" s="2" t="str">
        <x:v>Flat level</x:v>
      </x:c>
      <x:c r="H267" s="7" t="n">
        <x:v>189.549</x:v>
      </x:c>
      <x:c r="I267" s="7" t="n">
        <x:v>192.057</x:v>
      </x:c>
      <x:c r="J267" s="2" t="str">
        <x:v>2023-10-17</x:v>
      </x:c>
      <x:c r="K267" s="7" t="n">
        <x:f>100*(H267/I267-1)</x:f>
        <x:v>-1.305862322123108</x:v>
      </x:c>
      <x:c r="L267" s="7" t="n">
        <x:f>ABS(K267)</x:f>
        <x:v>1.305862322123108</x:v>
      </x:c>
      <x:c r="M267" s="2" t="str">
        <x:v>Calibration</x:v>
      </x:c>
    </x:row>
    <x:row r="268" ht="27" customHeight="1">
      <x:c r="A268" s="2"/>
      <x:c r="B268" s="2" t="str">
        <x:v>CUUR0000SEGB02</x:v>
      </x:c>
      <x:c r="C268" s="2" t="str">
        <x:v>2023-09-30</x:v>
      </x:c>
      <x:c r="D268" s="2" t="str">
        <x:v>Origin</x:v>
      </x:c>
      <x:c r="E268" s="2" t="str">
        <x:v>2023-07-01</x:v>
      </x:c>
      <x:c r="F268" s="2" t="str">
        <x:v>2023-07-01</x:v>
      </x:c>
      <x:c r="G268" s="2" t="str">
        <x:v>Recent trend</x:v>
      </x:c>
      <x:c r="H268" s="7" t="n">
        <x:v>190.94000000000003</x:v>
      </x:c>
      <x:c r="I268" s="7" t="n">
        <x:v>190.996</x:v>
      </x:c>
      <x:c r="J268" s="2" t="str">
        <x:v>2023-10-01</x:v>
      </x:c>
      <x:c r="K268" s="7" t="n">
        <x:f>100*(H268/I268-1)</x:f>
        <x:v>-0.029319985758857747</x:v>
      </x:c>
      <x:c r="L268" s="7" t="n">
        <x:f>ABS(K268)</x:f>
        <x:v>0.029319985758857747</x:v>
      </x:c>
      <x:c r="M268" s="2" t="str">
        <x:v>Calibration</x:v>
      </x:c>
    </x:row>
    <x:row r="269" ht="27" customHeight="1">
      <x:c r="A269" s="2"/>
      <x:c r="B269" s="2" t="str">
        <x:v>CUUR0000SEGB02</x:v>
      </x:c>
      <x:c r="C269" s="2" t="str">
        <x:v>2023-09-30</x:v>
      </x:c>
      <x:c r="D269" s="2" t="str">
        <x:v>Origin</x:v>
      </x:c>
      <x:c r="E269" s="2" t="str">
        <x:v>2023-07-01</x:v>
      </x:c>
      <x:c r="F269" s="2" t="str">
        <x:v>2023-08-01</x:v>
      </x:c>
      <x:c r="G269" s="2" t="str">
        <x:v>Recent trend</x:v>
      </x:c>
      <x:c r="H269" s="7" t="n">
        <x:v>191.63550000000004</x:v>
      </x:c>
      <x:c r="I269" s="7" t="n">
        <x:v>190.978</x:v>
      </x:c>
      <x:c r="J269" s="2" t="str">
        <x:v>2023-10-01</x:v>
      </x:c>
      <x:c r="K269" s="7" t="n">
        <x:f>100*(H269/I269-1)</x:f>
        <x:v>0.34428049304109365</x:v>
      </x:c>
      <x:c r="L269" s="7" t="n">
        <x:f>ABS(K269)</x:f>
        <x:v>0.34428049304109365</x:v>
      </x:c>
      <x:c r="M269" s="2" t="str">
        <x:v>Calibration</x:v>
      </x:c>
    </x:row>
    <x:row r="270" ht="27" customHeight="1">
      <x:c r="A270" s="2"/>
      <x:c r="B270" s="2" t="str">
        <x:v>CUUR0000SEGB02</x:v>
      </x:c>
      <x:c r="C270" s="2" t="str">
        <x:v>2023-09-30</x:v>
      </x:c>
      <x:c r="D270" s="2" t="str">
        <x:v>Origin</x:v>
      </x:c>
      <x:c r="E270" s="2" t="str">
        <x:v>2023-07-01</x:v>
      </x:c>
      <x:c r="F270" s="2" t="str">
        <x:v>2023-09-01</x:v>
      </x:c>
      <x:c r="G270" s="2" t="str">
        <x:v>Recent trend</x:v>
      </x:c>
      <x:c r="H270" s="7" t="n">
        <x:v>192.33100000000005</x:v>
      </x:c>
      <x:c r="I270" s="7" t="n">
        <x:v>192.057</x:v>
      </x:c>
      <x:c r="J270" s="2" t="str">
        <x:v>2023-10-17</x:v>
      </x:c>
      <x:c r="K270" s="7" t="n">
        <x:f>100*(H270/I270-1)</x:f>
        <x:v>0.14266597937073744</x:v>
      </x:c>
      <x:c r="L270" s="7" t="n">
        <x:f>ABS(K270)</x:f>
        <x:v>0.14266597937073744</x:v>
      </x:c>
      <x:c r="M270" s="2" t="str">
        <x:v>Calibration</x:v>
      </x:c>
    </x:row>
    <x:row r="271" ht="27" customHeight="1">
      <x:c r="A271" s="2"/>
      <x:c r="B271" s="2" t="str">
        <x:v>CUUR0000SEGB02</x:v>
      </x:c>
      <x:c r="C271" s="2" t="str">
        <x:v>2023-09-30</x:v>
      </x:c>
      <x:c r="D271" s="2" t="str">
        <x:v>Origin</x:v>
      </x:c>
      <x:c r="E271" s="2" t="str">
        <x:v>2023-07-01</x:v>
      </x:c>
      <x:c r="F271" s="2" t="str">
        <x:v>2023-07-01</x:v>
      </x:c>
      <x:c r="G271" s="2" t="str">
        <x:v>Seasonal step</x:v>
      </x:c>
      <x:c r="H271" s="7" t="n">
        <x:v>190.39571695603934</x:v>
      </x:c>
      <x:c r="I271" s="7" t="n">
        <x:v>190.996</x:v>
      </x:c>
      <x:c r="J271" s="2" t="str">
        <x:v>2023-10-01</x:v>
      </x:c>
      <x:c r="K271" s="7" t="n">
        <x:f>100*(H271/I271-1)</x:f>
        <x:v>-0.31429089821811695</x:v>
      </x:c>
      <x:c r="L271" s="7" t="n">
        <x:f>ABS(K271)</x:f>
        <x:v>0.31429089821811695</x:v>
      </x:c>
      <x:c r="M271" s="2" t="str">
        <x:v>Calibration</x:v>
      </x:c>
    </x:row>
    <x:row r="272" ht="27" customHeight="1">
      <x:c r="A272" s="2"/>
      <x:c r="B272" s="2" t="str">
        <x:v>CUUR0000SEGB02</x:v>
      </x:c>
      <x:c r="C272" s="2" t="str">
        <x:v>2023-09-30</x:v>
      </x:c>
      <x:c r="D272" s="2" t="str">
        <x:v>Origin</x:v>
      </x:c>
      <x:c r="E272" s="2" t="str">
        <x:v>2023-07-01</x:v>
      </x:c>
      <x:c r="F272" s="2" t="str">
        <x:v>2023-08-01</x:v>
      </x:c>
      <x:c r="G272" s="2" t="str">
        <x:v>Seasonal step</x:v>
      </x:c>
      <x:c r="H272" s="7" t="n">
        <x:v>192.93386549230488</x:v>
      </x:c>
      <x:c r="I272" s="7" t="n">
        <x:v>190.978</x:v>
      </x:c>
      <x:c r="J272" s="2" t="str">
        <x:v>2023-10-01</x:v>
      </x:c>
      <x:c r="K272" s="7" t="n">
        <x:f>100*(H272/I272-1)</x:f>
        <x:v>1.0241313095251003</x:v>
      </x:c>
      <x:c r="L272" s="7" t="n">
        <x:f>ABS(K272)</x:f>
        <x:v>1.0241313095251003</x:v>
      </x:c>
      <x:c r="M272" s="2" t="str">
        <x:v>Calibration</x:v>
      </x:c>
    </x:row>
    <x:row r="273" ht="27" customHeight="1">
      <x:c r="A273" s="2"/>
      <x:c r="B273" s="2" t="str">
        <x:v>CUUR0000SEGB02</x:v>
      </x:c>
      <x:c r="C273" s="2" t="str">
        <x:v>2023-09-30</x:v>
      </x:c>
      <x:c r="D273" s="2" t="str">
        <x:v>Origin</x:v>
      </x:c>
      <x:c r="E273" s="2" t="str">
        <x:v>2023-07-01</x:v>
      </x:c>
      <x:c r="F273" s="2" t="str">
        <x:v>2023-09-01</x:v>
      </x:c>
      <x:c r="G273" s="2" t="str">
        <x:v>Seasonal step</x:v>
      </x:c>
      <x:c r="H273" s="7" t="n">
        <x:v>193.11107126495176</x:v>
      </x:c>
      <x:c r="I273" s="7" t="n">
        <x:v>192.057</x:v>
      </x:c>
      <x:c r="J273" s="2" t="str">
        <x:v>2023-10-17</x:v>
      </x:c>
      <x:c r="K273" s="7" t="n">
        <x:f>100*(H273/I273-1)</x:f>
        <x:v>0.5488325158425678</x:v>
      </x:c>
      <x:c r="L273" s="7" t="n">
        <x:f>ABS(K273)</x:f>
        <x:v>0.5488325158425678</x:v>
      </x:c>
      <x:c r="M273" s="2" t="str">
        <x:v>Calibration</x:v>
      </x:c>
    </x:row>
    <x:row r="274" ht="27" customHeight="1">
      <x:c r="A274" s="2"/>
      <x:c r="B274" s="2" t="str">
        <x:v>CUUR0000SEGB02</x:v>
      </x:c>
      <x:c r="C274" s="2" t="str">
        <x:v>2023-09-30</x:v>
      </x:c>
      <x:c r="D274" s="2" t="str">
        <x:v>Two months</x:v>
      </x:c>
      <x:c r="E274" s="2" t="str">
        <x:v>2023-10-01</x:v>
      </x:c>
      <x:c r="F274" s="2" t="str">
        <x:v>2023-09-01</x:v>
      </x:c>
      <x:c r="G274" s="2" t="str">
        <x:v>YoY carry</x:v>
      </x:c>
      <x:c r="H274" s="7" t="n">
        <x:v>194.8791284854796</x:v>
      </x:c>
      <x:c r="I274" s="7" t="n">
        <x:v>192.057</x:v>
      </x:c>
      <x:c r="J274" s="2" t="str">
        <x:v>2023-10-17</x:v>
      </x:c>
      <x:c r="K274" s="7" t="n">
        <x:f>100*(H274/I274-1)</x:f>
        <x:v>1.4694223514267302</x:v>
      </x:c>
      <x:c r="L274" s="7" t="n">
        <x:f>ABS(K274)</x:f>
        <x:v>1.4694223514267302</x:v>
      </x:c>
      <x:c r="M274" s="2" t="str">
        <x:v>Calibration</x:v>
      </x:c>
    </x:row>
    <x:row r="275" ht="27" customHeight="1">
      <x:c r="A275" s="2"/>
      <x:c r="B275" s="2" t="str">
        <x:v>CUUR0000SEGB02</x:v>
      </x:c>
      <x:c r="C275" s="2" t="str">
        <x:v>2023-09-30</x:v>
      </x:c>
      <x:c r="D275" s="2" t="str">
        <x:v>Two months</x:v>
      </x:c>
      <x:c r="E275" s="2" t="str">
        <x:v>2023-10-01</x:v>
      </x:c>
      <x:c r="F275" s="2" t="str">
        <x:v>2023-09-01</x:v>
      </x:c>
      <x:c r="G275" s="2" t="str">
        <x:v>Flat level</x:v>
      </x:c>
      <x:c r="H275" s="7" t="n">
        <x:v>190.978</x:v>
      </x:c>
      <x:c r="I275" s="7" t="n">
        <x:v>192.057</x:v>
      </x:c>
      <x:c r="J275" s="2" t="str">
        <x:v>2023-10-17</x:v>
      </x:c>
      <x:c r="K275" s="7" t="n">
        <x:f>100*(H275/I275-1)</x:f>
        <x:v>-0.561812378616755</x:v>
      </x:c>
      <x:c r="L275" s="7" t="n">
        <x:f>ABS(K275)</x:f>
        <x:v>0.561812378616755</x:v>
      </x:c>
      <x:c r="M275" s="2" t="str">
        <x:v>Calibration</x:v>
      </x:c>
    </x:row>
    <x:row r="276" ht="27" customHeight="1">
      <x:c r="A276" s="2"/>
      <x:c r="B276" s="2" t="str">
        <x:v>CUUR0000SEGB02</x:v>
      </x:c>
      <x:c r="C276" s="2" t="str">
        <x:v>2023-09-30</x:v>
      </x:c>
      <x:c r="D276" s="2" t="str">
        <x:v>Two months</x:v>
      </x:c>
      <x:c r="E276" s="2" t="str">
        <x:v>2023-10-01</x:v>
      </x:c>
      <x:c r="F276" s="2" t="str">
        <x:v>2023-09-01</x:v>
      </x:c>
      <x:c r="G276" s="2" t="str">
        <x:v>Recent trend</x:v>
      </x:c>
      <x:c r="H276" s="7" t="n">
        <x:v>191.4985</x:v>
      </x:c>
      <x:c r="I276" s="7" t="n">
        <x:v>192.057</x:v>
      </x:c>
      <x:c r="J276" s="2" t="str">
        <x:v>2023-10-17</x:v>
      </x:c>
      <x:c r="K276" s="7" t="n">
        <x:f>100*(H276/I276-1)</x:f>
        <x:v>-0.2907990856880982</x:v>
      </x:c>
      <x:c r="L276" s="7" t="n">
        <x:f>ABS(K276)</x:f>
        <x:v>0.2907990856880982</x:v>
      </x:c>
      <x:c r="M276" s="2" t="str">
        <x:v>Calibration</x:v>
      </x:c>
    </x:row>
    <x:row r="277" ht="27" customHeight="1">
      <x:c r="A277" s="2"/>
      <x:c r="B277" s="2" t="str">
        <x:v>CUUR0000SEGB02</x:v>
      </x:c>
      <x:c r="C277" s="2" t="str">
        <x:v>2023-09-30</x:v>
      </x:c>
      <x:c r="D277" s="2" t="str">
        <x:v>Two months</x:v>
      </x:c>
      <x:c r="E277" s="2" t="str">
        <x:v>2023-10-01</x:v>
      </x:c>
      <x:c r="F277" s="2" t="str">
        <x:v>2023-09-01</x:v>
      </x:c>
      <x:c r="G277" s="2" t="str">
        <x:v>Seasonal step</x:v>
      </x:c>
      <x:c r="H277" s="7" t="n">
        <x:v>191.1534093505679</x:v>
      </x:c>
      <x:c r="I277" s="7" t="n">
        <x:v>192.057</x:v>
      </x:c>
      <x:c r="J277" s="2" t="str">
        <x:v>2023-10-17</x:v>
      </x:c>
      <x:c r="K277" s="7" t="n">
        <x:f>100*(H277/I277-1)</x:f>
        <x:v>-0.4704804560271669</x:v>
      </x:c>
      <x:c r="L277" s="7" t="n">
        <x:f>ABS(K277)</x:f>
        <x:v>0.4704804560271669</x:v>
      </x:c>
      <x:c r="M277" s="2" t="str">
        <x:v>Calibration</x:v>
      </x:c>
    </x:row>
    <x:row r="278" ht="27" customHeight="1">
      <x:c r="A278" s="2"/>
      <x:c r="B278" s="2" t="str">
        <x:v>CUUR0000SEGB02</x:v>
      </x:c>
      <x:c r="C278" s="2" t="str">
        <x:v>2023-12-31</x:v>
      </x:c>
      <x:c r="D278" s="2" t="str">
        <x:v>Origin</x:v>
      </x:c>
      <x:c r="E278" s="2" t="str">
        <x:v>2023-10-01</x:v>
      </x:c>
      <x:c r="F278" s="2" t="str">
        <x:v>2023-10-01</x:v>
      </x:c>
      <x:c r="G278" s="2" t="str">
        <x:v>YoY carry</x:v>
      </x:c>
      <x:c r="H278" s="7" t="n">
        <x:v>194.88538781885353</x:v>
      </x:c>
      <x:c r="I278" s="7" t="n">
        <x:v>193.472</x:v>
      </x:c>
      <x:c r="J278" s="2" t="str">
        <x:v>2024-01-01</x:v>
      </x:c>
      <x:c r="K278" s="7" t="n">
        <x:f>100*(H278/I278-1)</x:f>
        <x:v>0.7305386923448953</x:v>
      </x:c>
      <x:c r="L278" s="7" t="n">
        <x:f>ABS(K278)</x:f>
        <x:v>0.7305386923448953</x:v>
      </x:c>
      <x:c r="M278" s="2" t="str">
        <x:v>Calibration</x:v>
      </x:c>
    </x:row>
    <x:row r="279" ht="27" customHeight="1">
      <x:c r="A279" s="2"/>
      <x:c r="B279" s="2" t="str">
        <x:v>CUUR0000SEGB02</x:v>
      </x:c>
      <x:c r="C279" s="2" t="str">
        <x:v>2023-12-31</x:v>
      </x:c>
      <x:c r="D279" s="2" t="str">
        <x:v>Origin</x:v>
      </x:c>
      <x:c r="E279" s="2" t="str">
        <x:v>2023-10-01</x:v>
      </x:c>
      <x:c r="F279" s="2" t="str">
        <x:v>2023-11-01</x:v>
      </x:c>
      <x:c r="G279" s="2" t="str">
        <x:v>YoY carry</x:v>
      </x:c>
      <x:c r="H279" s="7" t="n">
        <x:v>194.58598303913493</x:v>
      </x:c>
      <x:c r="I279" s="7" t="n">
        <x:v>191.709</x:v>
      </x:c>
      <x:c r="J279" s="2" t="str">
        <x:v>2024-01-01</x:v>
      </x:c>
      <x:c r="K279" s="7" t="n">
        <x:f>100*(H279/I279-1)</x:f>
        <x:v>1.500703169457318</x:v>
      </x:c>
      <x:c r="L279" s="7" t="n">
        <x:f>ABS(K279)</x:f>
        <x:v>1.500703169457318</x:v>
      </x:c>
      <x:c r="M279" s="2" t="str">
        <x:v>Calibration</x:v>
      </x:c>
    </x:row>
    <x:row r="280" ht="27" customHeight="1">
      <x:c r="A280" s="2"/>
      <x:c r="B280" s="2" t="str">
        <x:v>CUUR0000SEGB02</x:v>
      </x:c>
      <x:c r="C280" s="2" t="str">
        <x:v>2023-12-31</x:v>
      </x:c>
      <x:c r="D280" s="2" t="str">
        <x:v>Origin</x:v>
      </x:c>
      <x:c r="E280" s="2" t="str">
        <x:v>2023-10-01</x:v>
      </x:c>
      <x:c r="F280" s="2" t="str">
        <x:v>2023-12-01</x:v>
      </x:c>
      <x:c r="G280" s="2" t="str">
        <x:v>YoY carry</x:v>
      </x:c>
      <x:c r="H280" s="7" t="n">
        <x:v>193.06809469596223</x:v>
      </x:c>
      <x:c r="I280" s="7" t="n">
        <x:v>187.349</x:v>
      </x:c>
      <x:c r="J280" s="2" t="str">
        <x:v>2024-01-22</x:v>
      </x:c>
      <x:c r="K280" s="7" t="n">
        <x:f>100*(H280/I280-1)</x:f>
        <x:v>3.052642232391012</x:v>
      </x:c>
      <x:c r="L280" s="7" t="n">
        <x:f>ABS(K280)</x:f>
        <x:v>3.052642232391012</x:v>
      </x:c>
      <x:c r="M280" s="2" t="str">
        <x:v>Calibration</x:v>
      </x:c>
    </x:row>
    <x:row r="281" ht="27" customHeight="1">
      <x:c r="A281" s="2"/>
      <x:c r="B281" s="2" t="str">
        <x:v>CUUR0000SEGB02</x:v>
      </x:c>
      <x:c r="C281" s="2" t="str">
        <x:v>2023-12-31</x:v>
      </x:c>
      <x:c r="D281" s="2" t="str">
        <x:v>Origin</x:v>
      </x:c>
      <x:c r="E281" s="2" t="str">
        <x:v>2023-10-01</x:v>
      </x:c>
      <x:c r="F281" s="2" t="str">
        <x:v>2023-10-01</x:v>
      </x:c>
      <x:c r="G281" s="2" t="str">
        <x:v>Flat level</x:v>
      </x:c>
      <x:c r="H281" s="7" t="n">
        <x:v>190.978</x:v>
      </x:c>
      <x:c r="I281" s="7" t="n">
        <x:v>193.472</x:v>
      </x:c>
      <x:c r="J281" s="2" t="str">
        <x:v>2024-01-01</x:v>
      </x:c>
      <x:c r="K281" s="7" t="n">
        <x:f>100*(H281/I281-1)</x:f>
        <x:v>-1.2890754217664613</x:v>
      </x:c>
      <x:c r="L281" s="7" t="n">
        <x:f>ABS(K281)</x:f>
        <x:v>1.2890754217664613</x:v>
      </x:c>
      <x:c r="M281" s="2" t="str">
        <x:v>Calibration</x:v>
      </x:c>
    </x:row>
    <x:row r="282" ht="27" customHeight="1">
      <x:c r="A282" s="2"/>
      <x:c r="B282" s="2" t="str">
        <x:v>CUUR0000SEGB02</x:v>
      </x:c>
      <x:c r="C282" s="2" t="str">
        <x:v>2023-12-31</x:v>
      </x:c>
      <x:c r="D282" s="2" t="str">
        <x:v>Origin</x:v>
      </x:c>
      <x:c r="E282" s="2" t="str">
        <x:v>2023-10-01</x:v>
      </x:c>
      <x:c r="F282" s="2" t="str">
        <x:v>2023-11-01</x:v>
      </x:c>
      <x:c r="G282" s="2" t="str">
        <x:v>Flat level</x:v>
      </x:c>
      <x:c r="H282" s="7" t="n">
        <x:v>190.978</x:v>
      </x:c>
      <x:c r="I282" s="7" t="n">
        <x:v>191.709</x:v>
      </x:c>
      <x:c r="J282" s="2" t="str">
        <x:v>2024-01-01</x:v>
      </x:c>
      <x:c r="K282" s="7" t="n">
        <x:f>100*(H282/I282-1)</x:f>
        <x:v>-0.38130708521769696</x:v>
      </x:c>
      <x:c r="L282" s="7" t="n">
        <x:f>ABS(K282)</x:f>
        <x:v>0.38130708521769696</x:v>
      </x:c>
      <x:c r="M282" s="2" t="str">
        <x:v>Calibration</x:v>
      </x:c>
    </x:row>
    <x:row r="283" ht="27" customHeight="1">
      <x:c r="A283" s="2"/>
      <x:c r="B283" s="2" t="str">
        <x:v>CUUR0000SEGB02</x:v>
      </x:c>
      <x:c r="C283" s="2" t="str">
        <x:v>2023-12-31</x:v>
      </x:c>
      <x:c r="D283" s="2" t="str">
        <x:v>Origin</x:v>
      </x:c>
      <x:c r="E283" s="2" t="str">
        <x:v>2023-10-01</x:v>
      </x:c>
      <x:c r="F283" s="2" t="str">
        <x:v>2023-12-01</x:v>
      </x:c>
      <x:c r="G283" s="2" t="str">
        <x:v>Flat level</x:v>
      </x:c>
      <x:c r="H283" s="7" t="n">
        <x:v>190.978</x:v>
      </x:c>
      <x:c r="I283" s="7" t="n">
        <x:v>187.349</x:v>
      </x:c>
      <x:c r="J283" s="2" t="str">
        <x:v>2024-01-22</x:v>
      </x:c>
      <x:c r="K283" s="7" t="n">
        <x:f>100*(H283/I283-1)</x:f>
        <x:v>1.9370266187703322</x:v>
      </x:c>
      <x:c r="L283" s="7" t="n">
        <x:f>ABS(K283)</x:f>
        <x:v>1.9370266187703322</x:v>
      </x:c>
      <x:c r="M283" s="2" t="str">
        <x:v>Calibration</x:v>
      </x:c>
    </x:row>
    <x:row r="284" ht="27" customHeight="1">
      <x:c r="A284" s="2"/>
      <x:c r="B284" s="2" t="str">
        <x:v>CUUR0000SEGB02</x:v>
      </x:c>
      <x:c r="C284" s="2" t="str">
        <x:v>2023-12-31</x:v>
      </x:c>
      <x:c r="D284" s="2" t="str">
        <x:v>Origin</x:v>
      </x:c>
      <x:c r="E284" s="2" t="str">
        <x:v>2023-10-01</x:v>
      </x:c>
      <x:c r="F284" s="2" t="str">
        <x:v>2023-10-01</x:v>
      </x:c>
      <x:c r="G284" s="2" t="str">
        <x:v>Recent trend</x:v>
      </x:c>
      <x:c r="H284" s="7" t="n">
        <x:v>192.019</x:v>
      </x:c>
      <x:c r="I284" s="7" t="n">
        <x:v>193.472</x:v>
      </x:c>
      <x:c r="J284" s="2" t="str">
        <x:v>2024-01-01</x:v>
      </x:c>
      <x:c r="K284" s="7" t="n">
        <x:f>100*(H284/I284-1)</x:f>
        <x:v>-0.751013066490247</x:v>
      </x:c>
      <x:c r="L284" s="7" t="n">
        <x:f>ABS(K284)</x:f>
        <x:v>0.751013066490247</x:v>
      </x:c>
      <x:c r="M284" s="2" t="str">
        <x:v>Calibration</x:v>
      </x:c>
    </x:row>
    <x:row r="285" ht="27" customHeight="1">
      <x:c r="A285" s="2"/>
      <x:c r="B285" s="2" t="str">
        <x:v>CUUR0000SEGB02</x:v>
      </x:c>
      <x:c r="C285" s="2" t="str">
        <x:v>2023-12-31</x:v>
      </x:c>
      <x:c r="D285" s="2" t="str">
        <x:v>Origin</x:v>
      </x:c>
      <x:c r="E285" s="2" t="str">
        <x:v>2023-10-01</x:v>
      </x:c>
      <x:c r="F285" s="2" t="str">
        <x:v>2023-11-01</x:v>
      </x:c>
      <x:c r="G285" s="2" t="str">
        <x:v>Recent trend</x:v>
      </x:c>
      <x:c r="H285" s="7" t="n">
        <x:v>192.5395</x:v>
      </x:c>
      <x:c r="I285" s="7" t="n">
        <x:v>191.709</x:v>
      </x:c>
      <x:c r="J285" s="2" t="str">
        <x:v>2024-01-01</x:v>
      </x:c>
      <x:c r="K285" s="7" t="n">
        <x:f>100*(H285/I285-1)</x:f>
        <x:v>0.43320866521654455</x:v>
      </x:c>
      <x:c r="L285" s="7" t="n">
        <x:f>ABS(K285)</x:f>
        <x:v>0.43320866521654455</x:v>
      </x:c>
      <x:c r="M285" s="2" t="str">
        <x:v>Calibration</x:v>
      </x:c>
    </x:row>
    <x:row r="286" ht="27" customHeight="1">
      <x:c r="A286" s="2"/>
      <x:c r="B286" s="2" t="str">
        <x:v>CUUR0000SEGB02</x:v>
      </x:c>
      <x:c r="C286" s="2" t="str">
        <x:v>2023-12-31</x:v>
      </x:c>
      <x:c r="D286" s="2" t="str">
        <x:v>Origin</x:v>
      </x:c>
      <x:c r="E286" s="2" t="str">
        <x:v>2023-10-01</x:v>
      </x:c>
      <x:c r="F286" s="2" t="str">
        <x:v>2023-12-01</x:v>
      </x:c>
      <x:c r="G286" s="2" t="str">
        <x:v>Recent trend</x:v>
      </x:c>
      <x:c r="H286" s="7" t="n">
        <x:v>193.06</x:v>
      </x:c>
      <x:c r="I286" s="7" t="n">
        <x:v>187.349</x:v>
      </x:c>
      <x:c r="J286" s="2" t="str">
        <x:v>2024-01-22</x:v>
      </x:c>
      <x:c r="K286" s="7" t="n">
        <x:f>100*(H286/I286-1)</x:f>
        <x:v>3.0483215816470954</x:v>
      </x:c>
      <x:c r="L286" s="7" t="n">
        <x:f>ABS(K286)</x:f>
        <x:v>3.0483215816470954</x:v>
      </x:c>
      <x:c r="M286" s="2" t="str">
        <x:v>Calibration</x:v>
      </x:c>
    </x:row>
    <x:row r="287" ht="27" customHeight="1">
      <x:c r="A287" s="2"/>
      <x:c r="B287" s="2" t="str">
        <x:v>CUUR0000SEGB02</x:v>
      </x:c>
      <x:c r="C287" s="2" t="str">
        <x:v>2023-12-31</x:v>
      </x:c>
      <x:c r="D287" s="2" t="str">
        <x:v>Origin</x:v>
      </x:c>
      <x:c r="E287" s="2" t="str">
        <x:v>2023-10-01</x:v>
      </x:c>
      <x:c r="F287" s="2" t="str">
        <x:v>2023-10-01</x:v>
      </x:c>
      <x:c r="G287" s="2" t="str">
        <x:v>Seasonal step</x:v>
      </x:c>
      <x:c r="H287" s="7" t="n">
        <x:v>191.15954901736535</x:v>
      </x:c>
      <x:c r="I287" s="7" t="n">
        <x:v>193.472</x:v>
      </x:c>
      <x:c r="J287" s="2" t="str">
        <x:v>2024-01-01</x:v>
      </x:c>
      <x:c r="K287" s="7" t="n">
        <x:f>100*(H287/I287-1)</x:f>
        <x:v>-1.1952380616495728</x:v>
      </x:c>
      <x:c r="L287" s="7" t="n">
        <x:f>ABS(K287)</x:f>
        <x:v>1.1952380616495728</x:v>
      </x:c>
      <x:c r="M287" s="2" t="str">
        <x:v>Calibration</x:v>
      </x:c>
    </x:row>
    <x:row r="288" ht="27" customHeight="1">
      <x:c r="A288" s="2"/>
      <x:c r="B288" s="2" t="str">
        <x:v>CUUR0000SEGB02</x:v>
      </x:c>
      <x:c r="C288" s="2" t="str">
        <x:v>2023-12-31</x:v>
      </x:c>
      <x:c r="D288" s="2" t="str">
        <x:v>Origin</x:v>
      </x:c>
      <x:c r="E288" s="2" t="str">
        <x:v>2023-10-01</x:v>
      </x:c>
      <x:c r="F288" s="2" t="str">
        <x:v>2023-11-01</x:v>
      </x:c>
      <x:c r="G288" s="2" t="str">
        <x:v>Seasonal step</x:v>
      </x:c>
      <x:c r="H288" s="7" t="n">
        <x:v>190.86586828888585</x:v>
      </x:c>
      <x:c r="I288" s="7" t="n">
        <x:v>191.709</x:v>
      </x:c>
      <x:c r="J288" s="2" t="str">
        <x:v>2024-01-01</x:v>
      </x:c>
      <x:c r="K288" s="7" t="n">
        <x:f>100*(H288/I288-1)</x:f>
        <x:v>-0.439797667879005</x:v>
      </x:c>
      <x:c r="L288" s="7" t="n">
        <x:f>ABS(K288)</x:f>
        <x:v>0.439797667879005</x:v>
      </x:c>
      <x:c r="M288" s="2" t="str">
        <x:v>Calibration</x:v>
      </x:c>
    </x:row>
    <x:row r="289" ht="27" customHeight="1">
      <x:c r="A289" s="2"/>
      <x:c r="B289" s="2" t="str">
        <x:v>CUUR0000SEGB02</x:v>
      </x:c>
      <x:c r="C289" s="2" t="str">
        <x:v>2023-12-31</x:v>
      </x:c>
      <x:c r="D289" s="2" t="str">
        <x:v>Origin</x:v>
      </x:c>
      <x:c r="E289" s="2" t="str">
        <x:v>2023-10-01</x:v>
      </x:c>
      <x:c r="F289" s="2" t="str">
        <x:v>2023-12-01</x:v>
      </x:c>
      <x:c r="G289" s="2" t="str">
        <x:v>Seasonal step</x:v>
      </x:c>
      <x:c r="H289" s="7" t="n">
        <x:v>190.07319115843836</x:v>
      </x:c>
      <x:c r="I289" s="7" t="n">
        <x:v>187.349</x:v>
      </x:c>
      <x:c r="J289" s="2" t="str">
        <x:v>2024-01-22</x:v>
      </x:c>
      <x:c r="K289" s="7" t="n">
        <x:f>100*(H289/I289-1)</x:f>
        <x:v>1.4540729645946104</x:v>
      </x:c>
      <x:c r="L289" s="7" t="n">
        <x:f>ABS(K289)</x:f>
        <x:v>1.4540729645946104</x:v>
      </x:c>
      <x:c r="M289" s="2" t="str">
        <x:v>Calibration</x:v>
      </x:c>
    </x:row>
    <x:row r="290" ht="27" customHeight="1">
      <x:c r="A290" s="2"/>
      <x:c r="B290" s="2" t="str">
        <x:v>CUUR0000SEGB02</x:v>
      </x:c>
      <x:c r="C290" s="2" t="str">
        <x:v>2023-12-31</x:v>
      </x:c>
      <x:c r="D290" s="2" t="str">
        <x:v>Two months</x:v>
      </x:c>
      <x:c r="E290" s="2" t="str">
        <x:v>2024-01-01</x:v>
      </x:c>
      <x:c r="F290" s="2" t="str">
        <x:v>2023-12-01</x:v>
      </x:c>
      <x:c r="G290" s="2" t="str">
        <x:v>YoY carry</x:v>
      </x:c>
      <x:c r="H290" s="7" t="n">
        <x:v>190.7178776858509</x:v>
      </x:c>
      <x:c r="I290" s="7" t="n">
        <x:v>187.349</x:v>
      </x:c>
      <x:c r="J290" s="2" t="str">
        <x:v>2024-01-22</x:v>
      </x:c>
      <x:c r="K290" s="7" t="n">
        <x:f>100*(H290/I290-1)</x:f>
        <x:v>1.7981829024179108</x:v>
      </x:c>
      <x:c r="L290" s="7" t="n">
        <x:f>ABS(K290)</x:f>
        <x:v>1.7981829024179108</x:v>
      </x:c>
      <x:c r="M290" s="2" t="str">
        <x:v>Calibration</x:v>
      </x:c>
    </x:row>
    <x:row r="291" ht="27" customHeight="1">
      <x:c r="A291" s="2"/>
      <x:c r="B291" s="2" t="str">
        <x:v>CUUR0000SEGB02</x:v>
      </x:c>
      <x:c r="C291" s="2" t="str">
        <x:v>2023-12-31</x:v>
      </x:c>
      <x:c r="D291" s="2" t="str">
        <x:v>Two months</x:v>
      </x:c>
      <x:c r="E291" s="2" t="str">
        <x:v>2024-01-01</x:v>
      </x:c>
      <x:c r="F291" s="2" t="str">
        <x:v>2023-12-01</x:v>
      </x:c>
      <x:c r="G291" s="2" t="str">
        <x:v>Flat level</x:v>
      </x:c>
      <x:c r="H291" s="7" t="n">
        <x:v>191.709</x:v>
      </x:c>
      <x:c r="I291" s="7" t="n">
        <x:v>187.349</x:v>
      </x:c>
      <x:c r="J291" s="2" t="str">
        <x:v>2024-01-22</x:v>
      </x:c>
      <x:c r="K291" s="7" t="n">
        <x:f>100*(H291/I291-1)</x:f>
        <x:v>2.3272075111156365</x:v>
      </x:c>
      <x:c r="L291" s="7" t="n">
        <x:f>ABS(K291)</x:f>
        <x:v>2.3272075111156365</x:v>
      </x:c>
      <x:c r="M291" s="2" t="str">
        <x:v>Calibration</x:v>
      </x:c>
    </x:row>
    <x:row r="292" ht="27" customHeight="1">
      <x:c r="A292" s="2"/>
      <x:c r="B292" s="2" t="str">
        <x:v>CUUR0000SEGB02</x:v>
      </x:c>
      <x:c r="C292" s="2" t="str">
        <x:v>2023-12-31</x:v>
      </x:c>
      <x:c r="D292" s="2" t="str">
        <x:v>Two months</x:v>
      </x:c>
      <x:c r="E292" s="2" t="str">
        <x:v>2024-01-01</x:v>
      </x:c>
      <x:c r="F292" s="2" t="str">
        <x:v>2023-12-01</x:v>
      </x:c>
      <x:c r="G292" s="2" t="str">
        <x:v>Recent trend</x:v>
      </x:c>
      <x:c r="H292" s="7" t="n">
        <x:v>191.53500000000003</x:v>
      </x:c>
      <x:c r="I292" s="7" t="n">
        <x:v>187.349</x:v>
      </x:c>
      <x:c r="J292" s="2" t="str">
        <x:v>2024-01-22</x:v>
      </x:c>
      <x:c r="K292" s="7" t="n">
        <x:f>100*(H292/I292-1)</x:f>
        <x:v>2.2343327159472626</x:v>
      </x:c>
      <x:c r="L292" s="7" t="n">
        <x:f>ABS(K292)</x:f>
        <x:v>2.2343327159472626</x:v>
      </x:c>
      <x:c r="M292" s="2" t="str">
        <x:v>Calibration</x:v>
      </x:c>
    </x:row>
    <x:row r="293" ht="27" customHeight="1">
      <x:c r="A293" s="2"/>
      <x:c r="B293" s="2" t="str">
        <x:v>CUUR0000SEGB02</x:v>
      </x:c>
      <x:c r="C293" s="2" t="str">
        <x:v>2023-12-31</x:v>
      </x:c>
      <x:c r="D293" s="2" t="str">
        <x:v>Two months</x:v>
      </x:c>
      <x:c r="E293" s="2" t="str">
        <x:v>2024-01-01</x:v>
      </x:c>
      <x:c r="F293" s="2" t="str">
        <x:v>2023-12-01</x:v>
      </x:c>
      <x:c r="G293" s="2" t="str">
        <x:v>Seasonal step</x:v>
      </x:c>
      <x:c r="H293" s="7" t="n">
        <x:v>190.91282129417215</x:v>
      </x:c>
      <x:c r="I293" s="7" t="n">
        <x:v>187.349</x:v>
      </x:c>
      <x:c r="J293" s="2" t="str">
        <x:v>2024-01-22</x:v>
      </x:c>
      <x:c r="K293" s="7" t="n">
        <x:f>100*(H293/I293-1)</x:f>
        <x:v>1.9022366247869682</x:v>
      </x:c>
      <x:c r="L293" s="7" t="n">
        <x:f>ABS(K293)</x:f>
        <x:v>1.9022366247869682</x:v>
      </x:c>
      <x:c r="M293" s="2" t="str">
        <x:v>Calibration</x:v>
      </x:c>
    </x:row>
    <x:row r="294" ht="27" customHeight="1">
      <x:c r="A294" s="2"/>
      <x:c r="B294" s="2" t="str">
        <x:v>CUUR0000SEGB02</x:v>
      </x:c>
      <x:c r="C294" s="2" t="str">
        <x:v>2024-03-31</x:v>
      </x:c>
      <x:c r="D294" s="2" t="str">
        <x:v>Origin</x:v>
      </x:c>
      <x:c r="E294" s="2" t="str">
        <x:v>2024-01-01</x:v>
      </x:c>
      <x:c r="F294" s="2" t="str">
        <x:v>2024-01-01</x:v>
      </x:c>
      <x:c r="G294" s="2" t="str">
        <x:v>YoY carry</x:v>
      </x:c>
      <x:c r="H294" s="7" t="n">
        <x:v>192.64083377121258</x:v>
      </x:c>
      <x:c r="I294" s="7" t="n">
        <x:v>187.892</x:v>
      </x:c>
      <x:c r="J294" s="2" t="str">
        <x:v>2024-04-01</x:v>
      </x:c>
      <x:c r="K294" s="7" t="n">
        <x:f>100*(H294/I294-1)</x:f>
        <x:v>2.5274273365617494</x:v>
      </x:c>
      <x:c r="L294" s="7" t="n">
        <x:f>ABS(K294)</x:f>
        <x:v>2.5274273365617494</x:v>
      </x:c>
      <x:c r="M294" s="2" t="str">
        <x:v>Calibration</x:v>
      </x:c>
    </x:row>
    <x:row r="295" ht="27" customHeight="1">
      <x:c r="A295" s="2"/>
      <x:c r="B295" s="2" t="str">
        <x:v>CUUR0000SEGB02</x:v>
      </x:c>
      <x:c r="C295" s="2" t="str">
        <x:v>2024-03-31</x:v>
      </x:c>
      <x:c r="D295" s="2" t="str">
        <x:v>Origin</x:v>
      </x:c>
      <x:c r="E295" s="2" t="str">
        <x:v>2024-01-01</x:v>
      </x:c>
      <x:c r="F295" s="2" t="str">
        <x:v>2024-02-01</x:v>
      </x:c>
      <x:c r="G295" s="2" t="str">
        <x:v>YoY carry</x:v>
      </x:c>
      <x:c r="H295" s="7" t="n">
        <x:v>193.21689617834934</x:v>
      </x:c>
      <x:c r="I295" s="7" t="n">
        <x:v>191.222</x:v>
      </x:c>
      <x:c r="J295" s="2" t="str">
        <x:v>2024-04-01</x:v>
      </x:c>
      <x:c r="K295" s="7" t="n">
        <x:f>100*(H295/I295-1)</x:f>
        <x:v>1.0432357042334806</x:v>
      </x:c>
      <x:c r="L295" s="7" t="n">
        <x:f>ABS(K295)</x:f>
        <x:v>1.0432357042334806</x:v>
      </x:c>
      <x:c r="M295" s="2" t="str">
        <x:v>Calibration</x:v>
      </x:c>
    </x:row>
    <x:row r="296" ht="27" customHeight="1">
      <x:c r="A296" s="2"/>
      <x:c r="B296" s="2" t="str">
        <x:v>CUUR0000SEGB02</x:v>
      </x:c>
      <x:c r="C296" s="2" t="str">
        <x:v>2024-03-31</x:v>
      </x:c>
      <x:c r="D296" s="2" t="str">
        <x:v>Origin</x:v>
      </x:c>
      <x:c r="E296" s="2" t="str">
        <x:v>2024-01-01</x:v>
      </x:c>
      <x:c r="F296" s="2" t="str">
        <x:v>2024-03-01</x:v>
      </x:c>
      <x:c r="G296" s="2" t="str">
        <x:v>YoY carry</x:v>
      </x:c>
      <x:c r="H296" s="7" t="n">
        <x:v>193.90116350990354</x:v>
      </x:c>
      <x:c r="I296" s="7" t="n">
        <x:v>191.607</x:v>
      </x:c>
      <x:c r="J296" s="2" t="str">
        <x:v>2024-04-18</x:v>
      </x:c>
      <x:c r="K296" s="7" t="n">
        <x:f>100*(H296/I296-1)</x:f>
        <x:v>1.1973276080224249</x:v>
      </x:c>
      <x:c r="L296" s="7" t="n">
        <x:f>ABS(K296)</x:f>
        <x:v>1.1973276080224249</x:v>
      </x:c>
      <x:c r="M296" s="2" t="str">
        <x:v>Calibration</x:v>
      </x:c>
    </x:row>
    <x:row r="297" ht="27" customHeight="1">
      <x:c r="A297" s="2"/>
      <x:c r="B297" s="2" t="str">
        <x:v>CUUR0000SEGB02</x:v>
      </x:c>
      <x:c r="C297" s="2" t="str">
        <x:v>2024-03-31</x:v>
      </x:c>
      <x:c r="D297" s="2" t="str">
        <x:v>Origin</x:v>
      </x:c>
      <x:c r="E297" s="2" t="str">
        <x:v>2024-01-01</x:v>
      </x:c>
      <x:c r="F297" s="2" t="str">
        <x:v>2024-01-01</x:v>
      </x:c>
      <x:c r="G297" s="2" t="str">
        <x:v>Flat level</x:v>
      </x:c>
      <x:c r="H297" s="7" t="n">
        <x:v>191.709</x:v>
      </x:c>
      <x:c r="I297" s="7" t="n">
        <x:v>187.892</x:v>
      </x:c>
      <x:c r="J297" s="2" t="str">
        <x:v>2024-04-01</x:v>
      </x:c>
      <x:c r="K297" s="7" t="n">
        <x:f>100*(H297/I297-1)</x:f>
        <x:v>2.031486172907848</x:v>
      </x:c>
      <x:c r="L297" s="7" t="n">
        <x:f>ABS(K297)</x:f>
        <x:v>2.031486172907848</x:v>
      </x:c>
      <x:c r="M297" s="2" t="str">
        <x:v>Calibration</x:v>
      </x:c>
    </x:row>
    <x:row r="298" ht="27" customHeight="1">
      <x:c r="A298" s="2"/>
      <x:c r="B298" s="2" t="str">
        <x:v>CUUR0000SEGB02</x:v>
      </x:c>
      <x:c r="C298" s="2" t="str">
        <x:v>2024-03-31</x:v>
      </x:c>
      <x:c r="D298" s="2" t="str">
        <x:v>Origin</x:v>
      </x:c>
      <x:c r="E298" s="2" t="str">
        <x:v>2024-01-01</x:v>
      </x:c>
      <x:c r="F298" s="2" t="str">
        <x:v>2024-02-01</x:v>
      </x:c>
      <x:c r="G298" s="2" t="str">
        <x:v>Flat level</x:v>
      </x:c>
      <x:c r="H298" s="7" t="n">
        <x:v>191.709</x:v>
      </x:c>
      <x:c r="I298" s="7" t="n">
        <x:v>191.222</x:v>
      </x:c>
      <x:c r="J298" s="2" t="str">
        <x:v>2024-04-01</x:v>
      </x:c>
      <x:c r="K298" s="7" t="n">
        <x:f>100*(H298/I298-1)</x:f>
        <x:v>0.25467780903871695</x:v>
      </x:c>
      <x:c r="L298" s="7" t="n">
        <x:f>ABS(K298)</x:f>
        <x:v>0.25467780903871695</x:v>
      </x:c>
      <x:c r="M298" s="2" t="str">
        <x:v>Calibration</x:v>
      </x:c>
    </x:row>
    <x:row r="299" ht="27" customHeight="1">
      <x:c r="A299" s="2"/>
      <x:c r="B299" s="2" t="str">
        <x:v>CUUR0000SEGB02</x:v>
      </x:c>
      <x:c r="C299" s="2" t="str">
        <x:v>2024-03-31</x:v>
      </x:c>
      <x:c r="D299" s="2" t="str">
        <x:v>Origin</x:v>
      </x:c>
      <x:c r="E299" s="2" t="str">
        <x:v>2024-01-01</x:v>
      </x:c>
      <x:c r="F299" s="2" t="str">
        <x:v>2024-03-01</x:v>
      </x:c>
      <x:c r="G299" s="2" t="str">
        <x:v>Flat level</x:v>
      </x:c>
      <x:c r="H299" s="7" t="n">
        <x:v>191.709</x:v>
      </x:c>
      <x:c r="I299" s="7" t="n">
        <x:v>191.607</x:v>
      </x:c>
      <x:c r="J299" s="2" t="str">
        <x:v>2024-04-18</x:v>
      </x:c>
      <x:c r="K299" s="7" t="n">
        <x:f>100*(H299/I299-1)</x:f>
        <x:v>0.05323396326857299</x:v>
      </x:c>
      <x:c r="L299" s="7" t="n">
        <x:f>ABS(K299)</x:f>
        <x:v>0.05323396326857299</x:v>
      </x:c>
      <x:c r="M299" s="2" t="str">
        <x:v>Calibration</x:v>
      </x:c>
    </x:row>
    <x:row r="300" ht="27" customHeight="1">
      <x:c r="A300" s="2"/>
      <x:c r="B300" s="2" t="str">
        <x:v>CUUR0000SEGB02</x:v>
      </x:c>
      <x:c r="C300" s="2" t="str">
        <x:v>2024-03-31</x:v>
      </x:c>
      <x:c r="D300" s="2" t="str">
        <x:v>Origin</x:v>
      </x:c>
      <x:c r="E300" s="2" t="str">
        <x:v>2024-01-01</x:v>
      </x:c>
      <x:c r="F300" s="2" t="str">
        <x:v>2024-01-01</x:v>
      </x:c>
      <x:c r="G300" s="2" t="str">
        <x:v>Recent trend</x:v>
      </x:c>
      <x:c r="H300" s="7" t="n">
        <x:v>191.36100000000002</x:v>
      </x:c>
      <x:c r="I300" s="7" t="n">
        <x:v>187.892</x:v>
      </x:c>
      <x:c r="J300" s="2" t="str">
        <x:v>2024-04-01</x:v>
      </x:c>
      <x:c r="K300" s="7" t="n">
        <x:f>100*(H300/I300-1)</x:f>
        <x:v>1.8462733910970197</x:v>
      </x:c>
      <x:c r="L300" s="7" t="n">
        <x:f>ABS(K300)</x:f>
        <x:v>1.8462733910970197</x:v>
      </x:c>
      <x:c r="M300" s="2" t="str">
        <x:v>Calibration</x:v>
      </x:c>
    </x:row>
    <x:row r="301" ht="27" customHeight="1">
      <x:c r="A301" s="2"/>
      <x:c r="B301" s="2" t="str">
        <x:v>CUUR0000SEGB02</x:v>
      </x:c>
      <x:c r="C301" s="2" t="str">
        <x:v>2024-03-31</x:v>
      </x:c>
      <x:c r="D301" s="2" t="str">
        <x:v>Origin</x:v>
      </x:c>
      <x:c r="E301" s="2" t="str">
        <x:v>2024-01-01</x:v>
      </x:c>
      <x:c r="F301" s="2" t="str">
        <x:v>2024-02-01</x:v>
      </x:c>
      <x:c r="G301" s="2" t="str">
        <x:v>Recent trend</x:v>
      </x:c>
      <x:c r="H301" s="7" t="n">
        <x:v>191.187</x:v>
      </x:c>
      <x:c r="I301" s="7" t="n">
        <x:v>191.222</x:v>
      </x:c>
      <x:c r="J301" s="2" t="str">
        <x:v>2024-04-01</x:v>
      </x:c>
      <x:c r="K301" s="7" t="n">
        <x:f>100*(H301/I301-1)</x:f>
        <x:v>-0.018303333298463897</x:v>
      </x:c>
      <x:c r="L301" s="7" t="n">
        <x:f>ABS(K301)</x:f>
        <x:v>0.018303333298463897</x:v>
      </x:c>
      <x:c r="M301" s="2" t="str">
        <x:v>Calibration</x:v>
      </x:c>
    </x:row>
    <x:row r="302" ht="27" customHeight="1">
      <x:c r="A302" s="2"/>
      <x:c r="B302" s="2" t="str">
        <x:v>CUUR0000SEGB02</x:v>
      </x:c>
      <x:c r="C302" s="2" t="str">
        <x:v>2024-03-31</x:v>
      </x:c>
      <x:c r="D302" s="2" t="str">
        <x:v>Origin</x:v>
      </x:c>
      <x:c r="E302" s="2" t="str">
        <x:v>2024-01-01</x:v>
      </x:c>
      <x:c r="F302" s="2" t="str">
        <x:v>2024-03-01</x:v>
      </x:c>
      <x:c r="G302" s="2" t="str">
        <x:v>Recent trend</x:v>
      </x:c>
      <x:c r="H302" s="7" t="n">
        <x:v>191.01300000000003</x:v>
      </x:c>
      <x:c r="I302" s="7" t="n">
        <x:v>191.607</x:v>
      </x:c>
      <x:c r="J302" s="2" t="str">
        <x:v>2024-04-18</x:v>
      </x:c>
      <x:c r="K302" s="7" t="n">
        <x:f>100*(H302/I302-1)</x:f>
        <x:v>-0.31000955079927284</x:v>
      </x:c>
      <x:c r="L302" s="7" t="n">
        <x:f>ABS(K302)</x:f>
        <x:v>0.31000955079927284</x:v>
      </x:c>
      <x:c r="M302" s="2" t="str">
        <x:v>Calibration</x:v>
      </x:c>
    </x:row>
    <x:row r="303" ht="27" customHeight="1">
      <x:c r="A303" s="2"/>
      <x:c r="B303" s="2" t="str">
        <x:v>CUUR0000SEGB02</x:v>
      </x:c>
      <x:c r="C303" s="2" t="str">
        <x:v>2024-03-31</x:v>
      </x:c>
      <x:c r="D303" s="2" t="str">
        <x:v>Origin</x:v>
      </x:c>
      <x:c r="E303" s="2" t="str">
        <x:v>2024-01-01</x:v>
      </x:c>
      <x:c r="F303" s="2" t="str">
        <x:v>2024-01-01</x:v>
      </x:c>
      <x:c r="G303" s="2" t="str">
        <x:v>Seasonal step</x:v>
      </x:c>
      <x:c r="H303" s="7" t="n">
        <x:v>192.40974067794744</x:v>
      </x:c>
      <x:c r="I303" s="7" t="n">
        <x:v>187.892</x:v>
      </x:c>
      <x:c r="J303" s="2" t="str">
        <x:v>2024-04-01</x:v>
      </x:c>
      <x:c r="K303" s="7" t="n">
        <x:f>100*(H303/I303-1)</x:f>
        <x:v>2.404434823168322</x:v>
      </x:c>
      <x:c r="L303" s="7" t="n">
        <x:f>ABS(K303)</x:f>
        <x:v>2.404434823168322</x:v>
      </x:c>
      <x:c r="M303" s="2" t="str">
        <x:v>Calibration</x:v>
      </x:c>
    </x:row>
    <x:row r="304" ht="27" customHeight="1">
      <x:c r="A304" s="2"/>
      <x:c r="B304" s="2" t="str">
        <x:v>CUUR0000SEGB02</x:v>
      </x:c>
      <x:c r="C304" s="2" t="str">
        <x:v>2024-03-31</x:v>
      </x:c>
      <x:c r="D304" s="2" t="str">
        <x:v>Origin</x:v>
      </x:c>
      <x:c r="E304" s="2" t="str">
        <x:v>2024-01-01</x:v>
      </x:c>
      <x:c r="F304" s="2" t="str">
        <x:v>2024-02-01</x:v>
      </x:c>
      <x:c r="G304" s="2" t="str">
        <x:v>Seasonal step</x:v>
      </x:c>
      <x:c r="H304" s="7" t="n">
        <x:v>192.99247000948856</x:v>
      </x:c>
      <x:c r="I304" s="7" t="n">
        <x:v>191.222</x:v>
      </x:c>
      <x:c r="J304" s="2" t="str">
        <x:v>2024-04-01</x:v>
      </x:c>
      <x:c r="K304" s="7" t="n">
        <x:f>100*(H304/I304-1)</x:f>
        <x:v>0.9258715051032596</x:v>
      </x:c>
      <x:c r="L304" s="7" t="n">
        <x:f>ABS(K304)</x:f>
        <x:v>0.9258715051032596</x:v>
      </x:c>
      <x:c r="M304" s="2" t="str">
        <x:v>Calibration</x:v>
      </x:c>
    </x:row>
    <x:row r="305" ht="27" customHeight="1">
      <x:c r="A305" s="2"/>
      <x:c r="B305" s="2" t="str">
        <x:v>CUUR0000SEGB02</x:v>
      </x:c>
      <x:c r="C305" s="2" t="str">
        <x:v>2024-03-31</x:v>
      </x:c>
      <x:c r="D305" s="2" t="str">
        <x:v>Origin</x:v>
      </x:c>
      <x:c r="E305" s="2" t="str">
        <x:v>2024-01-01</x:v>
      </x:c>
      <x:c r="F305" s="2" t="str">
        <x:v>2024-03-01</x:v>
      </x:c>
      <x:c r="G305" s="2" t="str">
        <x:v>Seasonal step</x:v>
      </x:c>
      <x:c r="H305" s="7" t="n">
        <x:v>193.67594254773672</x:v>
      </x:c>
      <x:c r="I305" s="7" t="n">
        <x:v>191.607</x:v>
      </x:c>
      <x:c r="J305" s="2" t="str">
        <x:v>2024-04-18</x:v>
      </x:c>
      <x:c r="K305" s="7" t="n">
        <x:f>100*(H305/I305-1)</x:f>
        <x:v>1.079784427362629</x:v>
      </x:c>
      <x:c r="L305" s="7" t="n">
        <x:f>ABS(K305)</x:f>
        <x:v>1.079784427362629</x:v>
      </x:c>
      <x:c r="M305" s="2" t="str">
        <x:v>Calibration</x:v>
      </x:c>
    </x:row>
    <x:row r="306" ht="27" customHeight="1">
      <x:c r="A306" s="2"/>
      <x:c r="B306" s="2" t="str">
        <x:v>CUUR0000SEGB02</x:v>
      </x:c>
      <x:c r="C306" s="2" t="str">
        <x:v>2024-03-31</x:v>
      </x:c>
      <x:c r="D306" s="2" t="str">
        <x:v>Two months</x:v>
      </x:c>
      <x:c r="E306" s="2" t="str">
        <x:v>2024-04-01</x:v>
      </x:c>
      <x:c r="F306" s="2" t="str">
        <x:v>2024-03-01</x:v>
      </x:c>
      <x:c r="G306" s="2" t="str">
        <x:v>YoY carry</x:v>
      </x:c>
      <x:c r="H306" s="7" t="n">
        <x:v>190.4988397386383</x:v>
      </x:c>
      <x:c r="I306" s="7" t="n">
        <x:v>191.607</x:v>
      </x:c>
      <x:c r="J306" s="2" t="str">
        <x:v>2024-04-18</x:v>
      </x:c>
      <x:c r="K306" s="7" t="n">
        <x:f>100*(H306/I306-1)</x:f>
        <x:v>-0.5783506142060024</x:v>
      </x:c>
      <x:c r="L306" s="7" t="n">
        <x:f>ABS(K306)</x:f>
        <x:v>0.5783506142060024</x:v>
      </x:c>
      <x:c r="M306" s="2" t="str">
        <x:v>Calibration</x:v>
      </x:c>
    </x:row>
    <x:row r="307" ht="27" customHeight="1">
      <x:c r="A307" s="2"/>
      <x:c r="B307" s="2" t="str">
        <x:v>CUUR0000SEGB02</x:v>
      </x:c>
      <x:c r="C307" s="2" t="str">
        <x:v>2024-03-31</x:v>
      </x:c>
      <x:c r="D307" s="2" t="str">
        <x:v>Two months</x:v>
      </x:c>
      <x:c r="E307" s="2" t="str">
        <x:v>2024-04-01</x:v>
      </x:c>
      <x:c r="F307" s="2" t="str">
        <x:v>2024-03-01</x:v>
      </x:c>
      <x:c r="G307" s="2" t="str">
        <x:v>Flat level</x:v>
      </x:c>
      <x:c r="H307" s="7" t="n">
        <x:v>191.222</x:v>
      </x:c>
      <x:c r="I307" s="7" t="n">
        <x:v>191.607</x:v>
      </x:c>
      <x:c r="J307" s="2" t="str">
        <x:v>2024-04-18</x:v>
      </x:c>
      <x:c r="K307" s="7" t="n">
        <x:f>100*(H307/I307-1)</x:f>
        <x:v>-0.2009321162588007</x:v>
      </x:c>
      <x:c r="L307" s="7" t="n">
        <x:f>ABS(K307)</x:f>
        <x:v>0.2009321162588007</x:v>
      </x:c>
      <x:c r="M307" s="2" t="str">
        <x:v>Calibration</x:v>
      </x:c>
    </x:row>
    <x:row r="308" ht="27" customHeight="1">
      <x:c r="A308" s="2"/>
      <x:c r="B308" s="2" t="str">
        <x:v>CUUR0000SEGB02</x:v>
      </x:c>
      <x:c r="C308" s="2" t="str">
        <x:v>2024-03-31</x:v>
      </x:c>
      <x:c r="D308" s="2" t="str">
        <x:v>Two months</x:v>
      </x:c>
      <x:c r="E308" s="2" t="str">
        <x:v>2024-04-01</x:v>
      </x:c>
      <x:c r="F308" s="2" t="str">
        <x:v>2024-03-01</x:v>
      </x:c>
      <x:c r="G308" s="2" t="str">
        <x:v>Recent trend</x:v>
      </x:c>
      <x:c r="H308" s="7" t="n">
        <x:v>193.1585</x:v>
      </x:c>
      <x:c r="I308" s="7" t="n">
        <x:v>191.607</x:v>
      </x:c>
      <x:c r="J308" s="2" t="str">
        <x:v>2024-04-18</x:v>
      </x:c>
      <x:c r="K308" s="7" t="n">
        <x:f>100*(H308/I308-1)</x:f>
        <x:v>0.8097303334429373</x:v>
      </x:c>
      <x:c r="L308" s="7" t="n">
        <x:f>ABS(K308)</x:f>
        <x:v>0.8097303334429373</x:v>
      </x:c>
      <x:c r="M308" s="2" t="str">
        <x:v>Calibration</x:v>
      </x:c>
    </x:row>
    <x:row r="309" ht="27" customHeight="1">
      <x:c r="A309" s="2"/>
      <x:c r="B309" s="2" t="str">
        <x:v>CUUR0000SEGB02</x:v>
      </x:c>
      <x:c r="C309" s="2" t="str">
        <x:v>2024-03-31</x:v>
      </x:c>
      <x:c r="D309" s="2" t="str">
        <x:v>Two months</x:v>
      </x:c>
      <x:c r="E309" s="2" t="str">
        <x:v>2024-04-01</x:v>
      </x:c>
      <x:c r="F309" s="2" t="str">
        <x:v>2024-03-01</x:v>
      </x:c>
      <x:c r="G309" s="2" t="str">
        <x:v>Seasonal step</x:v>
      </x:c>
      <x:c r="H309" s="7" t="n">
        <x:v>191.8992025131471</x:v>
      </x:c>
      <x:c r="I309" s="7" t="n">
        <x:v>191.607</x:v>
      </x:c>
      <x:c r="J309" s="2" t="str">
        <x:v>2024-04-18</x:v>
      </x:c>
      <x:c r="K309" s="7" t="n">
        <x:f>100*(H309/I309-1)</x:f>
        <x:v>0.15250095933190266</x:v>
      </x:c>
      <x:c r="L309" s="7" t="n">
        <x:f>ABS(K309)</x:f>
        <x:v>0.15250095933190266</x:v>
      </x:c>
      <x:c r="M309" s="2" t="str">
        <x:v>Calibration</x:v>
      </x:c>
    </x:row>
    <x:row r="310" ht="27" customHeight="1">
      <x:c r="A310" s="2"/>
      <x:c r="B310" s="2" t="str">
        <x:v>CUUR0000SEGB02</x:v>
      </x:c>
      <x:c r="C310" s="2" t="str">
        <x:v>2024-06-30</x:v>
      </x:c>
      <x:c r="D310" s="2" t="str">
        <x:v>Origin</x:v>
      </x:c>
      <x:c r="E310" s="2" t="str">
        <x:v>2024-04-01</x:v>
      </x:c>
      <x:c r="F310" s="2" t="str">
        <x:v>2024-04-01</x:v>
      </x:c>
      <x:c r="G310" s="2" t="str">
        <x:v>YoY carry</x:v>
      </x:c>
      <x:c r="H310" s="7" t="n">
        <x:v>190.99392329943402</x:v>
      </x:c>
      <x:c r="I310" s="7" t="n">
        <x:v>190.319</x:v>
      </x:c>
      <x:c r="J310" s="2" t="str">
        <x:v>2024-07-01</x:v>
      </x:c>
      <x:c r="K310" s="7" t="n">
        <x:f>100*(H310/I310-1)</x:f>
        <x:v>0.3546273884551976</x:v>
      </x:c>
      <x:c r="L310" s="7" t="n">
        <x:f>ABS(K310)</x:f>
        <x:v>0.3546273884551976</x:v>
      </x:c>
      <x:c r="M310" s="2" t="str">
        <x:v>Calibration</x:v>
      </x:c>
    </x:row>
    <x:row r="311" ht="27" customHeight="1">
      <x:c r="A311" s="2"/>
      <x:c r="B311" s="2" t="str">
        <x:v>CUUR0000SEGB02</x:v>
      </x:c>
      <x:c r="C311" s="2" t="str">
        <x:v>2024-06-30</x:v>
      </x:c>
      <x:c r="D311" s="2" t="str">
        <x:v>Origin</x:v>
      </x:c>
      <x:c r="E311" s="2" t="str">
        <x:v>2024-04-01</x:v>
      </x:c>
      <x:c r="F311" s="2" t="str">
        <x:v>2024-05-01</x:v>
      </x:c>
      <x:c r="G311" s="2" t="str">
        <x:v>YoY carry</x:v>
      </x:c>
      <x:c r="H311" s="7" t="n">
        <x:v>191.90714491873405</x:v>
      </x:c>
      <x:c r="I311" s="7" t="n">
        <x:v>189.984</x:v>
      </x:c>
      <x:c r="J311" s="2" t="str">
        <x:v>2024-07-01</x:v>
      </x:c>
      <x:c r="K311" s="7" t="n">
        <x:f>100*(H311/I311-1)</x:f>
        <x:v>1.0122667796941043</x:v>
      </x:c>
      <x:c r="L311" s="7" t="n">
        <x:f>ABS(K311)</x:f>
        <x:v>1.0122667796941043</x:v>
      </x:c>
      <x:c r="M311" s="2" t="str">
        <x:v>Calibration</x:v>
      </x:c>
    </x:row>
    <x:row r="312" ht="27" customHeight="1">
      <x:c r="A312" s="2"/>
      <x:c r="B312" s="2" t="str">
        <x:v>CUUR0000SEGB02</x:v>
      </x:c>
      <x:c r="C312" s="2" t="str">
        <x:v>2024-06-30</x:v>
      </x:c>
      <x:c r="D312" s="2" t="str">
        <x:v>Origin</x:v>
      </x:c>
      <x:c r="E312" s="2" t="str">
        <x:v>2024-04-01</x:v>
      </x:c>
      <x:c r="F312" s="2" t="str">
        <x:v>2024-06-01</x:v>
      </x:c>
      <x:c r="G312" s="2" t="str">
        <x:v>YoY carry</x:v>
      </x:c>
      <x:c r="H312" s="7" t="n">
        <x:v>192.29997195674778</x:v>
      </x:c>
      <x:c r="I312" s="7" t="n">
        <x:v>190.421</x:v>
      </x:c>
      <x:c r="J312" s="2" t="str">
        <x:v>2024-07-29</x:v>
      </x:c>
      <x:c r="K312" s="7" t="n">
        <x:f>100*(H312/I312-1)</x:f>
        <x:v>0.9867461870002758</x:v>
      </x:c>
      <x:c r="L312" s="7" t="n">
        <x:f>ABS(K312)</x:f>
        <x:v>0.9867461870002758</x:v>
      </x:c>
      <x:c r="M312" s="2" t="str">
        <x:v>Calibration</x:v>
      </x:c>
    </x:row>
    <x:row r="313" ht="27" customHeight="1">
      <x:c r="A313" s="2"/>
      <x:c r="B313" s="2" t="str">
        <x:v>CUUR0000SEGB02</x:v>
      </x:c>
      <x:c r="C313" s="2" t="str">
        <x:v>2024-06-30</x:v>
      </x:c>
      <x:c r="D313" s="2" t="str">
        <x:v>Origin</x:v>
      </x:c>
      <x:c r="E313" s="2" t="str">
        <x:v>2024-04-01</x:v>
      </x:c>
      <x:c r="F313" s="2" t="str">
        <x:v>2024-04-01</x:v>
      </x:c>
      <x:c r="G313" s="2" t="str">
        <x:v>Flat level</x:v>
      </x:c>
      <x:c r="H313" s="7" t="n">
        <x:v>191.222</x:v>
      </x:c>
      <x:c r="I313" s="7" t="n">
        <x:v>190.319</x:v>
      </x:c>
      <x:c r="J313" s="2" t="str">
        <x:v>2024-07-01</x:v>
      </x:c>
      <x:c r="K313" s="7" t="n">
        <x:f>100*(H313/I313-1)</x:f>
        <x:v>0.4744665535233006</x:v>
      </x:c>
      <x:c r="L313" s="7" t="n">
        <x:f>ABS(K313)</x:f>
        <x:v>0.4744665535233006</x:v>
      </x:c>
      <x:c r="M313" s="2" t="str">
        <x:v>Calibration</x:v>
      </x:c>
    </x:row>
    <x:row r="314" ht="27" customHeight="1">
      <x:c r="A314" s="2"/>
      <x:c r="B314" s="2" t="str">
        <x:v>CUUR0000SEGB02</x:v>
      </x:c>
      <x:c r="C314" s="2" t="str">
        <x:v>2024-06-30</x:v>
      </x:c>
      <x:c r="D314" s="2" t="str">
        <x:v>Origin</x:v>
      </x:c>
      <x:c r="E314" s="2" t="str">
        <x:v>2024-04-01</x:v>
      </x:c>
      <x:c r="F314" s="2" t="str">
        <x:v>2024-05-01</x:v>
      </x:c>
      <x:c r="G314" s="2" t="str">
        <x:v>Flat level</x:v>
      </x:c>
      <x:c r="H314" s="7" t="n">
        <x:v>191.222</x:v>
      </x:c>
      <x:c r="I314" s="7" t="n">
        <x:v>189.984</x:v>
      </x:c>
      <x:c r="J314" s="2" t="str">
        <x:v>2024-07-01</x:v>
      </x:c>
      <x:c r="K314" s="7" t="n">
        <x:f>100*(H314/I314-1)</x:f>
        <x:v>0.6516338217955164</x:v>
      </x:c>
      <x:c r="L314" s="7" t="n">
        <x:f>ABS(K314)</x:f>
        <x:v>0.6516338217955164</x:v>
      </x:c>
      <x:c r="M314" s="2" t="str">
        <x:v>Calibration</x:v>
      </x:c>
    </x:row>
    <x:row r="315" ht="27" customHeight="1">
      <x:c r="A315" s="2"/>
      <x:c r="B315" s="2" t="str">
        <x:v>CUUR0000SEGB02</x:v>
      </x:c>
      <x:c r="C315" s="2" t="str">
        <x:v>2024-06-30</x:v>
      </x:c>
      <x:c r="D315" s="2" t="str">
        <x:v>Origin</x:v>
      </x:c>
      <x:c r="E315" s="2" t="str">
        <x:v>2024-04-01</x:v>
      </x:c>
      <x:c r="F315" s="2" t="str">
        <x:v>2024-06-01</x:v>
      </x:c>
      <x:c r="G315" s="2" t="str">
        <x:v>Flat level</x:v>
      </x:c>
      <x:c r="H315" s="7" t="n">
        <x:v>191.222</x:v>
      </x:c>
      <x:c r="I315" s="7" t="n">
        <x:v>190.421</x:v>
      </x:c>
      <x:c r="J315" s="2" t="str">
        <x:v>2024-07-29</x:v>
      </x:c>
      <x:c r="K315" s="7" t="n">
        <x:f>100*(H315/I315-1)</x:f>
        <x:v>0.4206468824341947</x:v>
      </x:c>
      <x:c r="L315" s="7" t="n">
        <x:f>ABS(K315)</x:f>
        <x:v>0.4206468824341947</x:v>
      </x:c>
      <x:c r="M315" s="2" t="str">
        <x:v>Calibration</x:v>
      </x:c>
    </x:row>
    <x:row r="316" ht="27" customHeight="1">
      <x:c r="A316" s="2"/>
      <x:c r="B316" s="2" t="str">
        <x:v>CUUR0000SEGB02</x:v>
      </x:c>
      <x:c r="C316" s="2" t="str">
        <x:v>2024-06-30</x:v>
      </x:c>
      <x:c r="D316" s="2" t="str">
        <x:v>Origin</x:v>
      </x:c>
      <x:c r="E316" s="2" t="str">
        <x:v>2024-04-01</x:v>
      </x:c>
      <x:c r="F316" s="2" t="str">
        <x:v>2024-04-01</x:v>
      </x:c>
      <x:c r="G316" s="2" t="str">
        <x:v>Recent trend</x:v>
      </x:c>
      <x:c r="H316" s="7" t="n">
        <x:v>195.09500000000003</x:v>
      </x:c>
      <x:c r="I316" s="7" t="n">
        <x:v>190.319</x:v>
      </x:c>
      <x:c r="J316" s="2" t="str">
        <x:v>2024-07-01</x:v>
      </x:c>
      <x:c r="K316" s="7" t="n">
        <x:f>100*(H316/I316-1)</x:f>
        <x:v>2.5094709408939986</x:v>
      </x:c>
      <x:c r="L316" s="7" t="n">
        <x:f>ABS(K316)</x:f>
        <x:v>2.5094709408939986</x:v>
      </x:c>
      <x:c r="M316" s="2" t="str">
        <x:v>Calibration</x:v>
      </x:c>
    </x:row>
    <x:row r="317" ht="27" customHeight="1">
      <x:c r="A317" s="2"/>
      <x:c r="B317" s="2" t="str">
        <x:v>CUUR0000SEGB02</x:v>
      </x:c>
      <x:c r="C317" s="2" t="str">
        <x:v>2024-06-30</x:v>
      </x:c>
      <x:c r="D317" s="2" t="str">
        <x:v>Origin</x:v>
      </x:c>
      <x:c r="E317" s="2" t="str">
        <x:v>2024-04-01</x:v>
      </x:c>
      <x:c r="F317" s="2" t="str">
        <x:v>2024-05-01</x:v>
      </x:c>
      <x:c r="G317" s="2" t="str">
        <x:v>Recent trend</x:v>
      </x:c>
      <x:c r="H317" s="7" t="n">
        <x:v>197.03150000000005</x:v>
      </x:c>
      <x:c r="I317" s="7" t="n">
        <x:v>189.984</x:v>
      </x:c>
      <x:c r="J317" s="2" t="str">
        <x:v>2024-07-01</x:v>
      </x:c>
      <x:c r="K317" s="7" t="n">
        <x:f>100*(H317/I317-1)</x:f>
        <x:v>3.7095229071921976</x:v>
      </x:c>
      <x:c r="L317" s="7" t="n">
        <x:f>ABS(K317)</x:f>
        <x:v>3.7095229071921976</x:v>
      </x:c>
      <x:c r="M317" s="2" t="str">
        <x:v>Calibration</x:v>
      </x:c>
    </x:row>
    <x:row r="318" ht="27" customHeight="1">
      <x:c r="A318" s="2"/>
      <x:c r="B318" s="2" t="str">
        <x:v>CUUR0000SEGB02</x:v>
      </x:c>
      <x:c r="C318" s="2" t="str">
        <x:v>2024-06-30</x:v>
      </x:c>
      <x:c r="D318" s="2" t="str">
        <x:v>Origin</x:v>
      </x:c>
      <x:c r="E318" s="2" t="str">
        <x:v>2024-04-01</x:v>
      </x:c>
      <x:c r="F318" s="2" t="str">
        <x:v>2024-06-01</x:v>
      </x:c>
      <x:c r="G318" s="2" t="str">
        <x:v>Recent trend</x:v>
      </x:c>
      <x:c r="H318" s="7" t="n">
        <x:v>198.96800000000005</x:v>
      </x:c>
      <x:c r="I318" s="7" t="n">
        <x:v>190.421</x:v>
      </x:c>
      <x:c r="J318" s="2" t="str">
        <x:v>2024-07-29</x:v>
      </x:c>
      <x:c r="K318" s="7" t="n">
        <x:f>100*(H318/I318-1)</x:f>
        <x:v>4.488475535786529</x:v>
      </x:c>
      <x:c r="L318" s="7" t="n">
        <x:f>ABS(K318)</x:f>
        <x:v>4.488475535786529</x:v>
      </x:c>
      <x:c r="M318" s="2" t="str">
        <x:v>Calibration</x:v>
      </x:c>
    </x:row>
    <x:row r="319" ht="27" customHeight="1">
      <x:c r="A319" s="2"/>
      <x:c r="B319" s="2" t="str">
        <x:v>CUUR0000SEGB02</x:v>
      </x:c>
      <x:c r="C319" s="2" t="str">
        <x:v>2024-06-30</x:v>
      </x:c>
      <x:c r="D319" s="2" t="str">
        <x:v>Origin</x:v>
      </x:c>
      <x:c r="E319" s="2" t="str">
        <x:v>2024-04-01</x:v>
      </x:c>
      <x:c r="F319" s="2" t="str">
        <x:v>2024-04-01</x:v>
      </x:c>
      <x:c r="G319" s="2" t="str">
        <x:v>Seasonal step</x:v>
      </x:c>
      <x:c r="H319" s="7" t="n">
        <x:v>192.2009006471605</x:v>
      </x:c>
      <x:c r="I319" s="7" t="n">
        <x:v>190.319</x:v>
      </x:c>
      <x:c r="J319" s="2" t="str">
        <x:v>2024-07-01</x:v>
      </x:c>
      <x:c r="K319" s="7" t="n">
        <x:f>100*(H319/I319-1)</x:f>
        <x:v>0.9888138583959094</x:v>
      </x:c>
      <x:c r="L319" s="7" t="n">
        <x:f>ABS(K319)</x:f>
        <x:v>0.9888138583959094</x:v>
      </x:c>
      <x:c r="M319" s="2" t="str">
        <x:v>Calibration</x:v>
      </x:c>
    </x:row>
    <x:row r="320" ht="27" customHeight="1">
      <x:c r="A320" s="2"/>
      <x:c r="B320" s="2" t="str">
        <x:v>CUUR0000SEGB02</x:v>
      </x:c>
      <x:c r="C320" s="2" t="str">
        <x:v>2024-06-30</x:v>
      </x:c>
      <x:c r="D320" s="2" t="str">
        <x:v>Origin</x:v>
      </x:c>
      <x:c r="E320" s="2" t="str">
        <x:v>2024-04-01</x:v>
      </x:c>
      <x:c r="F320" s="2" t="str">
        <x:v>2024-05-01</x:v>
      </x:c>
      <x:c r="G320" s="2" t="str">
        <x:v>Seasonal step</x:v>
      </x:c>
      <x:c r="H320" s="7" t="n">
        <x:v>192.863832251831</x:v>
      </x:c>
      <x:c r="I320" s="7" t="n">
        <x:v>189.984</x:v>
      </x:c>
      <x:c r="J320" s="2" t="str">
        <x:v>2024-07-01</x:v>
      </x:c>
      <x:c r="K320" s="7" t="n">
        <x:f>100*(H320/I320-1)</x:f>
        <x:v>1.5158288339181203</x:v>
      </x:c>
      <x:c r="L320" s="7" t="n">
        <x:f>ABS(K320)</x:f>
        <x:v>1.5158288339181203</x:v>
      </x:c>
      <x:c r="M320" s="2" t="str">
        <x:v>Calibration</x:v>
      </x:c>
    </x:row>
    <x:row r="321" ht="27" customHeight="1">
      <x:c r="A321" s="2"/>
      <x:c r="B321" s="2" t="str">
        <x:v>CUUR0000SEGB02</x:v>
      </x:c>
      <x:c r="C321" s="2" t="str">
        <x:v>2024-06-30</x:v>
      </x:c>
      <x:c r="D321" s="2" t="str">
        <x:v>Origin</x:v>
      </x:c>
      <x:c r="E321" s="2" t="str">
        <x:v>2024-04-01</x:v>
      </x:c>
      <x:c r="F321" s="2" t="str">
        <x:v>2024-06-01</x:v>
      </x:c>
      <x:c r="G321" s="2" t="str">
        <x:v>Seasonal step</x:v>
      </x:c>
      <x:c r="H321" s="7" t="n">
        <x:v>193.24295630361354</x:v>
      </x:c>
      <x:c r="I321" s="7" t="n">
        <x:v>190.421</x:v>
      </x:c>
      <x:c r="J321" s="2" t="str">
        <x:v>2024-07-29</x:v>
      </x:c>
      <x:c r="K321" s="7" t="n">
        <x:f>100*(H321/I321-1)</x:f>
        <x:v>1.481956456280309</x:v>
      </x:c>
      <x:c r="L321" s="7" t="n">
        <x:f>ABS(K321)</x:f>
        <x:v>1.481956456280309</x:v>
      </x:c>
      <x:c r="M321" s="2" t="str">
        <x:v>Calibration</x:v>
      </x:c>
    </x:row>
    <x:row r="322" ht="27" customHeight="1">
      <x:c r="A322" s="2"/>
      <x:c r="B322" s="2" t="str">
        <x:v>CUUR0000SEGB02</x:v>
      </x:c>
      <x:c r="C322" s="2" t="str">
        <x:v>2024-06-30</x:v>
      </x:c>
      <x:c r="D322" s="2" t="str">
        <x:v>Two months</x:v>
      </x:c>
      <x:c r="E322" s="2" t="str">
        <x:v>2024-07-01</x:v>
      </x:c>
      <x:c r="F322" s="2" t="str">
        <x:v>2024-06-01</x:v>
      </x:c>
      <x:c r="G322" s="2" t="str">
        <x:v>YoY carry</x:v>
      </x:c>
      <x:c r="H322" s="7" t="n">
        <x:v>191.8039778403812</x:v>
      </x:c>
      <x:c r="I322" s="7" t="n">
        <x:v>190.421</x:v>
      </x:c>
      <x:c r="J322" s="2" t="str">
        <x:v>2024-07-29</x:v>
      </x:c>
      <x:c r="K322" s="7" t="n">
        <x:f>100*(H322/I322-1)</x:f>
        <x:v>0.7262738040348493</x:v>
      </x:c>
      <x:c r="L322" s="7" t="n">
        <x:f>ABS(K322)</x:f>
        <x:v>0.7262738040348493</x:v>
      </x:c>
      <x:c r="M322" s="2" t="str">
        <x:v>Calibration</x:v>
      </x:c>
    </x:row>
    <x:row r="323" ht="27" customHeight="1">
      <x:c r="A323" s="2"/>
      <x:c r="B323" s="2" t="str">
        <x:v>CUUR0000SEGB02</x:v>
      </x:c>
      <x:c r="C323" s="2" t="str">
        <x:v>2024-06-30</x:v>
      </x:c>
      <x:c r="D323" s="2" t="str">
        <x:v>Two months</x:v>
      </x:c>
      <x:c r="E323" s="2" t="str">
        <x:v>2024-07-01</x:v>
      </x:c>
      <x:c r="F323" s="2" t="str">
        <x:v>2024-06-01</x:v>
      </x:c>
      <x:c r="G323" s="2" t="str">
        <x:v>Flat level</x:v>
      </x:c>
      <x:c r="H323" s="7" t="n">
        <x:v>189.984</x:v>
      </x:c>
      <x:c r="I323" s="7" t="n">
        <x:v>190.421</x:v>
      </x:c>
      <x:c r="J323" s="2" t="str">
        <x:v>2024-07-29</x:v>
      </x:c>
      <x:c r="K323" s="7" t="n">
        <x:f>100*(H323/I323-1)</x:f>
        <x:v>-0.22949149516071632</x:v>
      </x:c>
      <x:c r="L323" s="7" t="n">
        <x:f>ABS(K323)</x:f>
        <x:v>0.22949149516071632</x:v>
      </x:c>
      <x:c r="M323" s="2" t="str">
        <x:v>Calibration</x:v>
      </x:c>
    </x:row>
    <x:row r="324" ht="27" customHeight="1">
      <x:c r="A324" s="2"/>
      <x:c r="B324" s="2" t="str">
        <x:v>CUUR0000SEGB02</x:v>
      </x:c>
      <x:c r="C324" s="2" t="str">
        <x:v>2024-06-30</x:v>
      </x:c>
      <x:c r="D324" s="2" t="str">
        <x:v>Two months</x:v>
      </x:c>
      <x:c r="E324" s="2" t="str">
        <x:v>2024-07-01</x:v>
      </x:c>
      <x:c r="F324" s="2" t="str">
        <x:v>2024-06-01</x:v>
      </x:c>
      <x:c r="G324" s="2" t="str">
        <x:v>Recent trend</x:v>
      </x:c>
      <x:c r="H324" s="7" t="n">
        <x:v>189.1725</x:v>
      </x:c>
      <x:c r="I324" s="7" t="n">
        <x:v>190.421</x:v>
      </x:c>
      <x:c r="J324" s="2" t="str">
        <x:v>2024-07-29</x:v>
      </x:c>
      <x:c r="K324" s="7" t="n">
        <x:f>100*(H324/I324-1)</x:f>
        <x:v>-0.6556524753047133</x:v>
      </x:c>
      <x:c r="L324" s="7" t="n">
        <x:f>ABS(K324)</x:f>
        <x:v>0.6556524753047133</x:v>
      </x:c>
      <x:c r="M324" s="2" t="str">
        <x:v>Calibration</x:v>
      </x:c>
    </x:row>
    <x:row r="325" ht="27" customHeight="1">
      <x:c r="A325" s="2"/>
      <x:c r="B325" s="2" t="str">
        <x:v>CUUR0000SEGB02</x:v>
      </x:c>
      <x:c r="C325" s="2" t="str">
        <x:v>2024-06-30</x:v>
      </x:c>
      <x:c r="D325" s="2" t="str">
        <x:v>Two months</x:v>
      </x:c>
      <x:c r="E325" s="2" t="str">
        <x:v>2024-07-01</x:v>
      </x:c>
      <x:c r="F325" s="2" t="str">
        <x:v>2024-06-01</x:v>
      </x:c>
      <x:c r="G325" s="2" t="str">
        <x:v>Seasonal step</x:v>
      </x:c>
      <x:c r="H325" s="7" t="n">
        <x:v>190.3574629920648</x:v>
      </x:c>
      <x:c r="I325" s="7" t="n">
        <x:v>190.421</x:v>
      </x:c>
      <x:c r="J325" s="2" t="str">
        <x:v>2024-07-29</x:v>
      </x:c>
      <x:c r="K325" s="7" t="n">
        <x:f>100*(H325/I325-1)</x:f>
        <x:v>-0.033366597137496345</x:v>
      </x:c>
      <x:c r="L325" s="7" t="n">
        <x:f>ABS(K325)</x:f>
        <x:v>0.033366597137496345</x:v>
      </x:c>
      <x:c r="M325" s="2" t="str">
        <x:v>Calibration</x:v>
      </x:c>
    </x:row>
    <x:row r="326" ht="27" customHeight="1">
      <x:c r="A326" s="2"/>
      <x:c r="B326" s="2" t="str">
        <x:v>CUUR0000SEGB02</x:v>
      </x:c>
      <x:c r="C326" s="2" t="str">
        <x:v>2024-09-30</x:v>
      </x:c>
      <x:c r="D326" s="2" t="str">
        <x:v>Origin</x:v>
      </x:c>
      <x:c r="E326" s="2" t="str">
        <x:v>2024-07-01</x:v>
      </x:c>
      <x:c r="F326" s="2" t="str">
        <x:v>2024-07-01</x:v>
      </x:c>
      <x:c r="G326" s="2" t="str">
        <x:v>YoY carry</x:v>
      </x:c>
      <x:c r="H326" s="7" t="n">
        <x:v>192.87338723682825</x:v>
      </x:c>
      <x:c r="I326" s="7" t="n">
        <x:v>189.982</x:v>
      </x:c>
      <x:c r="J326" s="2" t="str">
        <x:v>2024-10-01</x:v>
      </x:c>
      <x:c r="K326" s="7" t="n">
        <x:f>100*(H326/I326-1)</x:f>
        <x:v>1.5219269387774848</x:v>
      </x:c>
      <x:c r="L326" s="7" t="n">
        <x:f>ABS(K326)</x:f>
        <x:v>1.5219269387774848</x:v>
      </x:c>
      <x:c r="M326" s="2" t="str">
        <x:v>Yes</x:v>
      </x:c>
    </x:row>
    <x:row r="327" ht="27" customHeight="1">
      <x:c r="A327" s="2"/>
      <x:c r="B327" s="2" t="str">
        <x:v>CUUR0000SEGB02</x:v>
      </x:c>
      <x:c r="C327" s="2" t="str">
        <x:v>2024-09-30</x:v>
      </x:c>
      <x:c r="D327" s="2" t="str">
        <x:v>Origin</x:v>
      </x:c>
      <x:c r="E327" s="2" t="str">
        <x:v>2024-07-01</x:v>
      </x:c>
      <x:c r="F327" s="2" t="str">
        <x:v>2024-08-01</x:v>
      </x:c>
      <x:c r="G327" s="2" t="str">
        <x:v>YoY carry</x:v>
      </x:c>
      <x:c r="H327" s="7" t="n">
        <x:v>192.85521030657702</x:v>
      </x:c>
      <x:c r="I327" s="7" t="n">
        <x:v>190.812</x:v>
      </x:c>
      <x:c r="J327" s="2" t="str">
        <x:v>2024-10-01</x:v>
      </x:c>
      <x:c r="K327" s="7" t="n">
        <x:f>100*(H327/I327-1)</x:f>
        <x:v>1.0707975947933157</x:v>
      </x:c>
      <x:c r="L327" s="7" t="n">
        <x:f>ABS(K327)</x:f>
        <x:v>1.0707975947933157</x:v>
      </x:c>
      <x:c r="M327" s="2" t="str">
        <x:v>Yes</x:v>
      </x:c>
    </x:row>
    <x:row r="328" ht="27" customHeight="1">
      <x:c r="A328" s="2"/>
      <x:c r="B328" s="2" t="str">
        <x:v>CUUR0000SEGB02</x:v>
      </x:c>
      <x:c r="C328" s="2" t="str">
        <x:v>2024-09-30</x:v>
      </x:c>
      <x:c r="D328" s="2" t="str">
        <x:v>Origin</x:v>
      </x:c>
      <x:c r="E328" s="2" t="str">
        <x:v>2024-07-01</x:v>
      </x:c>
      <x:c r="F328" s="2" t="str">
        <x:v>2024-09-01</x:v>
      </x:c>
      <x:c r="G328" s="2" t="str">
        <x:v>YoY carry</x:v>
      </x:c>
      <x:c r="H328" s="7" t="n">
        <x:v>193.9448162921921</x:v>
      </x:c>
      <x:c r="I328" s="7" t="n">
        <x:v>191.105</x:v>
      </x:c>
      <x:c r="J328" s="2" t="str">
        <x:v>2024-10-17</x:v>
      </x:c>
      <x:c r="K328" s="7" t="n">
        <x:f>100*(H328/I328-1)</x:f>
        <x:v>1.4859979028241543</x:v>
      </x:c>
      <x:c r="L328" s="7" t="n">
        <x:f>ABS(K328)</x:f>
        <x:v>1.4859979028241543</x:v>
      </x:c>
      <x:c r="M328" s="2" t="str">
        <x:v>Yes</x:v>
      </x:c>
    </x:row>
    <x:row r="329" ht="27" customHeight="1">
      <x:c r="A329" s="2"/>
      <x:c r="B329" s="2" t="str">
        <x:v>CUUR0000SEGB02</x:v>
      </x:c>
      <x:c r="C329" s="2" t="str">
        <x:v>2024-09-30</x:v>
      </x:c>
      <x:c r="D329" s="2" t="str">
        <x:v>Origin</x:v>
      </x:c>
      <x:c r="E329" s="2" t="str">
        <x:v>2024-07-01</x:v>
      </x:c>
      <x:c r="F329" s="2" t="str">
        <x:v>2024-07-01</x:v>
      </x:c>
      <x:c r="G329" s="2" t="str">
        <x:v>Flat level</x:v>
      </x:c>
      <x:c r="H329" s="7" t="n">
        <x:v>189.984</x:v>
      </x:c>
      <x:c r="I329" s="7" t="n">
        <x:v>189.982</x:v>
      </x:c>
      <x:c r="J329" s="2" t="str">
        <x:v>2024-10-01</x:v>
      </x:c>
      <x:c r="K329" s="7" t="n">
        <x:f>100*(H329/I329-1)</x:f>
        <x:v>0.001052731311390609</x:v>
      </x:c>
      <x:c r="L329" s="7" t="n">
        <x:f>ABS(K329)</x:f>
        <x:v>0.001052731311390609</x:v>
      </x:c>
      <x:c r="M329" s="2" t="str">
        <x:v>Yes</x:v>
      </x:c>
    </x:row>
    <x:row r="330" ht="27" customHeight="1">
      <x:c r="A330" s="2"/>
      <x:c r="B330" s="2" t="str">
        <x:v>CUUR0000SEGB02</x:v>
      </x:c>
      <x:c r="C330" s="2" t="str">
        <x:v>2024-09-30</x:v>
      </x:c>
      <x:c r="D330" s="2" t="str">
        <x:v>Origin</x:v>
      </x:c>
      <x:c r="E330" s="2" t="str">
        <x:v>2024-07-01</x:v>
      </x:c>
      <x:c r="F330" s="2" t="str">
        <x:v>2024-08-01</x:v>
      </x:c>
      <x:c r="G330" s="2" t="str">
        <x:v>Flat level</x:v>
      </x:c>
      <x:c r="H330" s="7" t="n">
        <x:v>189.984</x:v>
      </x:c>
      <x:c r="I330" s="7" t="n">
        <x:v>190.812</x:v>
      </x:c>
      <x:c r="J330" s="2" t="str">
        <x:v>2024-10-01</x:v>
      </x:c>
      <x:c r="K330" s="7" t="n">
        <x:f>100*(H330/I330-1)</x:f>
        <x:v>-0.4339349726432351</x:v>
      </x:c>
      <x:c r="L330" s="7" t="n">
        <x:f>ABS(K330)</x:f>
        <x:v>0.4339349726432351</x:v>
      </x:c>
      <x:c r="M330" s="2" t="str">
        <x:v>Yes</x:v>
      </x:c>
    </x:row>
    <x:row r="331" ht="27" customHeight="1">
      <x:c r="A331" s="2"/>
      <x:c r="B331" s="2" t="str">
        <x:v>CUUR0000SEGB02</x:v>
      </x:c>
      <x:c r="C331" s="2" t="str">
        <x:v>2024-09-30</x:v>
      </x:c>
      <x:c r="D331" s="2" t="str">
        <x:v>Origin</x:v>
      </x:c>
      <x:c r="E331" s="2" t="str">
        <x:v>2024-07-01</x:v>
      </x:c>
      <x:c r="F331" s="2" t="str">
        <x:v>2024-09-01</x:v>
      </x:c>
      <x:c r="G331" s="2" t="str">
        <x:v>Flat level</x:v>
      </x:c>
      <x:c r="H331" s="7" t="n">
        <x:v>189.984</x:v>
      </x:c>
      <x:c r="I331" s="7" t="n">
        <x:v>191.105</x:v>
      </x:c>
      <x:c r="J331" s="2" t="str">
        <x:v>2024-10-17</x:v>
      </x:c>
      <x:c r="K331" s="7" t="n">
        <x:f>100*(H331/I331-1)</x:f>
        <x:v>-0.5865885246330471</x:v>
      </x:c>
      <x:c r="L331" s="7" t="n">
        <x:f>ABS(K331)</x:f>
        <x:v>0.5865885246330471</x:v>
      </x:c>
      <x:c r="M331" s="2" t="str">
        <x:v>Yes</x:v>
      </x:c>
    </x:row>
    <x:row r="332" ht="27" customHeight="1">
      <x:c r="A332" s="2"/>
      <x:c r="B332" s="2" t="str">
        <x:v>CUUR0000SEGB02</x:v>
      </x:c>
      <x:c r="C332" s="2" t="str">
        <x:v>2024-09-30</x:v>
      </x:c>
      <x:c r="D332" s="2" t="str">
        <x:v>Origin</x:v>
      </x:c>
      <x:c r="E332" s="2" t="str">
        <x:v>2024-07-01</x:v>
      </x:c>
      <x:c r="F332" s="2" t="str">
        <x:v>2024-07-01</x:v>
      </x:c>
      <x:c r="G332" s="2" t="str">
        <x:v>Recent trend</x:v>
      </x:c>
      <x:c r="H332" s="7" t="n">
        <x:v>188.36100000000002</x:v>
      </x:c>
      <x:c r="I332" s="7" t="n">
        <x:v>189.982</x:v>
      </x:c>
      <x:c r="J332" s="2" t="str">
        <x:v>2024-10-01</x:v>
      </x:c>
      <x:c r="K332" s="7" t="n">
        <x:f>100*(H332/I332-1)</x:f>
        <x:v>-0.8532387278794684</x:v>
      </x:c>
      <x:c r="L332" s="7" t="n">
        <x:f>ABS(K332)</x:f>
        <x:v>0.8532387278794684</x:v>
      </x:c>
      <x:c r="M332" s="2" t="str">
        <x:v>Yes</x:v>
      </x:c>
    </x:row>
    <x:row r="333" ht="27" customHeight="1">
      <x:c r="A333" s="2"/>
      <x:c r="B333" s="2" t="str">
        <x:v>CUUR0000SEGB02</x:v>
      </x:c>
      <x:c r="C333" s="2" t="str">
        <x:v>2024-09-30</x:v>
      </x:c>
      <x:c r="D333" s="2" t="str">
        <x:v>Origin</x:v>
      </x:c>
      <x:c r="E333" s="2" t="str">
        <x:v>2024-07-01</x:v>
      </x:c>
      <x:c r="F333" s="2" t="str">
        <x:v>2024-08-01</x:v>
      </x:c>
      <x:c r="G333" s="2" t="str">
        <x:v>Recent trend</x:v>
      </x:c>
      <x:c r="H333" s="7" t="n">
        <x:v>187.54950000000002</x:v>
      </x:c>
      <x:c r="I333" s="7" t="n">
        <x:v>190.812</x:v>
      </x:c>
      <x:c r="J333" s="2" t="str">
        <x:v>2024-10-01</x:v>
      </x:c>
      <x:c r="K333" s="7" t="n">
        <x:f>100*(H333/I333-1)</x:f>
        <x:v>-1.7097981259040274</x:v>
      </x:c>
      <x:c r="L333" s="7" t="n">
        <x:f>ABS(K333)</x:f>
        <x:v>1.7097981259040274</x:v>
      </x:c>
      <x:c r="M333" s="2" t="str">
        <x:v>Yes</x:v>
      </x:c>
    </x:row>
    <x:row r="334" ht="27" customHeight="1">
      <x:c r="A334" s="2"/>
      <x:c r="B334" s="2" t="str">
        <x:v>CUUR0000SEGB02</x:v>
      </x:c>
      <x:c r="C334" s="2" t="str">
        <x:v>2024-09-30</x:v>
      </x:c>
      <x:c r="D334" s="2" t="str">
        <x:v>Origin</x:v>
      </x:c>
      <x:c r="E334" s="2" t="str">
        <x:v>2024-07-01</x:v>
      </x:c>
      <x:c r="F334" s="2" t="str">
        <x:v>2024-09-01</x:v>
      </x:c>
      <x:c r="G334" s="2" t="str">
        <x:v>Recent trend</x:v>
      </x:c>
      <x:c r="H334" s="7" t="n">
        <x:v>186.73800000000003</x:v>
      </x:c>
      <x:c r="I334" s="7" t="n">
        <x:v>191.105</x:v>
      </x:c>
      <x:c r="J334" s="2" t="str">
        <x:v>2024-10-17</x:v>
      </x:c>
      <x:c r="K334" s="7" t="n">
        <x:f>100*(H334/I334-1)</x:f>
        <x:v>-2.285131210591018</x:v>
      </x:c>
      <x:c r="L334" s="7" t="n">
        <x:f>ABS(K334)</x:f>
        <x:v>2.285131210591018</x:v>
      </x:c>
      <x:c r="M334" s="2" t="str">
        <x:v>Yes</x:v>
      </x:c>
    </x:row>
    <x:row r="335" ht="27" customHeight="1">
      <x:c r="A335" s="2"/>
      <x:c r="B335" s="2" t="str">
        <x:v>CUUR0000SEGB02</x:v>
      </x:c>
      <x:c r="C335" s="2" t="str">
        <x:v>2024-09-30</x:v>
      </x:c>
      <x:c r="D335" s="2" t="str">
        <x:v>Origin</x:v>
      </x:c>
      <x:c r="E335" s="2" t="str">
        <x:v>2024-07-01</x:v>
      </x:c>
      <x:c r="F335" s="2" t="str">
        <x:v>2024-07-01</x:v>
      </x:c>
      <x:c r="G335" s="2" t="str">
        <x:v>Seasonal step</x:v>
      </x:c>
      <x:c r="H335" s="7" t="n">
        <x:v>191.41880729732702</x:v>
      </x:c>
      <x:c r="I335" s="7" t="n">
        <x:v>189.982</x:v>
      </x:c>
      <x:c r="J335" s="2" t="str">
        <x:v>2024-10-01</x:v>
      </x:c>
      <x:c r="K335" s="7" t="n">
        <x:f>100*(H335/I335-1)</x:f>
        <x:v>0.7562860151630213</x:v>
      </x:c>
      <x:c r="L335" s="7" t="n">
        <x:f>ABS(K335)</x:f>
        <x:v>0.7562860151630213</x:v>
      </x:c>
      <x:c r="M335" s="2" t="str">
        <x:v>Yes</x:v>
      </x:c>
    </x:row>
    <x:row r="336" ht="27" customHeight="1">
      <x:c r="A336" s="2"/>
      <x:c r="B336" s="2" t="str">
        <x:v>CUUR0000SEGB02</x:v>
      </x:c>
      <x:c r="C336" s="2" t="str">
        <x:v>2024-09-30</x:v>
      </x:c>
      <x:c r="D336" s="2" t="str">
        <x:v>Origin</x:v>
      </x:c>
      <x:c r="E336" s="2" t="str">
        <x:v>2024-07-01</x:v>
      </x:c>
      <x:c r="F336" s="2" t="str">
        <x:v>2024-08-01</x:v>
      </x:c>
      <x:c r="G336" s="2" t="str">
        <x:v>Seasonal step</x:v>
      </x:c>
      <x:c r="H336" s="7" t="n">
        <x:v>193.9705945608377</x:v>
      </x:c>
      <x:c r="I336" s="7" t="n">
        <x:v>190.812</x:v>
      </x:c>
      <x:c r="J336" s="2" t="str">
        <x:v>2024-10-01</x:v>
      </x:c>
      <x:c r="K336" s="7" t="n">
        <x:f>100*(H336/I336-1)</x:f>
        <x:v>1.6553437733673348</x:v>
      </x:c>
      <x:c r="L336" s="7" t="n">
        <x:f>ABS(K336)</x:f>
        <x:v>1.6553437733673348</x:v>
      </x:c>
      <x:c r="M336" s="2" t="str">
        <x:v>Yes</x:v>
      </x:c>
    </x:row>
    <x:row r="337" ht="27" customHeight="1">
      <x:c r="A337" s="2"/>
      <x:c r="B337" s="2" t="str">
        <x:v>CUUR0000SEGB02</x:v>
      </x:c>
      <x:c r="C337" s="2" t="str">
        <x:v>2024-09-30</x:v>
      </x:c>
      <x:c r="D337" s="2" t="str">
        <x:v>Origin</x:v>
      </x:c>
      <x:c r="E337" s="2" t="str">
        <x:v>2024-07-01</x:v>
      </x:c>
      <x:c r="F337" s="2" t="str">
        <x:v>2024-09-01</x:v>
      </x:c>
      <x:c r="G337" s="2" t="str">
        <x:v>Seasonal step</x:v>
      </x:c>
      <x:c r="H337" s="7" t="n">
        <x:v>194.76506461913257</x:v>
      </x:c>
      <x:c r="I337" s="7" t="n">
        <x:v>191.105</x:v>
      </x:c>
      <x:c r="J337" s="2" t="str">
        <x:v>2024-10-17</x:v>
      </x:c>
      <x:c r="K337" s="7" t="n">
        <x:f>100*(H337/I337-1)</x:f>
        <x:v>1.915211333629463</x:v>
      </x:c>
      <x:c r="L337" s="7" t="n">
        <x:f>ABS(K337)</x:f>
        <x:v>1.915211333629463</x:v>
      </x:c>
      <x:c r="M337" s="2" t="str">
        <x:v>Yes</x:v>
      </x:c>
    </x:row>
    <x:row r="338" ht="27" customHeight="1">
      <x:c r="A338" s="2"/>
      <x:c r="B338" s="2" t="str">
        <x:v>CUUR0000SEGB02</x:v>
      </x:c>
      <x:c r="C338" s="2" t="str">
        <x:v>2024-09-30</x:v>
      </x:c>
      <x:c r="D338" s="2" t="str">
        <x:v>Two months</x:v>
      </x:c>
      <x:c r="E338" s="2" t="str">
        <x:v>2024-10-01</x:v>
      </x:c>
      <x:c r="F338" s="2" t="str">
        <x:v>2024-09-01</x:v>
      </x:c>
      <x:c r="G338" s="2" t="str">
        <x:v>YoY carry</x:v>
      </x:c>
      <x:c r="H338" s="7" t="n">
        <x:v>191.82461049107664</x:v>
      </x:c>
      <x:c r="I338" s="7" t="n">
        <x:v>191.105</x:v>
      </x:c>
      <x:c r="J338" s="2" t="str">
        <x:v>2024-10-17</x:v>
      </x:c>
      <x:c r="K338" s="7" t="n">
        <x:f>100*(H338/I338-1)</x:f>
        <x:v>0.37655241415799345</x:v>
      </x:c>
      <x:c r="L338" s="7" t="n">
        <x:f>ABS(K338)</x:f>
        <x:v>0.37655241415799345</x:v>
      </x:c>
      <x:c r="M338" s="2" t="str">
        <x:v>Yes</x:v>
      </x:c>
    </x:row>
    <x:row r="339" ht="27" customHeight="1">
      <x:c r="A339" s="2"/>
      <x:c r="B339" s="2" t="str">
        <x:v>CUUR0000SEGB02</x:v>
      </x:c>
      <x:c r="C339" s="2" t="str">
        <x:v>2024-09-30</x:v>
      </x:c>
      <x:c r="D339" s="2" t="str">
        <x:v>Two months</x:v>
      </x:c>
      <x:c r="E339" s="2" t="str">
        <x:v>2024-10-01</x:v>
      </x:c>
      <x:c r="F339" s="2" t="str">
        <x:v>2024-09-01</x:v>
      </x:c>
      <x:c r="G339" s="2" t="str">
        <x:v>Flat level</x:v>
      </x:c>
      <x:c r="H339" s="7" t="n">
        <x:v>190.812</x:v>
      </x:c>
      <x:c r="I339" s="7" t="n">
        <x:v>191.105</x:v>
      </x:c>
      <x:c r="J339" s="2" t="str">
        <x:v>2024-10-17</x:v>
      </x:c>
      <x:c r="K339" s="7" t="n">
        <x:f>100*(H339/I339-1)</x:f>
        <x:v>-0.15331885612620555</x:v>
      </x:c>
      <x:c r="L339" s="7" t="n">
        <x:f>ABS(K339)</x:f>
        <x:v>0.15331885612620555</x:v>
      </x:c>
      <x:c r="M339" s="2" t="str">
        <x:v>Yes</x:v>
      </x:c>
    </x:row>
    <x:row r="340" ht="27" customHeight="1">
      <x:c r="A340" s="2"/>
      <x:c r="B340" s="2" t="str">
        <x:v>CUUR0000SEGB02</x:v>
      </x:c>
      <x:c r="C340" s="2" t="str">
        <x:v>2024-09-30</x:v>
      </x:c>
      <x:c r="D340" s="2" t="str">
        <x:v>Two months</x:v>
      </x:c>
      <x:c r="E340" s="2" t="str">
        <x:v>2024-10-01</x:v>
      </x:c>
      <x:c r="F340" s="2" t="str">
        <x:v>2024-09-01</x:v>
      </x:c>
      <x:c r="G340" s="2" t="str">
        <x:v>Recent trend</x:v>
      </x:c>
      <x:c r="H340" s="7" t="n">
        <x:v>191.00750000000002</x:v>
      </x:c>
      <x:c r="I340" s="7" t="n">
        <x:v>191.105</x:v>
      </x:c>
      <x:c r="J340" s="2" t="str">
        <x:v>2024-10-17</x:v>
      </x:c>
      <x:c r="K340" s="7" t="n">
        <x:f>100*(H340/I340-1)</x:f>
        <x:v>-0.05101907328430855</x:v>
      </x:c>
      <x:c r="L340" s="7" t="n">
        <x:f>ABS(K340)</x:f>
        <x:v>0.05101907328430855</x:v>
      </x:c>
      <x:c r="M340" s="2" t="str">
        <x:v>Yes</x:v>
      </x:c>
    </x:row>
    <x:row r="341" ht="27" customHeight="1">
      <x:c r="A341" s="2"/>
      <x:c r="B341" s="2" t="str">
        <x:v>CUUR0000SEGB02</x:v>
      </x:c>
      <x:c r="C341" s="2" t="str">
        <x:v>2024-09-30</x:v>
      </x:c>
      <x:c r="D341" s="2" t="str">
        <x:v>Two months</x:v>
      </x:c>
      <x:c r="E341" s="2" t="str">
        <x:v>2024-10-01</x:v>
      </x:c>
      <x:c r="F341" s="2" t="str">
        <x:v>2024-09-01</x:v>
      </x:c>
      <x:c r="G341" s="2" t="str">
        <x:v>Seasonal step</x:v>
      </x:c>
      <x:c r="H341" s="7" t="n">
        <x:v>191.59353300043537</x:v>
      </x:c>
      <x:c r="I341" s="7" t="n">
        <x:v>191.105</x:v>
      </x:c>
      <x:c r="J341" s="2" t="str">
        <x:v>2024-10-17</x:v>
      </x:c>
      <x:c r="K341" s="7" t="n">
        <x:f>100*(H341/I341-1)</x:f>
        <x:v>0.255635907189955</x:v>
      </x:c>
      <x:c r="L341" s="7" t="n">
        <x:f>ABS(K341)</x:f>
        <x:v>0.255635907189955</x:v>
      </x:c>
      <x:c r="M341" s="2" t="str">
        <x:v>Yes</x:v>
      </x:c>
    </x:row>
    <x:row r="342" ht="27" customHeight="1">
      <x:c r="A342" s="2"/>
      <x:c r="B342" s="2" t="str">
        <x:v>CUUR0000SEGB02</x:v>
      </x:c>
      <x:c r="C342" s="2" t="str">
        <x:v>2024-12-31</x:v>
      </x:c>
      <x:c r="D342" s="2" t="str">
        <x:v>Origin</x:v>
      </x:c>
      <x:c r="E342" s="2" t="str">
        <x:v>2024-10-01</x:v>
      </x:c>
      <x:c r="F342" s="2" t="str">
        <x:v>2024-10-01</x:v>
      </x:c>
      <x:c r="G342" s="2" t="str">
        <x:v>YoY carry</x:v>
      </x:c>
      <x:c r="H342" s="7" t="n">
        <x:v>193.2378983371061</x:v>
      </x:c>
      <x:c r="I342" s="7" t="n">
        <x:v>191.813</x:v>
      </x:c>
      <x:c r="J342" s="2" t="str">
        <x:v>2025-01-01</x:v>
      </x:c>
      <x:c r="K342" s="7" t="n">
        <x:f>100*(H342/I342-1)</x:f>
        <x:v>0.742858063377394</x:v>
      </x:c>
      <x:c r="L342" s="7" t="n">
        <x:f>ABS(K342)</x:f>
        <x:v>0.742858063377394</x:v>
      </x:c>
      <x:c r="M342" s="2" t="str">
        <x:v>Yes</x:v>
      </x:c>
    </x:row>
    <x:row r="343" ht="27" customHeight="1">
      <x:c r="A343" s="2"/>
      <x:c r="B343" s="2" t="str">
        <x:v>CUUR0000SEGB02</x:v>
      </x:c>
      <x:c r="C343" s="2" t="str">
        <x:v>2024-12-31</x:v>
      </x:c>
      <x:c r="D343" s="2" t="str">
        <x:v>Origin</x:v>
      </x:c>
      <x:c r="E343" s="2" t="str">
        <x:v>2024-10-01</x:v>
      </x:c>
      <x:c r="F343" s="2" t="str">
        <x:v>2024-11-01</x:v>
      </x:c>
      <x:c r="G343" s="2" t="str">
        <x:v>YoY carry</x:v>
      </x:c>
      <x:c r="H343" s="7" t="n">
        <x:v>191.47703157205316</x:v>
      </x:c>
      <x:c r="I343" s="7" t="n">
        <x:v>189.988</x:v>
      </x:c>
      <x:c r="J343" s="2" t="str">
        <x:v>2025-01-01</x:v>
      </x:c>
      <x:c r="K343" s="7" t="n">
        <x:f>100*(H343/I343-1)</x:f>
        <x:v>0.7837503274170876</x:v>
      </x:c>
      <x:c r="L343" s="7" t="n">
        <x:f>ABS(K343)</x:f>
        <x:v>0.7837503274170876</x:v>
      </x:c>
      <x:c r="M343" s="2" t="str">
        <x:v>Yes</x:v>
      </x:c>
    </x:row>
    <x:row r="344" ht="27" customHeight="1">
      <x:c r="A344" s="2"/>
      <x:c r="B344" s="2" t="str">
        <x:v>CUUR0000SEGB02</x:v>
      </x:c>
      <x:c r="C344" s="2" t="str">
        <x:v>2024-12-31</x:v>
      </x:c>
      <x:c r="D344" s="2" t="str">
        <x:v>Origin</x:v>
      </x:c>
      <x:c r="E344" s="2" t="str">
        <x:v>2024-10-01</x:v>
      </x:c>
      <x:c r="F344" s="2" t="str">
        <x:v>2024-12-01</x:v>
      </x:c>
      <x:c r="G344" s="2" t="str">
        <x:v>YoY carry</x:v>
      </x:c>
      <x:c r="H344" s="7" t="n">
        <x:v>187.1223071842876</x:v>
      </x:c>
      <x:c r="I344" s="7" t="n">
        <x:v>187.819</x:v>
      </x:c>
      <x:c r="J344" s="2" t="str">
        <x:v>2025-01-21</x:v>
      </x:c>
      <x:c r="K344" s="7" t="n">
        <x:f>100*(H344/I344-1)</x:f>
        <x:v>-0.3709384118286252</x:v>
      </x:c>
      <x:c r="L344" s="7" t="n">
        <x:f>ABS(K344)</x:f>
        <x:v>0.3709384118286252</x:v>
      </x:c>
      <x:c r="M344" s="2" t="str">
        <x:v>Yes</x:v>
      </x:c>
    </x:row>
    <x:row r="345" ht="27" customHeight="1">
      <x:c r="A345" s="2"/>
      <x:c r="B345" s="2" t="str">
        <x:v>CUUR0000SEGB02</x:v>
      </x:c>
      <x:c r="C345" s="2" t="str">
        <x:v>2024-12-31</x:v>
      </x:c>
      <x:c r="D345" s="2" t="str">
        <x:v>Origin</x:v>
      </x:c>
      <x:c r="E345" s="2" t="str">
        <x:v>2024-10-01</x:v>
      </x:c>
      <x:c r="F345" s="2" t="str">
        <x:v>2024-10-01</x:v>
      </x:c>
      <x:c r="G345" s="2" t="str">
        <x:v>Flat level</x:v>
      </x:c>
      <x:c r="H345" s="7" t="n">
        <x:v>190.812</x:v>
      </x:c>
      <x:c r="I345" s="7" t="n">
        <x:v>191.813</x:v>
      </x:c>
      <x:c r="J345" s="2" t="str">
        <x:v>2025-01-01</x:v>
      </x:c>
      <x:c r="K345" s="7" t="n">
        <x:f>100*(H345/I345-1)</x:f>
        <x:v>-0.5218624389379145</x:v>
      </x:c>
      <x:c r="L345" s="7" t="n">
        <x:f>ABS(K345)</x:f>
        <x:v>0.5218624389379145</x:v>
      </x:c>
      <x:c r="M345" s="2" t="str">
        <x:v>Yes</x:v>
      </x:c>
    </x:row>
    <x:row r="346" ht="27" customHeight="1">
      <x:c r="A346" s="2"/>
      <x:c r="B346" s="2" t="str">
        <x:v>CUUR0000SEGB02</x:v>
      </x:c>
      <x:c r="C346" s="2" t="str">
        <x:v>2024-12-31</x:v>
      </x:c>
      <x:c r="D346" s="2" t="str">
        <x:v>Origin</x:v>
      </x:c>
      <x:c r="E346" s="2" t="str">
        <x:v>2024-10-01</x:v>
      </x:c>
      <x:c r="F346" s="2" t="str">
        <x:v>2024-11-01</x:v>
      </x:c>
      <x:c r="G346" s="2" t="str">
        <x:v>Flat level</x:v>
      </x:c>
      <x:c r="H346" s="7" t="n">
        <x:v>190.812</x:v>
      </x:c>
      <x:c r="I346" s="7" t="n">
        <x:v>189.988</x:v>
      </x:c>
      <x:c r="J346" s="2" t="str">
        <x:v>2025-01-01</x:v>
      </x:c>
      <x:c r="K346" s="7" t="n">
        <x:f>100*(H346/I346-1)</x:f>
        <x:v>0.43371160283807164</x:v>
      </x:c>
      <x:c r="L346" s="7" t="n">
        <x:f>ABS(K346)</x:f>
        <x:v>0.43371160283807164</x:v>
      </x:c>
      <x:c r="M346" s="2" t="str">
        <x:v>Yes</x:v>
      </x:c>
    </x:row>
    <x:row r="347" ht="27" customHeight="1">
      <x:c r="A347" s="2"/>
      <x:c r="B347" s="2" t="str">
        <x:v>CUUR0000SEGB02</x:v>
      </x:c>
      <x:c r="C347" s="2" t="str">
        <x:v>2024-12-31</x:v>
      </x:c>
      <x:c r="D347" s="2" t="str">
        <x:v>Origin</x:v>
      </x:c>
      <x:c r="E347" s="2" t="str">
        <x:v>2024-10-01</x:v>
      </x:c>
      <x:c r="F347" s="2" t="str">
        <x:v>2024-12-01</x:v>
      </x:c>
      <x:c r="G347" s="2" t="str">
        <x:v>Flat level</x:v>
      </x:c>
      <x:c r="H347" s="7" t="n">
        <x:v>190.812</x:v>
      </x:c>
      <x:c r="I347" s="7" t="n">
        <x:v>187.819</x:v>
      </x:c>
      <x:c r="J347" s="2" t="str">
        <x:v>2025-01-21</x:v>
      </x:c>
      <x:c r="K347" s="7" t="n">
        <x:f>100*(H347/I347-1)</x:f>
        <x:v>1.5935554975801347</x:v>
      </x:c>
      <x:c r="L347" s="7" t="n">
        <x:f>ABS(K347)</x:f>
        <x:v>1.5935554975801347</x:v>
      </x:c>
      <x:c r="M347" s="2" t="str">
        <x:v>Yes</x:v>
      </x:c>
    </x:row>
    <x:row r="348" ht="27" customHeight="1">
      <x:c r="A348" s="2"/>
      <x:c r="B348" s="2" t="str">
        <x:v>CUUR0000SEGB02</x:v>
      </x:c>
      <x:c r="C348" s="2" t="str">
        <x:v>2024-12-31</x:v>
      </x:c>
      <x:c r="D348" s="2" t="str">
        <x:v>Origin</x:v>
      </x:c>
      <x:c r="E348" s="2" t="str">
        <x:v>2024-10-01</x:v>
      </x:c>
      <x:c r="F348" s="2" t="str">
        <x:v>2024-10-01</x:v>
      </x:c>
      <x:c r="G348" s="2" t="str">
        <x:v>Recent trend</x:v>
      </x:c>
      <x:c r="H348" s="7" t="n">
        <x:v>191.20300000000003</x:v>
      </x:c>
      <x:c r="I348" s="7" t="n">
        <x:v>191.813</x:v>
      </x:c>
      <x:c r="J348" s="2" t="str">
        <x:v>2025-01-01</x:v>
      </x:c>
      <x:c r="K348" s="7" t="n">
        <x:f>100*(H348/I348-1)</x:f>
        <x:v>-0.3180180696824242</x:v>
      </x:c>
      <x:c r="L348" s="7" t="n">
        <x:f>ABS(K348)</x:f>
        <x:v>0.3180180696824242</x:v>
      </x:c>
      <x:c r="M348" s="2" t="str">
        <x:v>Yes</x:v>
      </x:c>
    </x:row>
    <x:row r="349" ht="27" customHeight="1">
      <x:c r="A349" s="2"/>
      <x:c r="B349" s="2" t="str">
        <x:v>CUUR0000SEGB02</x:v>
      </x:c>
      <x:c r="C349" s="2" t="str">
        <x:v>2024-12-31</x:v>
      </x:c>
      <x:c r="D349" s="2" t="str">
        <x:v>Origin</x:v>
      </x:c>
      <x:c r="E349" s="2" t="str">
        <x:v>2024-10-01</x:v>
      </x:c>
      <x:c r="F349" s="2" t="str">
        <x:v>2024-11-01</x:v>
      </x:c>
      <x:c r="G349" s="2" t="str">
        <x:v>Recent trend</x:v>
      </x:c>
      <x:c r="H349" s="7" t="n">
        <x:v>191.39850000000004</x:v>
      </x:c>
      <x:c r="I349" s="7" t="n">
        <x:v>189.988</x:v>
      </x:c>
      <x:c r="J349" s="2" t="str">
        <x:v>2025-01-01</x:v>
      </x:c>
      <x:c r="K349" s="7" t="n">
        <x:f>100*(H349/I349-1)</x:f>
        <x:v>0.7424153104406805</x:v>
      </x:c>
      <x:c r="L349" s="7" t="n">
        <x:f>ABS(K349)</x:f>
        <x:v>0.7424153104406805</x:v>
      </x:c>
      <x:c r="M349" s="2" t="str">
        <x:v>Yes</x:v>
      </x:c>
    </x:row>
    <x:row r="350" ht="27" customHeight="1">
      <x:c r="A350" s="2"/>
      <x:c r="B350" s="2" t="str">
        <x:v>CUUR0000SEGB02</x:v>
      </x:c>
      <x:c r="C350" s="2" t="str">
        <x:v>2024-12-31</x:v>
      </x:c>
      <x:c r="D350" s="2" t="str">
        <x:v>Origin</x:v>
      </x:c>
      <x:c r="E350" s="2" t="str">
        <x:v>2024-10-01</x:v>
      </x:c>
      <x:c r="F350" s="2" t="str">
        <x:v>2024-12-01</x:v>
      </x:c>
      <x:c r="G350" s="2" t="str">
        <x:v>Recent trend</x:v>
      </x:c>
      <x:c r="H350" s="7" t="n">
        <x:v>191.59400000000005</x:v>
      </x:c>
      <x:c r="I350" s="7" t="n">
        <x:v>187.819</x:v>
      </x:c>
      <x:c r="J350" s="2" t="str">
        <x:v>2025-01-21</x:v>
      </x:c>
      <x:c r="K350" s="7" t="n">
        <x:f>100*(H350/I350-1)</x:f>
        <x:v>2.0099137999883165</x:v>
      </x:c>
      <x:c r="L350" s="7" t="n">
        <x:f>ABS(K350)</x:f>
        <x:v>2.0099137999883165</x:v>
      </x:c>
      <x:c r="M350" s="2" t="str">
        <x:v>Yes</x:v>
      </x:c>
    </x:row>
    <x:row r="351" ht="27" customHeight="1">
      <x:c r="A351" s="2"/>
      <x:c r="B351" s="2" t="str">
        <x:v>CUUR0000SEGB02</x:v>
      </x:c>
      <x:c r="C351" s="2" t="str">
        <x:v>2024-12-31</x:v>
      </x:c>
      <x:c r="D351" s="2" t="str">
        <x:v>Origin</x:v>
      </x:c>
      <x:c r="E351" s="2" t="str">
        <x:v>2024-10-01</x:v>
      </x:c>
      <x:c r="F351" s="2" t="str">
        <x:v>2024-10-01</x:v>
      </x:c>
      <x:c r="G351" s="2" t="str">
        <x:v>Seasonal step</x:v>
      </x:c>
      <x:c r="H351" s="7" t="n">
        <x:v>191.59968680358838</x:v>
      </x:c>
      <x:c r="I351" s="7" t="n">
        <x:v>191.813</x:v>
      </x:c>
      <x:c r="J351" s="2" t="str">
        <x:v>2025-01-01</x:v>
      </x:c>
      <x:c r="K351" s="7" t="n">
        <x:f>100*(H351/I351-1)</x:f>
        <x:v>-0.11120893600100601</x:v>
      </x:c>
      <x:c r="L351" s="7" t="n">
        <x:f>ABS(K351)</x:f>
        <x:v>0.11120893600100601</x:v>
      </x:c>
      <x:c r="M351" s="2" t="str">
        <x:v>Yes</x:v>
      </x:c>
    </x:row>
    <x:row r="352" ht="27" customHeight="1">
      <x:c r="A352" s="2"/>
      <x:c r="B352" s="2" t="str">
        <x:v>CUUR0000SEGB02</x:v>
      </x:c>
      <x:c r="C352" s="2" t="str">
        <x:v>2024-12-31</x:v>
      </x:c>
      <x:c r="D352" s="2" t="str">
        <x:v>Origin</x:v>
      </x:c>
      <x:c r="E352" s="2" t="str">
        <x:v>2024-10-01</x:v>
      </x:c>
      <x:c r="F352" s="2" t="str">
        <x:v>2024-11-01</x:v>
      </x:c>
      <x:c r="G352" s="2" t="str">
        <x:v>Seasonal step</x:v>
      </x:c>
      <x:c r="H352" s="7" t="n">
        <x:v>190.16947754249907</x:v>
      </x:c>
      <x:c r="I352" s="7" t="n">
        <x:v>189.988</x:v>
      </x:c>
      <x:c r="J352" s="2" t="str">
        <x:v>2025-01-01</x:v>
      </x:c>
      <x:c r="K352" s="7" t="n">
        <x:f>100*(H352/I352-1)</x:f>
        <x:v>0.09552052892765062</x:v>
      </x:c>
      <x:c r="L352" s="7" t="n">
        <x:f>ABS(K352)</x:f>
        <x:v>0.09552052892765062</x:v>
      </x:c>
      <x:c r="M352" s="2" t="str">
        <x:v>Yes</x:v>
      </x:c>
    </x:row>
    <x:row r="353" ht="27" customHeight="1">
      <x:c r="A353" s="2"/>
      <x:c r="B353" s="2" t="str">
        <x:v>CUUR0000SEGB02</x:v>
      </x:c>
      <x:c r="C353" s="2" t="str">
        <x:v>2024-12-31</x:v>
      </x:c>
      <x:c r="D353" s="2" t="str">
        <x:v>Origin</x:v>
      </x:c>
      <x:c r="E353" s="2" t="str">
        <x:v>2024-10-01</x:v>
      </x:c>
      <x:c r="F353" s="2" t="str">
        <x:v>2024-12-01</x:v>
      </x:c>
      <x:c r="G353" s="2" t="str">
        <x:v>Seasonal step</x:v>
      </x:c>
      <x:c r="H353" s="7" t="n">
        <x:v>188.6860406130726</x:v>
      </x:c>
      <x:c r="I353" s="7" t="n">
        <x:v>187.819</x:v>
      </x:c>
      <x:c r="J353" s="2" t="str">
        <x:v>2025-01-21</x:v>
      </x:c>
      <x:c r="K353" s="7" t="n">
        <x:f>100*(H353/I353-1)</x:f>
        <x:v>0.4616362631430393</x:v>
      </x:c>
      <x:c r="L353" s="7" t="n">
        <x:f>ABS(K353)</x:f>
        <x:v>0.4616362631430393</x:v>
      </x:c>
      <x:c r="M353" s="2" t="str">
        <x:v>Yes</x:v>
      </x:c>
    </x:row>
    <x:row r="354" ht="27" customHeight="1">
      <x:c r="A354" s="2"/>
      <x:c r="B354" s="2" t="str">
        <x:v>CUUR0000SEGB02</x:v>
      </x:c>
      <x:c r="C354" s="2" t="str">
        <x:v>2024-12-31</x:v>
      </x:c>
      <x:c r="D354" s="2" t="str">
        <x:v>Two months</x:v>
      </x:c>
      <x:c r="E354" s="2" t="str">
        <x:v>2025-01-01</x:v>
      </x:c>
      <x:c r="F354" s="2" t="str">
        <x:v>2024-12-01</x:v>
      </x:c>
      <x:c r="G354" s="2" t="str">
        <x:v>YoY carry</x:v>
      </x:c>
      <x:c r="H354" s="7" t="n">
        <x:v>185.94332709501836</x:v>
      </x:c>
      <x:c r="I354" s="7" t="n">
        <x:v>187.819</x:v>
      </x:c>
      <x:c r="J354" s="2" t="str">
        <x:v>2025-01-21</x:v>
      </x:c>
      <x:c r="K354" s="7" t="n">
        <x:f>100*(H354/I354-1)</x:f>
        <x:v>-0.9986598294004501</x:v>
      </x:c>
      <x:c r="L354" s="7" t="n">
        <x:f>ABS(K354)</x:f>
        <x:v>0.9986598294004501</x:v>
      </x:c>
      <x:c r="M354" s="2" t="str">
        <x:v>Yes</x:v>
      </x:c>
    </x:row>
    <x:row r="355" ht="27" customHeight="1">
      <x:c r="A355" s="2"/>
      <x:c r="B355" s="2" t="str">
        <x:v>CUUR0000SEGB02</x:v>
      </x:c>
      <x:c r="C355" s="2" t="str">
        <x:v>2024-12-31</x:v>
      </x:c>
      <x:c r="D355" s="2" t="str">
        <x:v>Two months</x:v>
      </x:c>
      <x:c r="E355" s="2" t="str">
        <x:v>2025-01-01</x:v>
      </x:c>
      <x:c r="F355" s="2" t="str">
        <x:v>2024-12-01</x:v>
      </x:c>
      <x:c r="G355" s="2" t="str">
        <x:v>Flat level</x:v>
      </x:c>
      <x:c r="H355" s="7" t="n">
        <x:v>189.988</x:v>
      </x:c>
      <x:c r="I355" s="7" t="n">
        <x:v>187.819</x:v>
      </x:c>
      <x:c r="J355" s="2" t="str">
        <x:v>2025-01-21</x:v>
      </x:c>
      <x:c r="K355" s="7" t="n">
        <x:f>100*(H355/I355-1)</x:f>
        <x:v>1.1548352403111473</x:v>
      </x:c>
      <x:c r="L355" s="7" t="n">
        <x:f>ABS(K355)</x:f>
        <x:v>1.1548352403111473</x:v>
      </x:c>
      <x:c r="M355" s="2" t="str">
        <x:v>Yes</x:v>
      </x:c>
    </x:row>
    <x:row r="356" ht="27" customHeight="1">
      <x:c r="A356" s="2"/>
      <x:c r="B356" s="2" t="str">
        <x:v>CUUR0000SEGB02</x:v>
      </x:c>
      <x:c r="C356" s="2" t="str">
        <x:v>2024-12-31</x:v>
      </x:c>
      <x:c r="D356" s="2" t="str">
        <x:v>Two months</x:v>
      </x:c>
      <x:c r="E356" s="2" t="str">
        <x:v>2025-01-01</x:v>
      </x:c>
      <x:c r="F356" s="2" t="str">
        <x:v>2024-12-01</x:v>
      </x:c>
      <x:c r="G356" s="2" t="str">
        <x:v>Recent trend</x:v>
      </x:c>
      <x:c r="H356" s="7" t="n">
        <x:v>189.42950000000002</x:v>
      </x:c>
      <x:c r="I356" s="7" t="n">
        <x:v>187.819</x:v>
      </x:c>
      <x:c r="J356" s="2" t="str">
        <x:v>2025-01-21</x:v>
      </x:c>
      <x:c r="K356" s="7" t="n">
        <x:f>100*(H356/I356-1)</x:f>
        <x:v>0.8574744834122461</x:v>
      </x:c>
      <x:c r="L356" s="7" t="n">
        <x:f>ABS(K356)</x:f>
        <x:v>0.8574744834122461</x:v>
      </x:c>
      <x:c r="M356" s="2" t="str">
        <x:v>Yes</x:v>
      </x:c>
    </x:row>
    <x:row r="357" ht="27" customHeight="1">
      <x:c r="A357" s="2"/>
      <x:c r="B357" s="2" t="str">
        <x:v>CUUR0000SEGB02</x:v>
      </x:c>
      <x:c r="C357" s="2" t="str">
        <x:v>2024-12-31</x:v>
      </x:c>
      <x:c r="D357" s="2" t="str">
        <x:v>Two months</x:v>
      </x:c>
      <x:c r="E357" s="2" t="str">
        <x:v>2025-01-01</x:v>
      </x:c>
      <x:c r="F357" s="2" t="str">
        <x:v>2024-12-01</x:v>
      </x:c>
      <x:c r="G357" s="2" t="str">
        <x:v>Seasonal step</x:v>
      </x:c>
      <x:c r="H357" s="7" t="n">
        <x:v>188.5059787051532</x:v>
      </x:c>
      <x:c r="I357" s="7" t="n">
        <x:v>187.819</x:v>
      </x:c>
      <x:c r="J357" s="2" t="str">
        <x:v>2025-01-21</x:v>
      </x:c>
      <x:c r="K357" s="7" t="n">
        <x:f>100*(H357/I357-1)</x:f>
        <x:v>0.36576635226106546</x:v>
      </x:c>
      <x:c r="L357" s="7" t="n">
        <x:f>ABS(K357)</x:f>
        <x:v>0.36576635226106546</x:v>
      </x:c>
      <x:c r="M357" s="2" t="str">
        <x:v>Yes</x:v>
      </x:c>
    </x:row>
    <x:row r="358" ht="27" customHeight="1">
      <x:c r="A358" s="2"/>
      <x:c r="B358" s="2" t="str">
        <x:v>CUUR0000SEGB02</x:v>
      </x:c>
      <x:c r="C358" s="2" t="str">
        <x:v>2025-03-31</x:v>
      </x:c>
      <x:c r="D358" s="2" t="str">
        <x:v>Origin</x:v>
      </x:c>
      <x:c r="E358" s="2" t="str">
        <x:v>2025-01-01</x:v>
      </x:c>
      <x:c r="F358" s="2" t="str">
        <x:v>2025-01-01</x:v>
      </x:c>
      <x:c r="G358" s="2" t="str">
        <x:v>YoY carry</x:v>
      </x:c>
      <x:c r="H358" s="7" t="n">
        <x:v>186.48225298526916</x:v>
      </x:c>
      <x:c r="I358" s="7" t="n">
        <x:v>189.029</x:v>
      </x:c>
      <x:c r="J358" s="2" t="str">
        <x:v>2025-04-01</x:v>
      </x:c>
      <x:c r="K358" s="7" t="n">
        <x:f>100*(H358/I358-1)</x:f>
        <x:v>-1.3472784677117433</x:v>
      </x:c>
      <x:c r="L358" s="7" t="n">
        <x:f>ABS(K358)</x:f>
        <x:v>1.3472784677117433</x:v>
      </x:c>
      <x:c r="M358" s="2" t="str">
        <x:v>Yes</x:v>
      </x:c>
    </x:row>
    <x:row r="359" ht="27" customHeight="1">
      <x:c r="A359" s="2"/>
      <x:c r="B359" s="2" t="str">
        <x:v>CUUR0000SEGB02</x:v>
      </x:c>
      <x:c r="C359" s="2" t="str">
        <x:v>2025-03-31</x:v>
      </x:c>
      <x:c r="D359" s="2" t="str">
        <x:v>Origin</x:v>
      </x:c>
      <x:c r="E359" s="2" t="str">
        <x:v>2025-01-01</x:v>
      </x:c>
      <x:c r="F359" s="2" t="str">
        <x:v>2025-02-01</x:v>
      </x:c>
      <x:c r="G359" s="2" t="str">
        <x:v>YoY carry</x:v>
      </x:c>
      <x:c r="H359" s="7" t="n">
        <x:v>189.7872681133265</x:v>
      </x:c>
      <x:c r="I359" s="7" t="n">
        <x:v>189.627</x:v>
      </x:c>
      <x:c r="J359" s="2" t="str">
        <x:v>2025-04-01</x:v>
      </x:c>
      <x:c r="K359" s="7" t="n">
        <x:f>100*(H359/I359-1)</x:f>
        <x:v>0.08451755990785959</x:v>
      </x:c>
      <x:c r="L359" s="7" t="n">
        <x:f>ABS(K359)</x:f>
        <x:v>0.08451755990785959</x:v>
      </x:c>
      <x:c r="M359" s="2" t="str">
        <x:v>Yes</x:v>
      </x:c>
    </x:row>
    <x:row r="360" ht="27" customHeight="1">
      <x:c r="A360" s="2"/>
      <x:c r="B360" s="2" t="str">
        <x:v>CUUR0000SEGB02</x:v>
      </x:c>
      <x:c r="C360" s="2" t="str">
        <x:v>2025-03-31</x:v>
      </x:c>
      <x:c r="D360" s="2" t="str">
        <x:v>Origin</x:v>
      </x:c>
      <x:c r="E360" s="2" t="str">
        <x:v>2025-01-01</x:v>
      </x:c>
      <x:c r="F360" s="2" t="str">
        <x:v>2025-03-01</x:v>
      </x:c>
      <x:c r="G360" s="2" t="str">
        <x:v>YoY carry</x:v>
      </x:c>
      <x:c r="H360" s="7" t="n">
        <x:v>190.16937947197576</x:v>
      </x:c>
      <x:c r="I360" s="7" t="n">
        <x:v>189.666</x:v>
      </x:c>
      <x:c r="J360" s="2" t="str">
        <x:v>2025-04-23</x:v>
      </x:c>
      <x:c r="K360" s="7" t="n">
        <x:f>100*(H360/I360-1)</x:f>
        <x:v>0.2654031149366576</x:v>
      </x:c>
      <x:c r="L360" s="7" t="n">
        <x:f>ABS(K360)</x:f>
        <x:v>0.2654031149366576</x:v>
      </x:c>
      <x:c r="M360" s="2" t="str">
        <x:v>Yes</x:v>
      </x:c>
    </x:row>
    <x:row r="361" ht="27" customHeight="1">
      <x:c r="A361" s="2"/>
      <x:c r="B361" s="2" t="str">
        <x:v>CUUR0000SEGB02</x:v>
      </x:c>
      <x:c r="C361" s="2" t="str">
        <x:v>2025-03-31</x:v>
      </x:c>
      <x:c r="D361" s="2" t="str">
        <x:v>Origin</x:v>
      </x:c>
      <x:c r="E361" s="2" t="str">
        <x:v>2025-01-01</x:v>
      </x:c>
      <x:c r="F361" s="2" t="str">
        <x:v>2025-01-01</x:v>
      </x:c>
      <x:c r="G361" s="2" t="str">
        <x:v>Flat level</x:v>
      </x:c>
      <x:c r="H361" s="7" t="n">
        <x:v>189.988</x:v>
      </x:c>
      <x:c r="I361" s="7" t="n">
        <x:v>189.029</x:v>
      </x:c>
      <x:c r="J361" s="2" t="str">
        <x:v>2025-04-01</x:v>
      </x:c>
      <x:c r="K361" s="7" t="n">
        <x:f>100*(H361/I361-1)</x:f>
        <x:v>0.5073295631887298</x:v>
      </x:c>
      <x:c r="L361" s="7" t="n">
        <x:f>ABS(K361)</x:f>
        <x:v>0.5073295631887298</x:v>
      </x:c>
      <x:c r="M361" s="2" t="str">
        <x:v>Yes</x:v>
      </x:c>
    </x:row>
    <x:row r="362" ht="27" customHeight="1">
      <x:c r="A362" s="2"/>
      <x:c r="B362" s="2" t="str">
        <x:v>CUUR0000SEGB02</x:v>
      </x:c>
      <x:c r="C362" s="2" t="str">
        <x:v>2025-03-31</x:v>
      </x:c>
      <x:c r="D362" s="2" t="str">
        <x:v>Origin</x:v>
      </x:c>
      <x:c r="E362" s="2" t="str">
        <x:v>2025-01-01</x:v>
      </x:c>
      <x:c r="F362" s="2" t="str">
        <x:v>2025-02-01</x:v>
      </x:c>
      <x:c r="G362" s="2" t="str">
        <x:v>Flat level</x:v>
      </x:c>
      <x:c r="H362" s="7" t="n">
        <x:v>189.988</x:v>
      </x:c>
      <x:c r="I362" s="7" t="n">
        <x:v>189.627</x:v>
      </x:c>
      <x:c r="J362" s="2" t="str">
        <x:v>2025-04-01</x:v>
      </x:c>
      <x:c r="K362" s="7" t="n">
        <x:f>100*(H362/I362-1)</x:f>
        <x:v>0.19037373369825694</x:v>
      </x:c>
      <x:c r="L362" s="7" t="n">
        <x:f>ABS(K362)</x:f>
        <x:v>0.19037373369825694</x:v>
      </x:c>
      <x:c r="M362" s="2" t="str">
        <x:v>Yes</x:v>
      </x:c>
    </x:row>
    <x:row r="363" ht="27" customHeight="1">
      <x:c r="A363" s="2"/>
      <x:c r="B363" s="2" t="str">
        <x:v>CUUR0000SEGB02</x:v>
      </x:c>
      <x:c r="C363" s="2" t="str">
        <x:v>2025-03-31</x:v>
      </x:c>
      <x:c r="D363" s="2" t="str">
        <x:v>Origin</x:v>
      </x:c>
      <x:c r="E363" s="2" t="str">
        <x:v>2025-01-01</x:v>
      </x:c>
      <x:c r="F363" s="2" t="str">
        <x:v>2025-03-01</x:v>
      </x:c>
      <x:c r="G363" s="2" t="str">
        <x:v>Flat level</x:v>
      </x:c>
      <x:c r="H363" s="7" t="n">
        <x:v>189.988</x:v>
      </x:c>
      <x:c r="I363" s="7" t="n">
        <x:v>189.666</x:v>
      </x:c>
      <x:c r="J363" s="2" t="str">
        <x:v>2025-04-23</x:v>
      </x:c>
      <x:c r="K363" s="7" t="n">
        <x:f>100*(H363/I363-1)</x:f>
        <x:v>0.16977212573683342</x:v>
      </x:c>
      <x:c r="L363" s="7" t="n">
        <x:f>ABS(K363)</x:f>
        <x:v>0.16977212573683342</x:v>
      </x:c>
      <x:c r="M363" s="2" t="str">
        <x:v>Yes</x:v>
      </x:c>
    </x:row>
    <x:row r="364" ht="27" customHeight="1">
      <x:c r="A364" s="2"/>
      <x:c r="B364" s="2" t="str">
        <x:v>CUUR0000SEGB02</x:v>
      </x:c>
      <x:c r="C364" s="2" t="str">
        <x:v>2025-03-31</x:v>
      </x:c>
      <x:c r="D364" s="2" t="str">
        <x:v>Origin</x:v>
      </x:c>
      <x:c r="E364" s="2" t="str">
        <x:v>2025-01-01</x:v>
      </x:c>
      <x:c r="F364" s="2" t="str">
        <x:v>2025-01-01</x:v>
      </x:c>
      <x:c r="G364" s="2" t="str">
        <x:v>Recent trend</x:v>
      </x:c>
      <x:c r="H364" s="7" t="n">
        <x:v>188.871</x:v>
      </x:c>
      <x:c r="I364" s="7" t="n">
        <x:v>189.029</x:v>
      </x:c>
      <x:c r="J364" s="2" t="str">
        <x:v>2025-04-01</x:v>
      </x:c>
      <x:c r="K364" s="7" t="n">
        <x:f>100*(H364/I364-1)</x:f>
        <x:v>-0.08358505837727792</x:v>
      </x:c>
      <x:c r="L364" s="7" t="n">
        <x:f>ABS(K364)</x:f>
        <x:v>0.08358505837727792</x:v>
      </x:c>
      <x:c r="M364" s="2" t="str">
        <x:v>Yes</x:v>
      </x:c>
    </x:row>
    <x:row r="365" ht="27" customHeight="1">
      <x:c r="A365" s="2"/>
      <x:c r="B365" s="2" t="str">
        <x:v>CUUR0000SEGB02</x:v>
      </x:c>
      <x:c r="C365" s="2" t="str">
        <x:v>2025-03-31</x:v>
      </x:c>
      <x:c r="D365" s="2" t="str">
        <x:v>Origin</x:v>
      </x:c>
      <x:c r="E365" s="2" t="str">
        <x:v>2025-01-01</x:v>
      </x:c>
      <x:c r="F365" s="2" t="str">
        <x:v>2025-02-01</x:v>
      </x:c>
      <x:c r="G365" s="2" t="str">
        <x:v>Recent trend</x:v>
      </x:c>
      <x:c r="H365" s="7" t="n">
        <x:v>188.3125</x:v>
      </x:c>
      <x:c r="I365" s="7" t="n">
        <x:v>189.627</x:v>
      </x:c>
      <x:c r="J365" s="2" t="str">
        <x:v>2025-04-01</x:v>
      </x:c>
      <x:c r="K365" s="7" t="n">
        <x:f>100*(H365/I365-1)</x:f>
        <x:v>-0.6932029721505972</x:v>
      </x:c>
      <x:c r="L365" s="7" t="n">
        <x:f>ABS(K365)</x:f>
        <x:v>0.6932029721505972</x:v>
      </x:c>
      <x:c r="M365" s="2" t="str">
        <x:v>Yes</x:v>
      </x:c>
    </x:row>
    <x:row r="366" ht="27" customHeight="1">
      <x:c r="A366" s="2"/>
      <x:c r="B366" s="2" t="str">
        <x:v>CUUR0000SEGB02</x:v>
      </x:c>
      <x:c r="C366" s="2" t="str">
        <x:v>2025-03-31</x:v>
      </x:c>
      <x:c r="D366" s="2" t="str">
        <x:v>Origin</x:v>
      </x:c>
      <x:c r="E366" s="2" t="str">
        <x:v>2025-01-01</x:v>
      </x:c>
      <x:c r="F366" s="2" t="str">
        <x:v>2025-03-01</x:v>
      </x:c>
      <x:c r="G366" s="2" t="str">
        <x:v>Recent trend</x:v>
      </x:c>
      <x:c r="H366" s="7" t="n">
        <x:v>187.75400000000002</x:v>
      </x:c>
      <x:c r="I366" s="7" t="n">
        <x:v>189.666</x:v>
      </x:c>
      <x:c r="J366" s="2" t="str">
        <x:v>2025-04-23</x:v>
      </x:c>
      <x:c r="K366" s="7" t="n">
        <x:f>100*(H366/I366-1)</x:f>
        <x:v>-1.0080879018906752</x:v>
      </x:c>
      <x:c r="L366" s="7" t="n">
        <x:f>ABS(K366)</x:f>
        <x:v>1.0080879018906752</x:v>
      </x:c>
      <x:c r="M366" s="2" t="str">
        <x:v>Yes</x:v>
      </x:c>
    </x:row>
    <x:row r="367" ht="27" customHeight="1">
      <x:c r="A367" s="2"/>
      <x:c r="B367" s="2" t="str">
        <x:v>CUUR0000SEGB02</x:v>
      </x:c>
      <x:c r="C367" s="2" t="str">
        <x:v>2025-03-31</x:v>
      </x:c>
      <x:c r="D367" s="2" t="str">
        <x:v>Origin</x:v>
      </x:c>
      <x:c r="E367" s="2" t="str">
        <x:v>2025-01-01</x:v>
      </x:c>
      <x:c r="F367" s="2" t="str">
        <x:v>2025-01-01</x:v>
      </x:c>
      <x:c r="G367" s="2" t="str">
        <x:v>Seasonal step</x:v>
      </x:c>
      <x:c r="H367" s="7" t="n">
        <x:v>189.11991759507654</x:v>
      </x:c>
      <x:c r="I367" s="7" t="n">
        <x:v>189.029</x:v>
      </x:c>
      <x:c r="J367" s="2" t="str">
        <x:v>2025-04-01</x:v>
      </x:c>
      <x:c r="K367" s="7" t="n">
        <x:f>100*(H367/I367-1)</x:f>
        <x:v>0.04809716767086858</x:v>
      </x:c>
      <x:c r="L367" s="7" t="n">
        <x:f>ABS(K367)</x:f>
        <x:v>0.04809716767086858</x:v>
      </x:c>
      <x:c r="M367" s="2" t="str">
        <x:v>Yes</x:v>
      </x:c>
    </x:row>
    <x:row r="368" ht="27" customHeight="1">
      <x:c r="A368" s="2"/>
      <x:c r="B368" s="2" t="str">
        <x:v>CUUR0000SEGB02</x:v>
      </x:c>
      <x:c r="C368" s="2" t="str">
        <x:v>2025-03-31</x:v>
      </x:c>
      <x:c r="D368" s="2" t="str">
        <x:v>Origin</x:v>
      </x:c>
      <x:c r="E368" s="2" t="str">
        <x:v>2025-01-01</x:v>
      </x:c>
      <x:c r="F368" s="2" t="str">
        <x:v>2025-02-01</x:v>
      </x:c>
      <x:c r="G368" s="2" t="str">
        <x:v>Seasonal step</x:v>
      </x:c>
      <x:c r="H368" s="7" t="n">
        <x:v>191.33822640640233</x:v>
      </x:c>
      <x:c r="I368" s="7" t="n">
        <x:v>189.627</x:v>
      </x:c>
      <x:c r="J368" s="2" t="str">
        <x:v>2025-04-01</x:v>
      </x:c>
      <x:c r="K368" s="7" t="n">
        <x:f>100*(H368/I368-1)</x:f>
        <x:v>0.9024170642378593</x:v>
      </x:c>
      <x:c r="L368" s="7" t="n">
        <x:f>ABS(K368)</x:f>
        <x:v>0.9024170642378593</x:v>
      </x:c>
      <x:c r="M368" s="2" t="str">
        <x:v>Yes</x:v>
      </x:c>
    </x:row>
    <x:row r="369" ht="27" customHeight="1">
      <x:c r="A369" s="2"/>
      <x:c r="B369" s="2" t="str">
        <x:v>CUUR0000SEGB02</x:v>
      </x:c>
      <x:c r="C369" s="2" t="str">
        <x:v>2025-03-31</x:v>
      </x:c>
      <x:c r="D369" s="2" t="str">
        <x:v>Origin</x:v>
      </x:c>
      <x:c r="E369" s="2" t="str">
        <x:v>2025-01-01</x:v>
      </x:c>
      <x:c r="F369" s="2" t="str">
        <x:v>2025-03-01</x:v>
      </x:c>
      <x:c r="G369" s="2" t="str">
        <x:v>Seasonal step</x:v>
      </x:c>
      <x:c r="H369" s="7" t="n">
        <x:v>192.01584052916812</x:v>
      </x:c>
      <x:c r="I369" s="7" t="n">
        <x:v>189.666</x:v>
      </x:c>
      <x:c r="J369" s="2" t="str">
        <x:v>2025-04-23</x:v>
      </x:c>
      <x:c r="K369" s="7" t="n">
        <x:f>100*(H369/I369-1)</x:f>
        <x:v>1.2389360924826454</x:v>
      </x:c>
      <x:c r="L369" s="7" t="n">
        <x:f>ABS(K369)</x:f>
        <x:v>1.2389360924826454</x:v>
      </x:c>
      <x:c r="M369" s="2" t="str">
        <x:v>Yes</x:v>
      </x:c>
    </x:row>
    <x:row r="370" ht="27" customHeight="1">
      <x:c r="A370" s="2"/>
      <x:c r="B370" s="2" t="str">
        <x:v>CUUR0000SEGB02</x:v>
      </x:c>
      <x:c r="C370" s="2" t="str">
        <x:v>2025-03-31</x:v>
      </x:c>
      <x:c r="D370" s="2" t="str">
        <x:v>Two months</x:v>
      </x:c>
      <x:c r="E370" s="2" t="str">
        <x:v>2025-04-01</x:v>
      </x:c>
      <x:c r="F370" s="2" t="str">
        <x:v>2025-03-01</x:v>
      </x:c>
      <x:c r="G370" s="2" t="str">
        <x:v>YoY carry</x:v>
      </x:c>
      <x:c r="H370" s="7" t="n">
        <x:v>191.62098380987513</x:v>
      </x:c>
      <x:c r="I370" s="7" t="n">
        <x:v>189.666</x:v>
      </x:c>
      <x:c r="J370" s="2" t="str">
        <x:v>2025-04-23</x:v>
      </x:c>
      <x:c r="K370" s="7" t="n">
        <x:f>100*(H370/I370-1)</x:f>
        <x:v>1.0307507987067366</x:v>
      </x:c>
      <x:c r="L370" s="7" t="n">
        <x:f>ABS(K370)</x:f>
        <x:v>1.0307507987067366</x:v>
      </x:c>
      <x:c r="M370" s="2" t="str">
        <x:v>Yes</x:v>
      </x:c>
    </x:row>
    <x:row r="371" ht="27" customHeight="1">
      <x:c r="A371" s="2"/>
      <x:c r="B371" s="2" t="str">
        <x:v>CUUR0000SEGB02</x:v>
      </x:c>
      <x:c r="C371" s="2" t="str">
        <x:v>2025-03-31</x:v>
      </x:c>
      <x:c r="D371" s="2" t="str">
        <x:v>Two months</x:v>
      </x:c>
      <x:c r="E371" s="2" t="str">
        <x:v>2025-04-01</x:v>
      </x:c>
      <x:c r="F371" s="2" t="str">
        <x:v>2025-03-01</x:v>
      </x:c>
      <x:c r="G371" s="2" t="str">
        <x:v>Flat level</x:v>
      </x:c>
      <x:c r="H371" s="7" t="n">
        <x:v>189.627</x:v>
      </x:c>
      <x:c r="I371" s="7" t="n">
        <x:v>189.666</x:v>
      </x:c>
      <x:c r="J371" s="2" t="str">
        <x:v>2025-04-23</x:v>
      </x:c>
      <x:c r="K371" s="7" t="n">
        <x:f>100*(H371/I371-1)</x:f>
        <x:v>-0.02056246243395954</x:v>
      </x:c>
      <x:c r="L371" s="7" t="n">
        <x:f>ABS(K371)</x:f>
        <x:v>0.02056246243395954</x:v>
      </x:c>
      <x:c r="M371" s="2" t="str">
        <x:v>Yes</x:v>
      </x:c>
    </x:row>
    <x:row r="372" ht="27" customHeight="1">
      <x:c r="A372" s="2"/>
      <x:c r="B372" s="2" t="str">
        <x:v>CUUR0000SEGB02</x:v>
      </x:c>
      <x:c r="C372" s="2" t="str">
        <x:v>2025-03-31</x:v>
      </x:c>
      <x:c r="D372" s="2" t="str">
        <x:v>Two months</x:v>
      </x:c>
      <x:c r="E372" s="2" t="str">
        <x:v>2025-04-01</x:v>
      </x:c>
      <x:c r="F372" s="2" t="str">
        <x:v>2025-03-01</x:v>
      </x:c>
      <x:c r="G372" s="2" t="str">
        <x:v>Recent trend</x:v>
      </x:c>
      <x:c r="H372" s="7" t="n">
        <x:v>190.531</x:v>
      </x:c>
      <x:c r="I372" s="7" t="n">
        <x:v>189.666</x:v>
      </x:c>
      <x:c r="J372" s="2" t="str">
        <x:v>2025-04-23</x:v>
      </x:c>
      <x:c r="K372" s="7" t="n">
        <x:f>100*(H372/I372-1)</x:f>
        <x:v>0.4560648719327709</x:v>
      </x:c>
      <x:c r="L372" s="7" t="n">
        <x:f>ABS(K372)</x:f>
        <x:v>0.4560648719327709</x:v>
      </x:c>
      <x:c r="M372" s="2" t="str">
        <x:v>Yes</x:v>
      </x:c>
    </x:row>
    <x:row r="373" ht="27" customHeight="1">
      <x:c r="A373" s="2"/>
      <x:c r="B373" s="2" t="str">
        <x:v>CUUR0000SEGB02</x:v>
      </x:c>
      <x:c r="C373" s="2" t="str">
        <x:v>2025-03-31</x:v>
      </x:c>
      <x:c r="D373" s="2" t="str">
        <x:v>Two months</x:v>
      </x:c>
      <x:c r="E373" s="2" t="str">
        <x:v>2025-04-01</x:v>
      </x:c>
      <x:c r="F373" s="2" t="str">
        <x:v>2025-03-01</x:v>
      </x:c>
      <x:c r="G373" s="2" t="str">
        <x:v>Seasonal step</x:v>
      </x:c>
      <x:c r="H373" s="7" t="n">
        <x:v>190.298553905725</x:v>
      </x:c>
      <x:c r="I373" s="7" t="n">
        <x:v>189.666</x:v>
      </x:c>
      <x:c r="J373" s="2" t="str">
        <x:v>2025-04-23</x:v>
      </x:c>
      <x:c r="K373" s="7" t="n">
        <x:f>100*(H373/I373-1)</x:f>
        <x:v>0.33350938266478725</x:v>
      </x:c>
      <x:c r="L373" s="7" t="n">
        <x:f>ABS(K373)</x:f>
        <x:v>0.33350938266478725</x:v>
      </x:c>
      <x:c r="M373" s="2" t="str">
        <x:v>Yes</x:v>
      </x:c>
    </x:row>
    <x:row r="374" ht="27" customHeight="1">
      <x:c r="A374" s="2"/>
      <x:c r="B374" s="2" t="str">
        <x:v>CUUR0000SEGB02</x:v>
      </x:c>
      <x:c r="C374" s="2" t="str">
        <x:v>2025-06-30</x:v>
      </x:c>
      <x:c r="D374" s="2" t="str">
        <x:v>Origin</x:v>
      </x:c>
      <x:c r="E374" s="2" t="str">
        <x:v>2025-04-01</x:v>
      </x:c>
      <x:c r="F374" s="2" t="str">
        <x:v>2025-04-01</x:v>
      </x:c>
      <x:c r="G374" s="2" t="str">
        <x:v>YoY carry</x:v>
      </x:c>
      <x:c r="H374" s="7" t="n">
        <x:v>190.33288980941</x:v>
      </x:c>
      <x:c r="I374" s="7" t="n">
        <x:v>190.631</x:v>
      </x:c>
      <x:c r="J374" s="2" t="str">
        <x:v>2025-07-01</x:v>
      </x:c>
      <x:c r="K374" s="7" t="n">
        <x:f>100*(H374/I374-1)</x:f>
        <x:v>-0.15638075160387954</x:v>
      </x:c>
      <x:c r="L374" s="7" t="n">
        <x:f>ABS(K374)</x:f>
        <x:v>0.15638075160387954</x:v>
      </x:c>
      <x:c r="M374" s="2" t="str">
        <x:v>Yes</x:v>
      </x:c>
    </x:row>
    <x:row r="375" ht="27" customHeight="1">
      <x:c r="A375" s="2"/>
      <x:c r="B375" s="2" t="str">
        <x:v>CUUR0000SEGB02</x:v>
      </x:c>
      <x:c r="C375" s="2" t="str">
        <x:v>2025-06-30</x:v>
      </x:c>
      <x:c r="D375" s="2" t="str">
        <x:v>Origin</x:v>
      </x:c>
      <x:c r="E375" s="2" t="str">
        <x:v>2025-04-01</x:v>
      </x:c>
      <x:c r="F375" s="2" t="str">
        <x:v>2025-05-01</x:v>
      </x:c>
      <x:c r="G375" s="2" t="str">
        <x:v>YoY carry</x:v>
      </x:c>
      <x:c r="H375" s="7" t="n">
        <x:v>189.9978653605313</x:v>
      </x:c>
      <x:c r="I375" s="7" t="n">
        <x:v>189.399</x:v>
      </x:c>
      <x:c r="J375" s="2" t="str">
        <x:v>2025-07-01</x:v>
      </x:c>
      <x:c r="K375" s="7" t="n">
        <x:f>100*(H375/I375-1)</x:f>
        <x:v>0.31619246169796167</x:v>
      </x:c>
      <x:c r="L375" s="7" t="n">
        <x:f>ABS(K375)</x:f>
        <x:v>0.31619246169796167</x:v>
      </x:c>
      <x:c r="M375" s="2" t="str">
        <x:v>Yes</x:v>
      </x:c>
    </x:row>
    <x:row r="376" ht="27" customHeight="1">
      <x:c r="A376" s="2"/>
      <x:c r="B376" s="2" t="str">
        <x:v>CUUR0000SEGB02</x:v>
      </x:c>
      <x:c r="C376" s="2" t="str">
        <x:v>2025-06-30</x:v>
      </x:c>
      <x:c r="D376" s="2" t="str">
        <x:v>Origin</x:v>
      </x:c>
      <x:c r="E376" s="2" t="str">
        <x:v>2025-04-01</x:v>
      </x:c>
      <x:c r="F376" s="2" t="str">
        <x:v>2025-06-01</x:v>
      </x:c>
      <x:c r="G376" s="2" t="str">
        <x:v>YoY carry</x:v>
      </x:c>
      <x:c r="H376" s="7" t="n">
        <x:v>190.43489725354624</x:v>
      </x:c>
      <x:c r="I376" s="7" t="n">
        <x:v>191.072</x:v>
      </x:c>
      <x:c r="J376" s="2" t="str">
        <x:v>2025-07-28</x:v>
      </x:c>
      <x:c r="K376" s="7" t="n">
        <x:f>100*(H376/I376-1)</x:f>
        <x:v>-0.33343595422341554</x:v>
      </x:c>
      <x:c r="L376" s="7" t="n">
        <x:f>ABS(K376)</x:f>
        <x:v>0.33343595422341554</x:v>
      </x:c>
      <x:c r="M376" s="2" t="str">
        <x:v>Yes</x:v>
      </x:c>
    </x:row>
    <x:row r="377" ht="27" customHeight="1">
      <x:c r="A377" s="2"/>
      <x:c r="B377" s="2" t="str">
        <x:v>CUUR0000SEGB02</x:v>
      </x:c>
      <x:c r="C377" s="2" t="str">
        <x:v>2025-06-30</x:v>
      </x:c>
      <x:c r="D377" s="2" t="str">
        <x:v>Origin</x:v>
      </x:c>
      <x:c r="E377" s="2" t="str">
        <x:v>2025-04-01</x:v>
      </x:c>
      <x:c r="F377" s="2" t="str">
        <x:v>2025-04-01</x:v>
      </x:c>
      <x:c r="G377" s="2" t="str">
        <x:v>Flat level</x:v>
      </x:c>
      <x:c r="H377" s="7" t="n">
        <x:v>189.627</x:v>
      </x:c>
      <x:c r="I377" s="7" t="n">
        <x:v>190.631</x:v>
      </x:c>
      <x:c r="J377" s="2" t="str">
        <x:v>2025-07-01</x:v>
      </x:c>
      <x:c r="K377" s="7" t="n">
        <x:f>100*(H377/I377-1)</x:f>
        <x:v>-0.5266719473747683</x:v>
      </x:c>
      <x:c r="L377" s="7" t="n">
        <x:f>ABS(K377)</x:f>
        <x:v>0.5266719473747683</x:v>
      </x:c>
      <x:c r="M377" s="2" t="str">
        <x:v>Yes</x:v>
      </x:c>
    </x:row>
    <x:row r="378" ht="27" customHeight="1">
      <x:c r="A378" s="2"/>
      <x:c r="B378" s="2" t="str">
        <x:v>CUUR0000SEGB02</x:v>
      </x:c>
      <x:c r="C378" s="2" t="str">
        <x:v>2025-06-30</x:v>
      </x:c>
      <x:c r="D378" s="2" t="str">
        <x:v>Origin</x:v>
      </x:c>
      <x:c r="E378" s="2" t="str">
        <x:v>2025-04-01</x:v>
      </x:c>
      <x:c r="F378" s="2" t="str">
        <x:v>2025-05-01</x:v>
      </x:c>
      <x:c r="G378" s="2" t="str">
        <x:v>Flat level</x:v>
      </x:c>
      <x:c r="H378" s="7" t="n">
        <x:v>189.627</x:v>
      </x:c>
      <x:c r="I378" s="7" t="n">
        <x:v>189.399</x:v>
      </x:c>
      <x:c r="J378" s="2" t="str">
        <x:v>2025-07-01</x:v>
      </x:c>
      <x:c r="K378" s="7" t="n">
        <x:f>100*(H378/I378-1)</x:f>
        <x:v>0.12038078342546665</x:v>
      </x:c>
      <x:c r="L378" s="7" t="n">
        <x:f>ABS(K378)</x:f>
        <x:v>0.12038078342546665</x:v>
      </x:c>
      <x:c r="M378" s="2" t="str">
        <x:v>Yes</x:v>
      </x:c>
    </x:row>
    <x:row r="379" ht="27" customHeight="1">
      <x:c r="A379" s="2"/>
      <x:c r="B379" s="2" t="str">
        <x:v>CUUR0000SEGB02</x:v>
      </x:c>
      <x:c r="C379" s="2" t="str">
        <x:v>2025-06-30</x:v>
      </x:c>
      <x:c r="D379" s="2" t="str">
        <x:v>Origin</x:v>
      </x:c>
      <x:c r="E379" s="2" t="str">
        <x:v>2025-04-01</x:v>
      </x:c>
      <x:c r="F379" s="2" t="str">
        <x:v>2025-06-01</x:v>
      </x:c>
      <x:c r="G379" s="2" t="str">
        <x:v>Flat level</x:v>
      </x:c>
      <x:c r="H379" s="7" t="n">
        <x:v>189.627</x:v>
      </x:c>
      <x:c r="I379" s="7" t="n">
        <x:v>191.072</x:v>
      </x:c>
      <x:c r="J379" s="2" t="str">
        <x:v>2025-07-28</x:v>
      </x:c>
      <x:c r="K379" s="7" t="n">
        <x:f>100*(H379/I379-1)</x:f>
        <x:v>-0.7562594205325679</x:v>
      </x:c>
      <x:c r="L379" s="7" t="n">
        <x:f>ABS(K379)</x:f>
        <x:v>0.7562594205325679</x:v>
      </x:c>
      <x:c r="M379" s="2" t="str">
        <x:v>Yes</x:v>
      </x:c>
    </x:row>
    <x:row r="380" ht="27" customHeight="1">
      <x:c r="A380" s="2"/>
      <x:c r="B380" s="2" t="str">
        <x:v>CUUR0000SEGB02</x:v>
      </x:c>
      <x:c r="C380" s="2" t="str">
        <x:v>2025-06-30</x:v>
      </x:c>
      <x:c r="D380" s="2" t="str">
        <x:v>Origin</x:v>
      </x:c>
      <x:c r="E380" s="2" t="str">
        <x:v>2025-04-01</x:v>
      </x:c>
      <x:c r="F380" s="2" t="str">
        <x:v>2025-04-01</x:v>
      </x:c>
      <x:c r="G380" s="2" t="str">
        <x:v>Recent trend</x:v>
      </x:c>
      <x:c r="H380" s="7" t="n">
        <x:v>191.43500000000003</x:v>
      </x:c>
      <x:c r="I380" s="7" t="n">
        <x:v>190.631</x:v>
      </x:c>
      <x:c r="J380" s="2" t="str">
        <x:v>2025-07-01</x:v>
      </x:c>
      <x:c r="K380" s="7" t="n">
        <x:f>100*(H380/I380-1)</x:f>
        <x:v>0.4217572168220496</x:v>
      </x:c>
      <x:c r="L380" s="7" t="n">
        <x:f>ABS(K380)</x:f>
        <x:v>0.4217572168220496</x:v>
      </x:c>
      <x:c r="M380" s="2" t="str">
        <x:v>Yes</x:v>
      </x:c>
    </x:row>
    <x:row r="381" ht="27" customHeight="1">
      <x:c r="A381" s="2"/>
      <x:c r="B381" s="2" t="str">
        <x:v>CUUR0000SEGB02</x:v>
      </x:c>
      <x:c r="C381" s="2" t="str">
        <x:v>2025-06-30</x:v>
      </x:c>
      <x:c r="D381" s="2" t="str">
        <x:v>Origin</x:v>
      </x:c>
      <x:c r="E381" s="2" t="str">
        <x:v>2025-04-01</x:v>
      </x:c>
      <x:c r="F381" s="2" t="str">
        <x:v>2025-05-01</x:v>
      </x:c>
      <x:c r="G381" s="2" t="str">
        <x:v>Recent trend</x:v>
      </x:c>
      <x:c r="H381" s="7" t="n">
        <x:v>192.33900000000006</x:v>
      </x:c>
      <x:c r="I381" s="7" t="n">
        <x:v>189.399</x:v>
      </x:c>
      <x:c r="J381" s="2" t="str">
        <x:v>2025-07-01</x:v>
      </x:c>
      <x:c r="K381" s="7" t="n">
        <x:f>100*(H381/I381-1)</x:f>
        <x:v>1.5522785231179004</x:v>
      </x:c>
      <x:c r="L381" s="7" t="n">
        <x:f>ABS(K381)</x:f>
        <x:v>1.5522785231179004</x:v>
      </x:c>
      <x:c r="M381" s="2" t="str">
        <x:v>Yes</x:v>
      </x:c>
    </x:row>
    <x:row r="382" ht="27" customHeight="1">
      <x:c r="A382" s="2"/>
      <x:c r="B382" s="2" t="str">
        <x:v>CUUR0000SEGB02</x:v>
      </x:c>
      <x:c r="C382" s="2" t="str">
        <x:v>2025-06-30</x:v>
      </x:c>
      <x:c r="D382" s="2" t="str">
        <x:v>Origin</x:v>
      </x:c>
      <x:c r="E382" s="2" t="str">
        <x:v>2025-04-01</x:v>
      </x:c>
      <x:c r="F382" s="2" t="str">
        <x:v>2025-06-01</x:v>
      </x:c>
      <x:c r="G382" s="2" t="str">
        <x:v>Recent trend</x:v>
      </x:c>
      <x:c r="H382" s="7" t="n">
        <x:v>193.24300000000005</x:v>
      </x:c>
      <x:c r="I382" s="7" t="n">
        <x:v>191.072</x:v>
      </x:c>
      <x:c r="J382" s="2" t="str">
        <x:v>2025-07-28</x:v>
      </x:c>
      <x:c r="K382" s="7" t="n">
        <x:f>100*(H382/I382-1)</x:f>
        <x:v>1.136220901021634</x:v>
      </x:c>
      <x:c r="L382" s="7" t="n">
        <x:f>ABS(K382)</x:f>
        <x:v>1.136220901021634</x:v>
      </x:c>
      <x:c r="M382" s="2" t="str">
        <x:v>Yes</x:v>
      </x:c>
    </x:row>
    <x:row r="383" ht="27" customHeight="1">
      <x:c r="A383" s="2"/>
      <x:c r="B383" s="2" t="str">
        <x:v>CUUR0000SEGB02</x:v>
      </x:c>
      <x:c r="C383" s="2" t="str">
        <x:v>2025-06-30</x:v>
      </x:c>
      <x:c r="D383" s="2" t="str">
        <x:v>Origin</x:v>
      </x:c>
      <x:c r="E383" s="2" t="str">
        <x:v>2025-04-01</x:v>
      </x:c>
      <x:c r="F383" s="2" t="str">
        <x:v>2025-04-01</x:v>
      </x:c>
      <x:c r="G383" s="2" t="str">
        <x:v>Seasonal step</x:v>
      </x:c>
      <x:c r="H383" s="7" t="n">
        <x:v>189.05758172593875</x:v>
      </x:c>
      <x:c r="I383" s="7" t="n">
        <x:v>190.631</x:v>
      </x:c>
      <x:c r="J383" s="2" t="str">
        <x:v>2025-07-01</x:v>
      </x:c>
      <x:c r="K383" s="7" t="n">
        <x:f>100*(H383/I383-1)</x:f>
        <x:v>-0.8253737713494913</x:v>
      </x:c>
      <x:c r="L383" s="7" t="n">
        <x:f>ABS(K383)</x:f>
        <x:v>0.8253737713494913</x:v>
      </x:c>
      <x:c r="M383" s="2" t="str">
        <x:v>Yes</x:v>
      </x:c>
    </x:row>
    <x:row r="384" ht="27" customHeight="1">
      <x:c r="A384" s="2"/>
      <x:c r="B384" s="2" t="str">
        <x:v>CUUR0000SEGB02</x:v>
      </x:c>
      <x:c r="C384" s="2" t="str">
        <x:v>2025-06-30</x:v>
      </x:c>
      <x:c r="D384" s="2" t="str">
        <x:v>Origin</x:v>
      </x:c>
      <x:c r="E384" s="2" t="str">
        <x:v>2025-04-01</x:v>
      </x:c>
      <x:c r="F384" s="2" t="str">
        <x:v>2025-05-01</x:v>
      </x:c>
      <x:c r="G384" s="2" t="str">
        <x:v>Seasonal step</x:v>
      </x:c>
      <x:c r="H384" s="7" t="n">
        <x:v>189.7096715215989</x:v>
      </x:c>
      <x:c r="I384" s="7" t="n">
        <x:v>189.399</x:v>
      </x:c>
      <x:c r="J384" s="2" t="str">
        <x:v>2025-07-01</x:v>
      </x:c>
      <x:c r="K384" s="7" t="n">
        <x:f>100*(H384/I384-1)</x:f>
        <x:v>0.1640301805177824</x:v>
      </x:c>
      <x:c r="L384" s="7" t="n">
        <x:f>ABS(K384)</x:f>
        <x:v>0.1640301805177824</x:v>
      </x:c>
      <x:c r="M384" s="2" t="str">
        <x:v>Yes</x:v>
      </x:c>
    </x:row>
    <x:row r="385" ht="27" customHeight="1">
      <x:c r="A385" s="2"/>
      <x:c r="B385" s="2" t="str">
        <x:v>CUUR0000SEGB02</x:v>
      </x:c>
      <x:c r="C385" s="2" t="str">
        <x:v>2025-06-30</x:v>
      </x:c>
      <x:c r="D385" s="2" t="str">
        <x:v>Origin</x:v>
      </x:c>
      <x:c r="E385" s="2" t="str">
        <x:v>2025-04-01</x:v>
      </x:c>
      <x:c r="F385" s="2" t="str">
        <x:v>2025-06-01</x:v>
      </x:c>
      <x:c r="G385" s="2" t="str">
        <x:v>Seasonal step</x:v>
      </x:c>
      <x:c r="H385" s="7" t="n">
        <x:v>190.098000410437</x:v>
      </x:c>
      <x:c r="I385" s="7" t="n">
        <x:v>191.072</x:v>
      </x:c>
      <x:c r="J385" s="2" t="str">
        <x:v>2025-07-28</x:v>
      </x:c>
      <x:c r="K385" s="7" t="n">
        <x:f>100*(H385/I385-1)</x:f>
        <x:v>-0.5097552700358943</x:v>
      </x:c>
      <x:c r="L385" s="7" t="n">
        <x:f>ABS(K385)</x:f>
        <x:v>0.5097552700358943</x:v>
      </x:c>
      <x:c r="M385" s="2" t="str">
        <x:v>Yes</x:v>
      </x:c>
    </x:row>
    <x:row r="386" ht="27" customHeight="1">
      <x:c r="A386" s="2"/>
      <x:c r="B386" s="2" t="str">
        <x:v>CUUR0000SEGB02</x:v>
      </x:c>
      <x:c r="C386" s="2" t="str">
        <x:v>2025-06-30</x:v>
      </x:c>
      <x:c r="D386" s="2" t="str">
        <x:v>Two months</x:v>
      </x:c>
      <x:c r="E386" s="2" t="str">
        <x:v>2025-07-01</x:v>
      </x:c>
      <x:c r="F386" s="2" t="str">
        <x:v>2025-06-01</x:v>
      </x:c>
      <x:c r="G386" s="2" t="str">
        <x:v>YoY carry</x:v>
      </x:c>
      <x:c r="H386" s="7" t="n">
        <x:v>189.6866119704068</x:v>
      </x:c>
      <x:c r="I386" s="7" t="n">
        <x:v>191.072</x:v>
      </x:c>
      <x:c r="J386" s="2" t="str">
        <x:v>2025-07-28</x:v>
      </x:c>
      <x:c r="K386" s="7" t="n">
        <x:f>100*(H386/I386-1)</x:f>
        <x:v>-0.7250607255867902</x:v>
      </x:c>
      <x:c r="L386" s="7" t="n">
        <x:f>ABS(K386)</x:f>
        <x:v>0.7250607255867902</x:v>
      </x:c>
      <x:c r="M386" s="2" t="str">
        <x:v>Yes</x:v>
      </x:c>
    </x:row>
    <x:row r="387" ht="27" customHeight="1">
      <x:c r="A387" s="2"/>
      <x:c r="B387" s="2" t="str">
        <x:v>CUUR0000SEGB02</x:v>
      </x:c>
      <x:c r="C387" s="2" t="str">
        <x:v>2025-06-30</x:v>
      </x:c>
      <x:c r="D387" s="2" t="str">
        <x:v>Two months</x:v>
      </x:c>
      <x:c r="E387" s="2" t="str">
        <x:v>2025-07-01</x:v>
      </x:c>
      <x:c r="F387" s="2" t="str">
        <x:v>2025-06-01</x:v>
      </x:c>
      <x:c r="G387" s="2" t="str">
        <x:v>Flat level</x:v>
      </x:c>
      <x:c r="H387" s="7" t="n">
        <x:v>189.399</x:v>
      </x:c>
      <x:c r="I387" s="7" t="n">
        <x:v>191.072</x:v>
      </x:c>
      <x:c r="J387" s="2" t="str">
        <x:v>2025-07-28</x:v>
      </x:c>
      <x:c r="K387" s="7" t="n">
        <x:f>100*(H387/I387-1)</x:f>
        <x:v>-0.8755861664712761</x:v>
      </x:c>
      <x:c r="L387" s="7" t="n">
        <x:f>ABS(K387)</x:f>
        <x:v>0.8755861664712761</x:v>
      </x:c>
      <x:c r="M387" s="2" t="str">
        <x:v>Yes</x:v>
      </x:c>
    </x:row>
    <x:row r="388" ht="27" customHeight="1">
      <x:c r="A388" s="2"/>
      <x:c r="B388" s="2" t="str">
        <x:v>CUUR0000SEGB02</x:v>
      </x:c>
      <x:c r="C388" s="2" t="str">
        <x:v>2025-06-30</x:v>
      </x:c>
      <x:c r="D388" s="2" t="str">
        <x:v>Two months</x:v>
      </x:c>
      <x:c r="E388" s="2" t="str">
        <x:v>2025-07-01</x:v>
      </x:c>
      <x:c r="F388" s="2" t="str">
        <x:v>2025-06-01</x:v>
      </x:c>
      <x:c r="G388" s="2" t="str">
        <x:v>Recent trend</x:v>
      </x:c>
      <x:c r="H388" s="7" t="n">
        <x:v>189.2655</x:v>
      </x:c>
      <x:c r="I388" s="7" t="n">
        <x:v>191.072</x:v>
      </x:c>
      <x:c r="J388" s="2" t="str">
        <x:v>2025-07-28</x:v>
      </x:c>
      <x:c r="K388" s="7" t="n">
        <x:f>100*(H388/I388-1)</x:f>
        <x:v>-0.9454551163959102</x:v>
      </x:c>
      <x:c r="L388" s="7" t="n">
        <x:f>ABS(K388)</x:f>
        <x:v>0.9454551163959102</x:v>
      </x:c>
      <x:c r="M388" s="2" t="str">
        <x:v>Yes</x:v>
      </x:c>
    </x:row>
    <x:row r="389" ht="27" customHeight="1">
      <x:c r="A389" s="2"/>
      <x:c r="B389" s="2" t="str">
        <x:v>CUUR0000SEGB02</x:v>
      </x:c>
      <x:c r="C389" s="2" t="str">
        <x:v>2025-06-30</x:v>
      </x:c>
      <x:c r="D389" s="2" t="str">
        <x:v>Two months</x:v>
      </x:c>
      <x:c r="E389" s="2" t="str">
        <x:v>2025-07-01</x:v>
      </x:c>
      <x:c r="F389" s="2" t="str">
        <x:v>2025-06-01</x:v>
      </x:c>
      <x:c r="G389" s="2" t="str">
        <x:v>Seasonal step</x:v>
      </x:c>
      <x:c r="H389" s="7" t="n">
        <x:v>189.78669295538356</x:v>
      </x:c>
      <x:c r="I389" s="7" t="n">
        <x:v>191.072</x:v>
      </x:c>
      <x:c r="J389" s="2" t="str">
        <x:v>2025-07-28</x:v>
      </x:c>
      <x:c r="K389" s="7" t="n">
        <x:f>100*(H389/I389-1)</x:f>
        <x:v>-0.6726820489744378</x:v>
      </x:c>
      <x:c r="L389" s="7" t="n">
        <x:f>ABS(K389)</x:f>
        <x:v>0.6726820489744378</x:v>
      </x:c>
      <x:c r="M389" s="2" t="str">
        <x:v>Yes</x:v>
      </x:c>
    </x:row>
    <x:row r="390" ht="27" customHeight="1">
      <x:c r="A390" s="2"/>
      <x:c r="B390" s="2" t="str">
        <x:v>CUUR0000SEGB02</x:v>
      </x:c>
      <x:c r="C390" s="2" t="str">
        <x:v>2025-09-30</x:v>
      </x:c>
      <x:c r="D390" s="2" t="str">
        <x:v>Origin</x:v>
      </x:c>
      <x:c r="E390" s="2" t="str">
        <x:v>2025-07-01</x:v>
      </x:c>
      <x:c r="F390" s="2" t="str">
        <x:v>2025-07-01</x:v>
      </x:c>
      <x:c r="G390" s="2" t="str">
        <x:v>YoY carry</x:v>
      </x:c>
      <x:c r="H390" s="7" t="n">
        <x:v>189.24930504178545</x:v>
      </x:c>
      <x:c r="I390" s="7" t="n">
        <x:v>190.717</x:v>
      </x:c>
      <x:c r="J390" s="2" t="str">
        <x:v>2025-10-01</x:v>
      </x:c>
      <x:c r="K390" s="7" t="n">
        <x:f>100*(H390/I390-1)</x:f>
        <x:v>-0.7695669280738282</x:v>
      </x:c>
      <x:c r="L390" s="7" t="n">
        <x:f>ABS(K390)</x:f>
        <x:v>0.7695669280738282</x:v>
      </x:c>
      <x:c r="M390" s="2" t="str">
        <x:v>Yes</x:v>
      </x:c>
    </x:row>
    <x:row r="391" ht="27" customHeight="1">
      <x:c r="A391" s="2"/>
      <x:c r="B391" s="2" t="str">
        <x:v>CUUR0000SEGB02</x:v>
      </x:c>
      <x:c r="C391" s="2" t="str">
        <x:v>2025-09-30</x:v>
      </x:c>
      <x:c r="D391" s="2" t="str">
        <x:v>Origin</x:v>
      </x:c>
      <x:c r="E391" s="2" t="str">
        <x:v>2025-07-01</x:v>
      </x:c>
      <x:c r="F391" s="2" t="str">
        <x:v>2025-08-01</x:v>
      </x:c>
      <x:c r="G391" s="2" t="str">
        <x:v>YoY carry</x:v>
      </x:c>
      <x:c r="H391" s="7" t="n">
        <x:v>190.07610401845</x:v>
      </x:c>
      <x:c r="I391" s="7" t="n">
        <x:v>191.367</x:v>
      </x:c>
      <x:c r="J391" s="2" t="str">
        <x:v>2025-10-01</x:v>
      </x:c>
      <x:c r="K391" s="7" t="n">
        <x:f>100*(H391/I391-1)</x:f>
        <x:v>-0.674565615571121</x:v>
      </x:c>
      <x:c r="L391" s="7" t="n">
        <x:f>ABS(K391)</x:f>
        <x:v>0.674565615571121</x:v>
      </x:c>
      <x:c r="M391" s="2" t="str">
        <x:v>Yes</x:v>
      </x:c>
    </x:row>
    <x:row r="392" ht="27" customHeight="1">
      <x:c r="A392" s="2"/>
      <x:c r="B392" s="2" t="str">
        <x:v>CUUR0000SEGB02</x:v>
      </x:c>
      <x:c r="C392" s="2" t="str">
        <x:v>2025-09-30</x:v>
      </x:c>
      <x:c r="D392" s="2" t="str">
        <x:v>Origin</x:v>
      </x:c>
      <x:c r="E392" s="2" t="str">
        <x:v>2025-07-01</x:v>
      </x:c>
      <x:c r="F392" s="2" t="str">
        <x:v>2025-09-01</x:v>
      </x:c>
      <x:c r="G392" s="2" t="str">
        <x:v>YoY carry</x:v>
      </x:c>
      <x:c r="H392" s="7" t="n">
        <x:v>190.367974018646</x:v>
      </x:c>
      <x:c r="I392" s="7" t="n">
        <x:v>192.368</x:v>
      </x:c>
      <x:c r="J392" s="2" t="str">
        <x:v>2025-10-24</x:v>
      </x:c>
      <x:c r="K392" s="7" t="n">
        <x:f>100*(H392/I392-1)</x:f>
        <x:v>-1.0396874643152643</x:v>
      </x:c>
      <x:c r="L392" s="7" t="n">
        <x:f>ABS(K392)</x:f>
        <x:v>1.0396874643152643</x:v>
      </x:c>
      <x:c r="M392" s="2" t="str">
        <x:v>Yes</x:v>
      </x:c>
    </x:row>
    <x:row r="393" ht="27" customHeight="1">
      <x:c r="A393" s="2"/>
      <x:c r="B393" s="2" t="str">
        <x:v>CUUR0000SEGB02</x:v>
      </x:c>
      <x:c r="C393" s="2" t="str">
        <x:v>2025-09-30</x:v>
      </x:c>
      <x:c r="D393" s="2" t="str">
        <x:v>Origin</x:v>
      </x:c>
      <x:c r="E393" s="2" t="str">
        <x:v>2025-07-01</x:v>
      </x:c>
      <x:c r="F393" s="2" t="str">
        <x:v>2025-07-01</x:v>
      </x:c>
      <x:c r="G393" s="2" t="str">
        <x:v>Flat level</x:v>
      </x:c>
      <x:c r="H393" s="7" t="n">
        <x:v>189.399</x:v>
      </x:c>
      <x:c r="I393" s="7" t="n">
        <x:v>190.717</x:v>
      </x:c>
      <x:c r="J393" s="2" t="str">
        <x:v>2025-10-01</x:v>
      </x:c>
      <x:c r="K393" s="7" t="n">
        <x:f>100*(H393/I393-1)</x:f>
        <x:v>-0.6910763067791592</x:v>
      </x:c>
      <x:c r="L393" s="7" t="n">
        <x:f>ABS(K393)</x:f>
        <x:v>0.6910763067791592</x:v>
      </x:c>
      <x:c r="M393" s="2" t="str">
        <x:v>Yes</x:v>
      </x:c>
    </x:row>
    <x:row r="394" ht="27" customHeight="1">
      <x:c r="A394" s="2"/>
      <x:c r="B394" s="2" t="str">
        <x:v>CUUR0000SEGB02</x:v>
      </x:c>
      <x:c r="C394" s="2" t="str">
        <x:v>2025-09-30</x:v>
      </x:c>
      <x:c r="D394" s="2" t="str">
        <x:v>Origin</x:v>
      </x:c>
      <x:c r="E394" s="2" t="str">
        <x:v>2025-07-01</x:v>
      </x:c>
      <x:c r="F394" s="2" t="str">
        <x:v>2025-08-01</x:v>
      </x:c>
      <x:c r="G394" s="2" t="str">
        <x:v>Flat level</x:v>
      </x:c>
      <x:c r="H394" s="7" t="n">
        <x:v>189.399</x:v>
      </x:c>
      <x:c r="I394" s="7" t="n">
        <x:v>191.367</x:v>
      </x:c>
      <x:c r="J394" s="2" t="str">
        <x:v>2025-10-01</x:v>
      </x:c>
      <x:c r="K394" s="7" t="n">
        <x:f>100*(H394/I394-1)</x:f>
        <x:v>-1.028390474846752</x:v>
      </x:c>
      <x:c r="L394" s="7" t="n">
        <x:f>ABS(K394)</x:f>
        <x:v>1.028390474846752</x:v>
      </x:c>
      <x:c r="M394" s="2" t="str">
        <x:v>Yes</x:v>
      </x:c>
    </x:row>
    <x:row r="395" ht="27" customHeight="1">
      <x:c r="A395" s="2"/>
      <x:c r="B395" s="2" t="str">
        <x:v>CUUR0000SEGB02</x:v>
      </x:c>
      <x:c r="C395" s="2" t="str">
        <x:v>2025-09-30</x:v>
      </x:c>
      <x:c r="D395" s="2" t="str">
        <x:v>Origin</x:v>
      </x:c>
      <x:c r="E395" s="2" t="str">
        <x:v>2025-07-01</x:v>
      </x:c>
      <x:c r="F395" s="2" t="str">
        <x:v>2025-09-01</x:v>
      </x:c>
      <x:c r="G395" s="2" t="str">
        <x:v>Flat level</x:v>
      </x:c>
      <x:c r="H395" s="7" t="n">
        <x:v>189.399</x:v>
      </x:c>
      <x:c r="I395" s="7" t="n">
        <x:v>192.368</x:v>
      </x:c>
      <x:c r="J395" s="2" t="str">
        <x:v>2025-10-24</x:v>
      </x:c>
      <x:c r="K395" s="7" t="n">
        <x:f>100*(H395/I395-1)</x:f>
        <x:v>-1.5433959910172157</x:v>
      </x:c>
      <x:c r="L395" s="7" t="n">
        <x:f>ABS(K395)</x:f>
        <x:v>1.5433959910172157</x:v>
      </x:c>
      <x:c r="M395" s="2" t="str">
        <x:v>Yes</x:v>
      </x:c>
    </x:row>
    <x:row r="396" ht="27" customHeight="1">
      <x:c r="A396" s="2"/>
      <x:c r="B396" s="2" t="str">
        <x:v>CUUR0000SEGB02</x:v>
      </x:c>
      <x:c r="C396" s="2" t="str">
        <x:v>2025-09-30</x:v>
      </x:c>
      <x:c r="D396" s="2" t="str">
        <x:v>Origin</x:v>
      </x:c>
      <x:c r="E396" s="2" t="str">
        <x:v>2025-07-01</x:v>
      </x:c>
      <x:c r="F396" s="2" t="str">
        <x:v>2025-07-01</x:v>
      </x:c>
      <x:c r="G396" s="2" t="str">
        <x:v>Recent trend</x:v>
      </x:c>
      <x:c r="H396" s="7" t="n">
        <x:v>189.132</x:v>
      </x:c>
      <x:c r="I396" s="7" t="n">
        <x:v>190.717</x:v>
      </x:c>
      <x:c r="J396" s="2" t="str">
        <x:v>2025-10-01</x:v>
      </x:c>
      <x:c r="K396" s="7" t="n">
        <x:f>100*(H396/I396-1)</x:f>
        <x:v>-0.8310743142981525</x:v>
      </x:c>
      <x:c r="L396" s="7" t="n">
        <x:f>ABS(K396)</x:f>
        <x:v>0.8310743142981525</x:v>
      </x:c>
      <x:c r="M396" s="2" t="str">
        <x:v>Yes</x:v>
      </x:c>
    </x:row>
    <x:row r="397" ht="27" customHeight="1">
      <x:c r="A397" s="2"/>
      <x:c r="B397" s="2" t="str">
        <x:v>CUUR0000SEGB02</x:v>
      </x:c>
      <x:c r="C397" s="2" t="str">
        <x:v>2025-09-30</x:v>
      </x:c>
      <x:c r="D397" s="2" t="str">
        <x:v>Origin</x:v>
      </x:c>
      <x:c r="E397" s="2" t="str">
        <x:v>2025-07-01</x:v>
      </x:c>
      <x:c r="F397" s="2" t="str">
        <x:v>2025-08-01</x:v>
      </x:c>
      <x:c r="G397" s="2" t="str">
        <x:v>Recent trend</x:v>
      </x:c>
      <x:c r="H397" s="7" t="n">
        <x:v>188.9985</x:v>
      </x:c>
      <x:c r="I397" s="7" t="n">
        <x:v>191.367</x:v>
      </x:c>
      <x:c r="J397" s="2" t="str">
        <x:v>2025-10-01</x:v>
      </x:c>
      <x:c r="K397" s="7" t="n">
        <x:f>100*(H397/I397-1)</x:f>
        <x:v>-1.2376742071516955</x:v>
      </x:c>
      <x:c r="L397" s="7" t="n">
        <x:f>ABS(K397)</x:f>
        <x:v>1.2376742071516955</x:v>
      </x:c>
      <x:c r="M397" s="2" t="str">
        <x:v>Yes</x:v>
      </x:c>
    </x:row>
    <x:row r="398" ht="27" customHeight="1">
      <x:c r="A398" s="2"/>
      <x:c r="B398" s="2" t="str">
        <x:v>CUUR0000SEGB02</x:v>
      </x:c>
      <x:c r="C398" s="2" t="str">
        <x:v>2025-09-30</x:v>
      </x:c>
      <x:c r="D398" s="2" t="str">
        <x:v>Origin</x:v>
      </x:c>
      <x:c r="E398" s="2" t="str">
        <x:v>2025-07-01</x:v>
      </x:c>
      <x:c r="F398" s="2" t="str">
        <x:v>2025-09-01</x:v>
      </x:c>
      <x:c r="G398" s="2" t="str">
        <x:v>Recent trend</x:v>
      </x:c>
      <x:c r="H398" s="7" t="n">
        <x:v>188.865</x:v>
      </x:c>
      <x:c r="I398" s="7" t="n">
        <x:v>192.368</x:v>
      </x:c>
      <x:c r="J398" s="2" t="str">
        <x:v>2025-10-24</x:v>
      </x:c>
      <x:c r="K398" s="7" t="n">
        <x:f>100*(H398/I398-1)</x:f>
        <x:v>-1.8209889378690725</x:v>
      </x:c>
      <x:c r="L398" s="7" t="n">
        <x:f>ABS(K398)</x:f>
        <x:v>1.8209889378690725</x:v>
      </x:c>
      <x:c r="M398" s="2" t="str">
        <x:v>Yes</x:v>
      </x:c>
    </x:row>
    <x:row r="399" ht="27" customHeight="1">
      <x:c r="A399" s="2"/>
      <x:c r="B399" s="2" t="str">
        <x:v>CUUR0000SEGB02</x:v>
      </x:c>
      <x:c r="C399" s="2" t="str">
        <x:v>2025-09-30</x:v>
      </x:c>
      <x:c r="D399" s="2" t="str">
        <x:v>Origin</x:v>
      </x:c>
      <x:c r="E399" s="2" t="str">
        <x:v>2025-07-01</x:v>
      </x:c>
      <x:c r="F399" s="2" t="str">
        <x:v>2025-07-01</x:v>
      </x:c>
      <x:c r="G399" s="2" t="str">
        <x:v>Seasonal step</x:v>
      </x:c>
      <x:c r="H399" s="7" t="n">
        <x:v>190.8448549135052</x:v>
      </x:c>
      <x:c r="I399" s="7" t="n">
        <x:v>190.717</x:v>
      </x:c>
      <x:c r="J399" s="2" t="str">
        <x:v>2025-10-01</x:v>
      </x:c>
      <x:c r="K399" s="7" t="n">
        <x:f>100*(H399/I399-1)</x:f>
        <x:v>0.06703907543910148</x:v>
      </x:c>
      <x:c r="L399" s="7" t="n">
        <x:f>ABS(K399)</x:f>
        <x:v>0.06703907543910148</x:v>
      </x:c>
      <x:c r="M399" s="2" t="str">
        <x:v>Yes</x:v>
      </x:c>
    </x:row>
    <x:row r="400" ht="27" customHeight="1">
      <x:c r="A400" s="2"/>
      <x:c r="B400" s="2" t="str">
        <x:v>CUUR0000SEGB02</x:v>
      </x:c>
      <x:c r="C400" s="2" t="str">
        <x:v>2025-09-30</x:v>
      </x:c>
      <x:c r="D400" s="2" t="str">
        <x:v>Origin</x:v>
      </x:c>
      <x:c r="E400" s="2" t="str">
        <x:v>2025-07-01</x:v>
      </x:c>
      <x:c r="F400" s="2" t="str">
        <x:v>2025-08-01</x:v>
      </x:c>
      <x:c r="G400" s="2" t="str">
        <x:v>Seasonal step</x:v>
      </x:c>
      <x:c r="H400" s="7" t="n">
        <x:v>191.67862458420143</x:v>
      </x:c>
      <x:c r="I400" s="7" t="n">
        <x:v>191.367</x:v>
      </x:c>
      <x:c r="J400" s="2" t="str">
        <x:v>2025-10-01</x:v>
      </x:c>
      <x:c r="K400" s="7" t="n">
        <x:f>100*(H400/I400-1)</x:f>
        <x:v>0.16284133847603854</x:v>
      </x:c>
      <x:c r="L400" s="7" t="n">
        <x:f>ABS(K400)</x:f>
        <x:v>0.16284133847603854</x:v>
      </x:c>
      <x:c r="M400" s="2" t="str">
        <x:v>Yes</x:v>
      </x:c>
    </x:row>
    <x:row r="401" ht="27" customHeight="1">
      <x:c r="A401" s="2"/>
      <x:c r="B401" s="2" t="str">
        <x:v>CUUR0000SEGB02</x:v>
      </x:c>
      <x:c r="C401" s="2" t="str">
        <x:v>2025-09-30</x:v>
      </x:c>
      <x:c r="D401" s="2" t="str">
        <x:v>Origin</x:v>
      </x:c>
      <x:c r="E401" s="2" t="str">
        <x:v>2025-07-01</x:v>
      </x:c>
      <x:c r="F401" s="2" t="str">
        <x:v>2025-09-01</x:v>
      </x:c>
      <x:c r="G401" s="2" t="str">
        <x:v>Seasonal step</x:v>
      </x:c>
      <x:c r="H401" s="7" t="n">
        <x:v>192.4637071292752</x:v>
      </x:c>
      <x:c r="I401" s="7" t="n">
        <x:v>192.368</x:v>
      </x:c>
      <x:c r="J401" s="2" t="str">
        <x:v>2025-10-24</x:v>
      </x:c>
      <x:c r="K401" s="7" t="n">
        <x:f>100*(H401/I401-1)</x:f>
        <x:v>0.049752104962985655</x:v>
      </x:c>
      <x:c r="L401" s="7" t="n">
        <x:f>ABS(K401)</x:f>
        <x:v>0.049752104962985655</x:v>
      </x:c>
      <x:c r="M401" s="2" t="str">
        <x:v>Yes</x:v>
      </x:c>
    </x:row>
    <x:row r="402" ht="27" customHeight="1">
      <x:c r="A402" s="2"/>
      <x:c r="B402" s="2" t="str">
        <x:v>CUUR0000SEGB02</x:v>
      </x:c>
      <x:c r="C402" s="2" t="str">
        <x:v>2025-09-30</x:v>
      </x:c>
      <x:c r="D402" s="2" t="str">
        <x:v>Two months</x:v>
      </x:c>
      <x:c r="E402" s="2" t="str">
        <x:v>2025-10-01</x:v>
      </x:c>
      <x:c r="F402" s="2" t="str">
        <x:v>2025-09-01</x:v>
      </x:c>
      <x:c r="G402" s="2" t="str">
        <x:v>YoY carry</x:v>
      </x:c>
      <x:c r="H402" s="7" t="n">
        <x:v>191.75451176442408</x:v>
      </x:c>
      <x:c r="I402" s="7" t="n">
        <x:v>192.368</x:v>
      </x:c>
      <x:c r="J402" s="2" t="str">
        <x:v>2025-10-24</x:v>
      </x:c>
      <x:c r="K402" s="7" t="n">
        <x:f>100*(H402/I402-1)</x:f>
        <x:v>-0.3189138711094941</x:v>
      </x:c>
      <x:c r="L402" s="7" t="n">
        <x:f>ABS(K402)</x:f>
        <x:v>0.3189138711094941</x:v>
      </x:c>
      <x:c r="M402" s="2" t="str">
        <x:v>Yes</x:v>
      </x:c>
    </x:row>
    <x:row r="403" ht="27" customHeight="1">
      <x:c r="A403" s="2"/>
      <x:c r="B403" s="2" t="str">
        <x:v>CUUR0000SEGB02</x:v>
      </x:c>
      <x:c r="C403" s="2" t="str">
        <x:v>2025-09-30</x:v>
      </x:c>
      <x:c r="D403" s="2" t="str">
        <x:v>Two months</x:v>
      </x:c>
      <x:c r="E403" s="2" t="str">
        <x:v>2025-10-01</x:v>
      </x:c>
      <x:c r="F403" s="2" t="str">
        <x:v>2025-09-01</x:v>
      </x:c>
      <x:c r="G403" s="2" t="str">
        <x:v>Flat level</x:v>
      </x:c>
      <x:c r="H403" s="7" t="n">
        <x:v>191.367</x:v>
      </x:c>
      <x:c r="I403" s="7" t="n">
        <x:v>192.368</x:v>
      </x:c>
      <x:c r="J403" s="2" t="str">
        <x:v>2025-10-24</x:v>
      </x:c>
      <x:c r="K403" s="7" t="n">
        <x:f>100*(H403/I403-1)</x:f>
        <x:v>-0.5203568161024741</x:v>
      </x:c>
      <x:c r="L403" s="7" t="n">
        <x:f>ABS(K403)</x:f>
        <x:v>0.5203568161024741</x:v>
      </x:c>
      <x:c r="M403" s="2" t="str">
        <x:v>Yes</x:v>
      </x:c>
    </x:row>
    <x:row r="404" ht="27" customHeight="1">
      <x:c r="A404" s="2"/>
      <x:c r="B404" s="2" t="str">
        <x:v>CUUR0000SEGB02</x:v>
      </x:c>
      <x:c r="C404" s="2" t="str">
        <x:v>2025-09-30</x:v>
      </x:c>
      <x:c r="D404" s="2" t="str">
        <x:v>Two months</x:v>
      </x:c>
      <x:c r="E404" s="2" t="str">
        <x:v>2025-10-01</x:v>
      </x:c>
      <x:c r="F404" s="2" t="str">
        <x:v>2025-09-01</x:v>
      </x:c>
      <x:c r="G404" s="2" t="str">
        <x:v>Recent trend</x:v>
      </x:c>
      <x:c r="H404" s="7" t="n">
        <x:v>191.5145</x:v>
      </x:c>
      <x:c r="I404" s="7" t="n">
        <x:v>192.368</x:v>
      </x:c>
      <x:c r="J404" s="2" t="str">
        <x:v>2025-10-24</x:v>
      </x:c>
      <x:c r="K404" s="7" t="n">
        <x:f>100*(H404/I404-1)</x:f>
        <x:v>-0.44368086168177223</x:v>
      </x:c>
      <x:c r="L404" s="7" t="n">
        <x:f>ABS(K404)</x:f>
        <x:v>0.44368086168177223</x:v>
      </x:c>
      <x:c r="M404" s="2" t="str">
        <x:v>Yes</x:v>
      </x:c>
    </x:row>
    <x:row r="405" ht="27" customHeight="1">
      <x:c r="A405" s="2"/>
      <x:c r="B405" s="2" t="str">
        <x:v>CUUR0000SEGB02</x:v>
      </x:c>
      <x:c r="C405" s="2" t="str">
        <x:v>2025-09-30</x:v>
      </x:c>
      <x:c r="D405" s="2" t="str">
        <x:v>Two months</x:v>
      </x:c>
      <x:c r="E405" s="2" t="str">
        <x:v>2025-10-01</x:v>
      </x:c>
      <x:c r="F405" s="2" t="str">
        <x:v>2025-09-01</x:v>
      </x:c>
      <x:c r="G405" s="2" t="str">
        <x:v>Seasonal step</x:v>
      </x:c>
      <x:c r="H405" s="7" t="n">
        <x:v>192.15080618459172</x:v>
      </x:c>
      <x:c r="I405" s="7" t="n">
        <x:v>192.368</x:v>
      </x:c>
      <x:c r="J405" s="2" t="str">
        <x:v>2025-10-24</x:v>
      </x:c>
      <x:c r="K405" s="7" t="n">
        <x:f>100*(H405/I405-1)</x:f>
        <x:v>-0.11290537688611879</x:v>
      </x:c>
      <x:c r="L405" s="7" t="n">
        <x:f>ABS(K405)</x:f>
        <x:v>0.11290537688611879</x:v>
      </x:c>
      <x:c r="M405" s="2" t="str">
        <x:v>Yes</x:v>
      </x:c>
    </x:row>
    <x:row r="406" ht="27" customHeight="1">
      <x:c r="A406" s="2"/>
      <x:c r="B406" s="2" t="str">
        <x:v>CUUR0000SEGB02</x:v>
      </x:c>
      <x:c r="C406" s="2" t="str">
        <x:v>2025-09-30</x:v>
      </x:c>
      <x:c r="D406" s="2" t="str">
        <x:v>Pre-earnings</x:v>
      </x:c>
      <x:c r="E406" s="2" t="str">
        <x:v>2025-10-23</x:v>
      </x:c>
      <x:c r="F406" s="2" t="str">
        <x:v>2025-09-01</x:v>
      </x:c>
      <x:c r="G406" s="2" t="str">
        <x:v>YoY carry</x:v>
      </x:c>
      <x:c r="H406" s="7" t="n">
        <x:v>191.75451176442408</x:v>
      </x:c>
      <x:c r="I406" s="7" t="n">
        <x:v>192.368</x:v>
      </x:c>
      <x:c r="J406" s="2" t="str">
        <x:v>2025-10-24</x:v>
      </x:c>
      <x:c r="K406" s="7" t="n">
        <x:f>100*(H406/I406-1)</x:f>
        <x:v>-0.3189138711094941</x:v>
      </x:c>
      <x:c r="L406" s="7" t="n">
        <x:f>ABS(K406)</x:f>
        <x:v>0.3189138711094941</x:v>
      </x:c>
      <x:c r="M406" s="2" t="str">
        <x:v>Yes</x:v>
      </x:c>
    </x:row>
    <x:row r="407" ht="27" customHeight="1">
      <x:c r="A407" s="2"/>
      <x:c r="B407" s="2" t="str">
        <x:v>CUUR0000SEGB02</x:v>
      </x:c>
      <x:c r="C407" s="2" t="str">
        <x:v>2025-09-30</x:v>
      </x:c>
      <x:c r="D407" s="2" t="str">
        <x:v>Pre-earnings</x:v>
      </x:c>
      <x:c r="E407" s="2" t="str">
        <x:v>2025-10-23</x:v>
      </x:c>
      <x:c r="F407" s="2" t="str">
        <x:v>2025-09-01</x:v>
      </x:c>
      <x:c r="G407" s="2" t="str">
        <x:v>Flat level</x:v>
      </x:c>
      <x:c r="H407" s="7" t="n">
        <x:v>191.367</x:v>
      </x:c>
      <x:c r="I407" s="7" t="n">
        <x:v>192.368</x:v>
      </x:c>
      <x:c r="J407" s="2" t="str">
        <x:v>2025-10-24</x:v>
      </x:c>
      <x:c r="K407" s="7" t="n">
        <x:f>100*(H407/I407-1)</x:f>
        <x:v>-0.5203568161024741</x:v>
      </x:c>
      <x:c r="L407" s="7" t="n">
        <x:f>ABS(K407)</x:f>
        <x:v>0.5203568161024741</x:v>
      </x:c>
      <x:c r="M407" s="2" t="str">
        <x:v>Yes</x:v>
      </x:c>
    </x:row>
    <x:row r="408" ht="27" customHeight="1">
      <x:c r="A408" s="2"/>
      <x:c r="B408" s="2" t="str">
        <x:v>CUUR0000SEGB02</x:v>
      </x:c>
      <x:c r="C408" s="2" t="str">
        <x:v>2025-09-30</x:v>
      </x:c>
      <x:c r="D408" s="2" t="str">
        <x:v>Pre-earnings</x:v>
      </x:c>
      <x:c r="E408" s="2" t="str">
        <x:v>2025-10-23</x:v>
      </x:c>
      <x:c r="F408" s="2" t="str">
        <x:v>2025-09-01</x:v>
      </x:c>
      <x:c r="G408" s="2" t="str">
        <x:v>Recent trend</x:v>
      </x:c>
      <x:c r="H408" s="7" t="n">
        <x:v>191.5145</x:v>
      </x:c>
      <x:c r="I408" s="7" t="n">
        <x:v>192.368</x:v>
      </x:c>
      <x:c r="J408" s="2" t="str">
        <x:v>2025-10-24</x:v>
      </x:c>
      <x:c r="K408" s="7" t="n">
        <x:f>100*(H408/I408-1)</x:f>
        <x:v>-0.44368086168177223</x:v>
      </x:c>
      <x:c r="L408" s="7" t="n">
        <x:f>ABS(K408)</x:f>
        <x:v>0.44368086168177223</x:v>
      </x:c>
      <x:c r="M408" s="2" t="str">
        <x:v>Yes</x:v>
      </x:c>
    </x:row>
    <x:row r="409" ht="27" customHeight="1">
      <x:c r="A409" s="2"/>
      <x:c r="B409" s="2" t="str">
        <x:v>CUUR0000SEGB02</x:v>
      </x:c>
      <x:c r="C409" s="2" t="str">
        <x:v>2025-09-30</x:v>
      </x:c>
      <x:c r="D409" s="2" t="str">
        <x:v>Pre-earnings</x:v>
      </x:c>
      <x:c r="E409" s="2" t="str">
        <x:v>2025-10-23</x:v>
      </x:c>
      <x:c r="F409" s="2" t="str">
        <x:v>2025-09-01</x:v>
      </x:c>
      <x:c r="G409" s="2" t="str">
        <x:v>Seasonal step</x:v>
      </x:c>
      <x:c r="H409" s="7" t="n">
        <x:v>192.15080618459172</x:v>
      </x:c>
      <x:c r="I409" s="7" t="n">
        <x:v>192.368</x:v>
      </x:c>
      <x:c r="J409" s="2" t="str">
        <x:v>2025-10-24</x:v>
      </x:c>
      <x:c r="K409" s="7" t="n">
        <x:f>100*(H409/I409-1)</x:f>
        <x:v>-0.11290537688611879</x:v>
      </x:c>
      <x:c r="L409" s="7" t="n">
        <x:f>ABS(K409)</x:f>
        <x:v>0.11290537688611879</x:v>
      </x:c>
      <x:c r="M409" s="2" t="str">
        <x:v>Yes</x:v>
      </x:c>
    </x:row>
    <x:row r="410" ht="27" customHeight="1">
      <x:c r="A410" s="2"/>
      <x:c r="B410" s="2" t="str">
        <x:v>CUUR0000SEGB02</x:v>
      </x:c>
      <x:c r="C410" s="2" t="str">
        <x:v>2025-12-31</x:v>
      </x:c>
      <x:c r="D410" s="2" t="str">
        <x:v>Origin</x:v>
      </x:c>
      <x:c r="E410" s="2" t="str">
        <x:v>2025-10-01</x:v>
      </x:c>
      <x:c r="F410" s="2" t="str">
        <x:v>2025-10-01</x:v>
      </x:c>
      <x:c r="G410" s="2" t="str">
        <x:v>YoY carry</x:v>
      </x:c>
      <x:c r="H410" s="7" t="n">
        <x:v>192.46491805588278</x:v>
      </x:c>
      <x:c r="I410" s="7"/>
      <x:c r="J410" s="2"/>
      <x:c r="K410" s="7"/>
      <x:c r="L410" s="7"/>
      <x:c r="M410" s="2" t="str">
        <x:v>Yes</x:v>
      </x:c>
    </x:row>
    <x:row r="411" ht="27" customHeight="1">
      <x:c r="A411" s="2"/>
      <x:c r="B411" s="2" t="str">
        <x:v>CUUR0000SEGB02</x:v>
      </x:c>
      <x:c r="C411" s="2" t="str">
        <x:v>2025-12-31</x:v>
      </x:c>
      <x:c r="D411" s="2" t="str">
        <x:v>Origin</x:v>
      </x:c>
      <x:c r="E411" s="2" t="str">
        <x:v>2025-10-01</x:v>
      </x:c>
      <x:c r="F411" s="2" t="str">
        <x:v>2025-11-01</x:v>
      </x:c>
      <x:c r="G411" s="2" t="str">
        <x:v>YoY carry</x:v>
      </x:c>
      <x:c r="H411" s="7" t="n">
        <x:v>190.63371539781485</x:v>
      </x:c>
      <x:c r="I411" s="7" t="n">
        <x:v>190.307</x:v>
      </x:c>
      <x:c r="J411" s="2" t="str">
        <x:v>2026-01-01</x:v>
      </x:c>
      <x:c r="K411" s="7" t="n">
        <x:f>100*(H411/I411-1)</x:f>
        <x:v>0.17167807690461334</x:v>
      </x:c>
      <x:c r="L411" s="7" t="n">
        <x:f>ABS(K411)</x:f>
        <x:v>0.17167807690461334</x:v>
      </x:c>
      <x:c r="M411" s="2" t="str">
        <x:v>Yes</x:v>
      </x:c>
    </x:row>
    <x:row r="412" ht="27" customHeight="1">
      <x:c r="A412" s="2"/>
      <x:c r="B412" s="2" t="str">
        <x:v>CUUR0000SEGB02</x:v>
      </x:c>
      <x:c r="C412" s="2" t="str">
        <x:v>2025-12-31</x:v>
      </x:c>
      <x:c r="D412" s="2" t="str">
        <x:v>Origin</x:v>
      </x:c>
      <x:c r="E412" s="2" t="str">
        <x:v>2025-10-01</x:v>
      </x:c>
      <x:c r="F412" s="2" t="str">
        <x:v>2025-12-01</x:v>
      </x:c>
      <x:c r="G412" s="2" t="str">
        <x:v>YoY carry</x:v>
      </x:c>
      <x:c r="H412" s="7" t="n">
        <x:v>188.45734358118506</x:v>
      </x:c>
      <x:c r="I412" s="7" t="n">
        <x:v>189.36</x:v>
      </x:c>
      <x:c r="J412" s="2" t="str">
        <x:v>2026-01-22</x:v>
      </x:c>
      <x:c r="K412" s="7" t="n">
        <x:f>100*(H412/I412-1)</x:f>
        <x:v>-0.47668801162598085</x:v>
      </x:c>
      <x:c r="L412" s="7" t="n">
        <x:f>ABS(K412)</x:f>
        <x:v>0.47668801162598085</x:v>
      </x:c>
      <x:c r="M412" s="2" t="str">
        <x:v>Yes</x:v>
      </x:c>
    </x:row>
    <x:row r="413" ht="27" customHeight="1">
      <x:c r="A413" s="2"/>
      <x:c r="B413" s="2" t="str">
        <x:v>CUUR0000SEGB02</x:v>
      </x:c>
      <x:c r="C413" s="2" t="str">
        <x:v>2025-12-31</x:v>
      </x:c>
      <x:c r="D413" s="2" t="str">
        <x:v>Origin</x:v>
      </x:c>
      <x:c r="E413" s="2" t="str">
        <x:v>2025-10-01</x:v>
      </x:c>
      <x:c r="F413" s="2" t="str">
        <x:v>2025-10-01</x:v>
      </x:c>
      <x:c r="G413" s="2" t="str">
        <x:v>Flat level</x:v>
      </x:c>
      <x:c r="H413" s="7" t="n">
        <x:v>191.367</x:v>
      </x:c>
      <x:c r="I413" s="7"/>
      <x:c r="J413" s="2"/>
      <x:c r="K413" s="7"/>
      <x:c r="L413" s="7"/>
      <x:c r="M413" s="2" t="str">
        <x:v>Yes</x:v>
      </x:c>
    </x:row>
    <x:row r="414" ht="27" customHeight="1">
      <x:c r="A414" s="2"/>
      <x:c r="B414" s="2" t="str">
        <x:v>CUUR0000SEGB02</x:v>
      </x:c>
      <x:c r="C414" s="2" t="str">
        <x:v>2025-12-31</x:v>
      </x:c>
      <x:c r="D414" s="2" t="str">
        <x:v>Origin</x:v>
      </x:c>
      <x:c r="E414" s="2" t="str">
        <x:v>2025-10-01</x:v>
      </x:c>
      <x:c r="F414" s="2" t="str">
        <x:v>2025-11-01</x:v>
      </x:c>
      <x:c r="G414" s="2" t="str">
        <x:v>Flat level</x:v>
      </x:c>
      <x:c r="H414" s="7" t="n">
        <x:v>191.367</x:v>
      </x:c>
      <x:c r="I414" s="7" t="n">
        <x:v>190.307</x:v>
      </x:c>
      <x:c r="J414" s="2" t="str">
        <x:v>2026-01-01</x:v>
      </x:c>
      <x:c r="K414" s="7" t="n">
        <x:f>100*(H414/I414-1)</x:f>
        <x:v>0.5569947505872141</x:v>
      </x:c>
      <x:c r="L414" s="7" t="n">
        <x:f>ABS(K414)</x:f>
        <x:v>0.5569947505872141</x:v>
      </x:c>
      <x:c r="M414" s="2" t="str">
        <x:v>Yes</x:v>
      </x:c>
    </x:row>
    <x:row r="415" ht="27" customHeight="1">
      <x:c r="A415" s="2"/>
      <x:c r="B415" s="2" t="str">
        <x:v>CUUR0000SEGB02</x:v>
      </x:c>
      <x:c r="C415" s="2" t="str">
        <x:v>2025-12-31</x:v>
      </x:c>
      <x:c r="D415" s="2" t="str">
        <x:v>Origin</x:v>
      </x:c>
      <x:c r="E415" s="2" t="str">
        <x:v>2025-10-01</x:v>
      </x:c>
      <x:c r="F415" s="2" t="str">
        <x:v>2025-12-01</x:v>
      </x:c>
      <x:c r="G415" s="2" t="str">
        <x:v>Flat level</x:v>
      </x:c>
      <x:c r="H415" s="7" t="n">
        <x:v>191.367</x:v>
      </x:c>
      <x:c r="I415" s="7" t="n">
        <x:v>189.36</x:v>
      </x:c>
      <x:c r="J415" s="2" t="str">
        <x:v>2026-01-22</x:v>
      </x:c>
      <x:c r="K415" s="7" t="n">
        <x:f>100*(H415/I415-1)</x:f>
        <x:v>1.0598859315589237</x:v>
      </x:c>
      <x:c r="L415" s="7" t="n">
        <x:f>ABS(K415)</x:f>
        <x:v>1.0598859315589237</x:v>
      </x:c>
      <x:c r="M415" s="2" t="str">
        <x:v>Yes</x:v>
      </x:c>
    </x:row>
    <x:row r="416" ht="27" customHeight="1">
      <x:c r="A416" s="2"/>
      <x:c r="B416" s="2" t="str">
        <x:v>CUUR0000SEGB02</x:v>
      </x:c>
      <x:c r="C416" s="2" t="str">
        <x:v>2025-12-31</x:v>
      </x:c>
      <x:c r="D416" s="2" t="str">
        <x:v>Origin</x:v>
      </x:c>
      <x:c r="E416" s="2" t="str">
        <x:v>2025-10-01</x:v>
      </x:c>
      <x:c r="F416" s="2" t="str">
        <x:v>2025-10-01</x:v>
      </x:c>
      <x:c r="G416" s="2" t="str">
        <x:v>Recent trend</x:v>
      </x:c>
      <x:c r="H416" s="7" t="n">
        <x:v>191.66199999999998</x:v>
      </x:c>
      <x:c r="I416" s="7"/>
      <x:c r="J416" s="2"/>
      <x:c r="K416" s="7"/>
      <x:c r="L416" s="7"/>
      <x:c r="M416" s="2" t="str">
        <x:v>Yes</x:v>
      </x:c>
    </x:row>
    <x:row r="417" ht="27" customHeight="1">
      <x:c r="A417" s="2"/>
      <x:c r="B417" s="2" t="str">
        <x:v>CUUR0000SEGB02</x:v>
      </x:c>
      <x:c r="C417" s="2" t="str">
        <x:v>2025-12-31</x:v>
      </x:c>
      <x:c r="D417" s="2" t="str">
        <x:v>Origin</x:v>
      </x:c>
      <x:c r="E417" s="2" t="str">
        <x:v>2025-10-01</x:v>
      </x:c>
      <x:c r="F417" s="2" t="str">
        <x:v>2025-11-01</x:v>
      </x:c>
      <x:c r="G417" s="2" t="str">
        <x:v>Recent trend</x:v>
      </x:c>
      <x:c r="H417" s="7" t="n">
        <x:v>191.80949999999996</x:v>
      </x:c>
      <x:c r="I417" s="7" t="n">
        <x:v>190.307</x:v>
      </x:c>
      <x:c r="J417" s="2" t="str">
        <x:v>2026-01-01</x:v>
      </x:c>
      <x:c r="K417" s="7" t="n">
        <x:f>100*(H417/I417-1)</x:f>
        <x:v>0.7895137856200662</x:v>
      </x:c>
      <x:c r="L417" s="7" t="n">
        <x:f>ABS(K417)</x:f>
        <x:v>0.7895137856200662</x:v>
      </x:c>
      <x:c r="M417" s="2" t="str">
        <x:v>Yes</x:v>
      </x:c>
    </x:row>
    <x:row r="418" ht="27" customHeight="1">
      <x:c r="A418" s="2"/>
      <x:c r="B418" s="2" t="str">
        <x:v>CUUR0000SEGB02</x:v>
      </x:c>
      <x:c r="C418" s="2" t="str">
        <x:v>2025-12-31</x:v>
      </x:c>
      <x:c r="D418" s="2" t="str">
        <x:v>Origin</x:v>
      </x:c>
      <x:c r="E418" s="2" t="str">
        <x:v>2025-10-01</x:v>
      </x:c>
      <x:c r="F418" s="2" t="str">
        <x:v>2025-12-01</x:v>
      </x:c>
      <x:c r="G418" s="2" t="str">
        <x:v>Recent trend</x:v>
      </x:c>
      <x:c r="H418" s="7" t="n">
        <x:v>191.95699999999997</x:v>
      </x:c>
      <x:c r="I418" s="7" t="n">
        <x:v>189.36</x:v>
      </x:c>
      <x:c r="J418" s="2" t="str">
        <x:v>2026-01-22</x:v>
      </x:c>
      <x:c r="K418" s="7" t="n">
        <x:f>100*(H418/I418-1)</x:f>
        <x:v>1.371461765948423</x:v>
      </x:c>
      <x:c r="L418" s="7" t="n">
        <x:f>ABS(K418)</x:f>
        <x:v>1.371461765948423</x:v>
      </x:c>
      <x:c r="M418" s="2" t="str">
        <x:v>Yes</x:v>
      </x:c>
    </x:row>
    <x:row r="419" ht="27" customHeight="1">
      <x:c r="A419" s="2"/>
      <x:c r="B419" s="2" t="str">
        <x:v>CUUR0000SEGB02</x:v>
      </x:c>
      <x:c r="C419" s="2" t="str">
        <x:v>2025-12-31</x:v>
      </x:c>
      <x:c r="D419" s="2" t="str">
        <x:v>Origin</x:v>
      </x:c>
      <x:c r="E419" s="2" t="str">
        <x:v>2025-10-01</x:v>
      </x:c>
      <x:c r="F419" s="2" t="str">
        <x:v>2025-10-01</x:v>
      </x:c>
      <x:c r="G419" s="2" t="str">
        <x:v>Seasonal step</x:v>
      </x:c>
      <x:c r="H419" s="7" t="n">
        <x:v>192.86268065558247</x:v>
      </x:c>
      <x:c r="I419" s="7"/>
      <x:c r="J419" s="2"/>
      <x:c r="K419" s="7"/>
      <x:c r="L419" s="7"/>
      <x:c r="M419" s="2" t="str">
        <x:v>Yes</x:v>
      </x:c>
    </x:row>
    <x:row r="420" ht="27" customHeight="1">
      <x:c r="A420" s="2"/>
      <x:c r="B420" s="2" t="str">
        <x:v>CUUR0000SEGB02</x:v>
      </x:c>
      <x:c r="C420" s="2" t="str">
        <x:v>2025-12-31</x:v>
      </x:c>
      <x:c r="D420" s="2" t="str">
        <x:v>Origin</x:v>
      </x:c>
      <x:c r="E420" s="2" t="str">
        <x:v>2025-10-01</x:v>
      </x:c>
      <x:c r="F420" s="2" t="str">
        <x:v>2025-11-01</x:v>
      </x:c>
      <x:c r="G420" s="2" t="str">
        <x:v>Seasonal step</x:v>
      </x:c>
      <x:c r="H420" s="7" t="n">
        <x:v>191.10523303527674</x:v>
      </x:c>
      <x:c r="I420" s="7" t="n">
        <x:v>190.307</x:v>
      </x:c>
      <x:c r="J420" s="2" t="str">
        <x:v>2026-01-01</x:v>
      </x:c>
      <x:c r="K420" s="7" t="n">
        <x:f>100*(H420/I420-1)</x:f>
        <x:v>0.41944491546646034</x:v>
      </x:c>
      <x:c r="L420" s="7" t="n">
        <x:f>ABS(K420)</x:f>
        <x:v>0.41944491546646034</x:v>
      </x:c>
      <x:c r="M420" s="2" t="str">
        <x:v>Yes</x:v>
      </x:c>
    </x:row>
    <x:row r="421" ht="27" customHeight="1">
      <x:c r="A421" s="2"/>
      <x:c r="B421" s="2" t="str">
        <x:v>CUUR0000SEGB02</x:v>
      </x:c>
      <x:c r="C421" s="2" t="str">
        <x:v>2025-12-31</x:v>
      </x:c>
      <x:c r="D421" s="2" t="str">
        <x:v>Origin</x:v>
      </x:c>
      <x:c r="E421" s="2" t="str">
        <x:v>2025-10-01</x:v>
      </x:c>
      <x:c r="F421" s="2" t="str">
        <x:v>2025-12-01</x:v>
      </x:c>
      <x:c r="G421" s="2" t="str">
        <x:v>Seasonal step</x:v>
      </x:c>
      <x:c r="H421" s="7" t="n">
        <x:v>188.92347813258016</x:v>
      </x:c>
      <x:c r="I421" s="7" t="n">
        <x:v>189.36</x:v>
      </x:c>
      <x:c r="J421" s="2" t="str">
        <x:v>2026-01-22</x:v>
      </x:c>
      <x:c r="K421" s="7" t="n">
        <x:f>100*(H421/I421-1)</x:f>
        <x:v>-0.23052485605188355</x:v>
      </x:c>
      <x:c r="L421" s="7" t="n">
        <x:f>ABS(K421)</x:f>
        <x:v>0.23052485605188355</x:v>
      </x:c>
      <x:c r="M421" s="2" t="str">
        <x:v>Yes</x:v>
      </x:c>
    </x:row>
    <x:row r="422" ht="27" customHeight="1">
      <x:c r="A422" s="2"/>
      <x:c r="B422" s="2" t="str">
        <x:v>PCENDC96</x:v>
      </x:c>
      <x:c r="C422" s="2" t="str">
        <x:v>2023-06-30</x:v>
      </x:c>
      <x:c r="D422" s="2" t="str">
        <x:v>Origin</x:v>
      </x:c>
      <x:c r="E422" s="2" t="str">
        <x:v>2023-04-01</x:v>
      </x:c>
      <x:c r="F422" s="2" t="str">
        <x:v>2023-04-01</x:v>
      </x:c>
      <x:c r="G422" s="2" t="str">
        <x:v>YoY carry</x:v>
      </x:c>
      <x:c r="H422" s="7" t="n">
        <x:v>3300.680067993162</x:v>
      </x:c>
      <x:c r="I422" s="7" t="n">
        <x:v>3325</x:v>
      </x:c>
      <x:c r="J422" s="2" t="str">
        <x:v>2023-07-01</x:v>
      </x:c>
      <x:c r="K422" s="7" t="n">
        <x:f>100*(H422/I422-1)</x:f>
        <x:v>-0.7314265265214392</x:v>
      </x:c>
      <x:c r="L422" s="7" t="n">
        <x:f>ABS(K422)</x:f>
        <x:v>0.7314265265214392</x:v>
      </x:c>
      <x:c r="M422" s="2" t="str">
        <x:v>Calibration</x:v>
      </x:c>
    </x:row>
    <x:row r="423" ht="27" customHeight="1">
      <x:c r="A423" s="2"/>
      <x:c r="B423" s="2" t="str">
        <x:v>PCENDC96</x:v>
      </x:c>
      <x:c r="C423" s="2" t="str">
        <x:v>2023-06-30</x:v>
      </x:c>
      <x:c r="D423" s="2" t="str">
        <x:v>Origin</x:v>
      </x:c>
      <x:c r="E423" s="2" t="str">
        <x:v>2023-04-01</x:v>
      </x:c>
      <x:c r="F423" s="2" t="str">
        <x:v>2023-05-01</x:v>
      </x:c>
      <x:c r="G423" s="2" t="str">
        <x:v>YoY carry</x:v>
      </x:c>
      <x:c r="H423" s="7" t="n">
        <x:v>3303.5717277711756</x:v>
      </x:c>
      <x:c r="I423" s="7" t="n">
        <x:v>3325.9</x:v>
      </x:c>
      <x:c r="J423" s="2" t="str">
        <x:v>2023-07-01</x:v>
      </x:c>
      <x:c r="K423" s="7" t="n">
        <x:f>100*(H423/I423-1)</x:f>
        <x:v>-0.6713452668097197</x:v>
      </x:c>
      <x:c r="L423" s="7" t="n">
        <x:f>ABS(K423)</x:f>
        <x:v>0.6713452668097197</x:v>
      </x:c>
      <x:c r="M423" s="2" t="str">
        <x:v>Calibration</x:v>
      </x:c>
    </x:row>
    <x:row r="424" ht="27" customHeight="1">
      <x:c r="A424" s="2"/>
      <x:c r="B424" s="2" t="str">
        <x:v>PCENDC96</x:v>
      </x:c>
      <x:c r="C424" s="2" t="str">
        <x:v>2023-06-30</x:v>
      </x:c>
      <x:c r="D424" s="2" t="str">
        <x:v>Origin</x:v>
      </x:c>
      <x:c r="E424" s="2" t="str">
        <x:v>2023-04-01</x:v>
      </x:c>
      <x:c r="F424" s="2" t="str">
        <x:v>2023-06-01</x:v>
      </x:c>
      <x:c r="G424" s="2" t="str">
        <x:v>YoY carry</x:v>
      </x:c>
      <x:c r="H424" s="7" t="n">
        <x:v>3307.5602240167113</x:v>
      </x:c>
      <x:c r="I424" s="7" t="n">
        <x:v>3336.9</x:v>
      </x:c>
      <x:c r="J424" s="2" t="str">
        <x:v>2023-07-28</x:v>
      </x:c>
      <x:c r="K424" s="7" t="n">
        <x:f>100*(H424/I424-1)</x:f>
        <x:v>-0.8792524793457601</x:v>
      </x:c>
      <x:c r="L424" s="7" t="n">
        <x:f>ABS(K424)</x:f>
        <x:v>0.8792524793457601</x:v>
      </x:c>
      <x:c r="M424" s="2" t="str">
        <x:v>Calibration</x:v>
      </x:c>
    </x:row>
    <x:row r="425" ht="27" customHeight="1">
      <x:c r="A425" s="2"/>
      <x:c r="B425" s="2" t="str">
        <x:v>PCENDC96</x:v>
      </x:c>
      <x:c r="C425" s="2" t="str">
        <x:v>2023-06-30</x:v>
      </x:c>
      <x:c r="D425" s="2" t="str">
        <x:v>Origin</x:v>
      </x:c>
      <x:c r="E425" s="2" t="str">
        <x:v>2023-04-01</x:v>
      </x:c>
      <x:c r="F425" s="2" t="str">
        <x:v>2023-04-01</x:v>
      </x:c>
      <x:c r="G425" s="2" t="str">
        <x:v>Flat level</x:v>
      </x:c>
      <x:c r="H425" s="7" t="n">
        <x:v>3352.7</x:v>
      </x:c>
      <x:c r="I425" s="7" t="n">
        <x:v>3325</x:v>
      </x:c>
      <x:c r="J425" s="2" t="str">
        <x:v>2023-07-01</x:v>
      </x:c>
      <x:c r="K425" s="7" t="n">
        <x:f>100*(H425/I425-1)</x:f>
        <x:v>0.8330827067669189</x:v>
      </x:c>
      <x:c r="L425" s="7" t="n">
        <x:f>ABS(K425)</x:f>
        <x:v>0.8330827067669189</x:v>
      </x:c>
      <x:c r="M425" s="2" t="str">
        <x:v>Calibration</x:v>
      </x:c>
    </x:row>
    <x:row r="426" ht="27" customHeight="1">
      <x:c r="A426" s="2"/>
      <x:c r="B426" s="2" t="str">
        <x:v>PCENDC96</x:v>
      </x:c>
      <x:c r="C426" s="2" t="str">
        <x:v>2023-06-30</x:v>
      </x:c>
      <x:c r="D426" s="2" t="str">
        <x:v>Origin</x:v>
      </x:c>
      <x:c r="E426" s="2" t="str">
        <x:v>2023-04-01</x:v>
      </x:c>
      <x:c r="F426" s="2" t="str">
        <x:v>2023-05-01</x:v>
      </x:c>
      <x:c r="G426" s="2" t="str">
        <x:v>Flat level</x:v>
      </x:c>
      <x:c r="H426" s="7" t="n">
        <x:v>3352.7</x:v>
      </x:c>
      <x:c r="I426" s="7" t="n">
        <x:v>3325.9</x:v>
      </x:c>
      <x:c r="J426" s="2" t="str">
        <x:v>2023-07-01</x:v>
      </x:c>
      <x:c r="K426" s="7" t="n">
        <x:f>100*(H426/I426-1)</x:f>
        <x:v>0.8057969271475285</x:v>
      </x:c>
      <x:c r="L426" s="7" t="n">
        <x:f>ABS(K426)</x:f>
        <x:v>0.8057969271475285</x:v>
      </x:c>
      <x:c r="M426" s="2" t="str">
        <x:v>Calibration</x:v>
      </x:c>
    </x:row>
    <x:row r="427" ht="27" customHeight="1">
      <x:c r="A427" s="2"/>
      <x:c r="B427" s="2" t="str">
        <x:v>PCENDC96</x:v>
      </x:c>
      <x:c r="C427" s="2" t="str">
        <x:v>2023-06-30</x:v>
      </x:c>
      <x:c r="D427" s="2" t="str">
        <x:v>Origin</x:v>
      </x:c>
      <x:c r="E427" s="2" t="str">
        <x:v>2023-04-01</x:v>
      </x:c>
      <x:c r="F427" s="2" t="str">
        <x:v>2023-06-01</x:v>
      </x:c>
      <x:c r="G427" s="2" t="str">
        <x:v>Flat level</x:v>
      </x:c>
      <x:c r="H427" s="7" t="n">
        <x:v>3352.7</x:v>
      </x:c>
      <x:c r="I427" s="7" t="n">
        <x:v>3336.9</x:v>
      </x:c>
      <x:c r="J427" s="2" t="str">
        <x:v>2023-07-28</x:v>
      </x:c>
      <x:c r="K427" s="7" t="n">
        <x:f>100*(H427/I427-1)</x:f>
        <x:v>0.47349336210253945</x:v>
      </x:c>
      <x:c r="L427" s="7" t="n">
        <x:f>ABS(K427)</x:f>
        <x:v>0.47349336210253945</x:v>
      </x:c>
      <x:c r="M427" s="2" t="str">
        <x:v>Calibration</x:v>
      </x:c>
    </x:row>
    <x:row r="428" ht="27" customHeight="1">
      <x:c r="A428" s="2"/>
      <x:c r="B428" s="2" t="str">
        <x:v>PCENDC96</x:v>
      </x:c>
      <x:c r="C428" s="2" t="str">
        <x:v>2023-06-30</x:v>
      </x:c>
      <x:c r="D428" s="2" t="str">
        <x:v>Origin</x:v>
      </x:c>
      <x:c r="E428" s="2" t="str">
        <x:v>2023-04-01</x:v>
      </x:c>
      <x:c r="F428" s="2" t="str">
        <x:v>2023-04-01</x:v>
      </x:c>
      <x:c r="G428" s="2" t="str">
        <x:v>Recent trend</x:v>
      </x:c>
      <x:c r="H428" s="7" t="n">
        <x:v>3400.9999999999995</x:v>
      </x:c>
      <x:c r="I428" s="7" t="n">
        <x:v>3325</x:v>
      </x:c>
      <x:c r="J428" s="2" t="str">
        <x:v>2023-07-01</x:v>
      </x:c>
      <x:c r="K428" s="7" t="n">
        <x:f>100*(H428/I428-1)</x:f>
        <x:v>2.2857142857142687</x:v>
      </x:c>
      <x:c r="L428" s="7" t="n">
        <x:f>ABS(K428)</x:f>
        <x:v>2.2857142857142687</x:v>
      </x:c>
      <x:c r="M428" s="2" t="str">
        <x:v>Calibration</x:v>
      </x:c>
    </x:row>
    <x:row r="429" ht="27" customHeight="1">
      <x:c r="A429" s="2"/>
      <x:c r="B429" s="2" t="str">
        <x:v>PCENDC96</x:v>
      </x:c>
      <x:c r="C429" s="2" t="str">
        <x:v>2023-06-30</x:v>
      </x:c>
      <x:c r="D429" s="2" t="str">
        <x:v>Origin</x:v>
      </x:c>
      <x:c r="E429" s="2" t="str">
        <x:v>2023-04-01</x:v>
      </x:c>
      <x:c r="F429" s="2" t="str">
        <x:v>2023-05-01</x:v>
      </x:c>
      <x:c r="G429" s="2" t="str">
        <x:v>Recent trend</x:v>
      </x:c>
      <x:c r="H429" s="7" t="n">
        <x:v>3425.1499999999996</x:v>
      </x:c>
      <x:c r="I429" s="7" t="n">
        <x:v>3325.9</x:v>
      </x:c>
      <x:c r="J429" s="2" t="str">
        <x:v>2023-07-01</x:v>
      </x:c>
      <x:c r="K429" s="7" t="n">
        <x:f>100*(H429/I429-1)</x:f>
        <x:v>2.984154664902716</x:v>
      </x:c>
      <x:c r="L429" s="7" t="n">
        <x:f>ABS(K429)</x:f>
        <x:v>2.984154664902716</x:v>
      </x:c>
      <x:c r="M429" s="2" t="str">
        <x:v>Calibration</x:v>
      </x:c>
    </x:row>
    <x:row r="430" ht="27" customHeight="1">
      <x:c r="A430" s="2"/>
      <x:c r="B430" s="2" t="str">
        <x:v>PCENDC96</x:v>
      </x:c>
      <x:c r="C430" s="2" t="str">
        <x:v>2023-06-30</x:v>
      </x:c>
      <x:c r="D430" s="2" t="str">
        <x:v>Origin</x:v>
      </x:c>
      <x:c r="E430" s="2" t="str">
        <x:v>2023-04-01</x:v>
      </x:c>
      <x:c r="F430" s="2" t="str">
        <x:v>2023-06-01</x:v>
      </x:c>
      <x:c r="G430" s="2" t="str">
        <x:v>Recent trend</x:v>
      </x:c>
      <x:c r="H430" s="7" t="n">
        <x:v>3449.2999999999993</x:v>
      </x:c>
      <x:c r="I430" s="7" t="n">
        <x:v>3336.9</x:v>
      </x:c>
      <x:c r="J430" s="2" t="str">
        <x:v>2023-07-28</x:v>
      </x:c>
      <x:c r="K430" s="7" t="n">
        <x:f>100*(H430/I430-1)</x:f>
        <x:v>3.368395816476344</x:v>
      </x:c>
      <x:c r="L430" s="7" t="n">
        <x:f>ABS(K430)</x:f>
        <x:v>3.368395816476344</x:v>
      </x:c>
      <x:c r="M430" s="2" t="str">
        <x:v>Calibration</x:v>
      </x:c>
    </x:row>
    <x:row r="431" ht="27" customHeight="1">
      <x:c r="A431" s="2"/>
      <x:c r="B431" s="2" t="str">
        <x:v>PCENDC96</x:v>
      </x:c>
      <x:c r="C431" s="2" t="str">
        <x:v>2023-06-30</x:v>
      </x:c>
      <x:c r="D431" s="2" t="str">
        <x:v>Two months</x:v>
      </x:c>
      <x:c r="E431" s="2" t="str">
        <x:v>2023-07-01</x:v>
      </x:c>
      <x:c r="F431" s="2" t="str">
        <x:v>2023-06-01</x:v>
      </x:c>
      <x:c r="G431" s="2" t="str">
        <x:v>YoY carry</x:v>
      </x:c>
      <x:c r="H431" s="7" t="n">
        <x:v>3322.6872420885525</x:v>
      </x:c>
      <x:c r="I431" s="7" t="n">
        <x:v>3336.9</x:v>
      </x:c>
      <x:c r="J431" s="2" t="str">
        <x:v>2023-07-28</x:v>
      </x:c>
      <x:c r="K431" s="7" t="n">
        <x:f>100*(H431/I431-1)</x:f>
        <x:v>-0.42592699545829227</x:v>
      </x:c>
      <x:c r="L431" s="7" t="n">
        <x:f>ABS(K431)</x:f>
        <x:v>0.42592699545829227</x:v>
      </x:c>
      <x:c r="M431" s="2" t="str">
        <x:v>Calibration</x:v>
      </x:c>
    </x:row>
    <x:row r="432" ht="27" customHeight="1">
      <x:c r="A432" s="2"/>
      <x:c r="B432" s="2" t="str">
        <x:v>PCENDC96</x:v>
      </x:c>
      <x:c r="C432" s="2" t="str">
        <x:v>2023-06-30</x:v>
      </x:c>
      <x:c r="D432" s="2" t="str">
        <x:v>Two months</x:v>
      </x:c>
      <x:c r="E432" s="2" t="str">
        <x:v>2023-07-01</x:v>
      </x:c>
      <x:c r="F432" s="2" t="str">
        <x:v>2023-06-01</x:v>
      </x:c>
      <x:c r="G432" s="2" t="str">
        <x:v>Flat level</x:v>
      </x:c>
      <x:c r="H432" s="7" t="n">
        <x:v>3325.9</x:v>
      </x:c>
      <x:c r="I432" s="7" t="n">
        <x:v>3336.9</x:v>
      </x:c>
      <x:c r="J432" s="2" t="str">
        <x:v>2023-07-28</x:v>
      </x:c>
      <x:c r="K432" s="7" t="n">
        <x:f>100*(H432/I432-1)</x:f>
        <x:v>-0.3296472774131698</x:v>
      </x:c>
      <x:c r="L432" s="7" t="n">
        <x:f>ABS(K432)</x:f>
        <x:v>0.3296472774131698</x:v>
      </x:c>
      <x:c r="M432" s="2" t="str">
        <x:v>Calibration</x:v>
      </x:c>
    </x:row>
    <x:row r="433" ht="27" customHeight="1">
      <x:c r="A433" s="2"/>
      <x:c r="B433" s="2" t="str">
        <x:v>PCENDC96</x:v>
      </x:c>
      <x:c r="C433" s="2" t="str">
        <x:v>2023-06-30</x:v>
      </x:c>
      <x:c r="D433" s="2" t="str">
        <x:v>Two months</x:v>
      </x:c>
      <x:c r="E433" s="2" t="str">
        <x:v>2023-07-01</x:v>
      </x:c>
      <x:c r="F433" s="2" t="str">
        <x:v>2023-06-01</x:v>
      </x:c>
      <x:c r="G433" s="2" t="str">
        <x:v>Recent trend</x:v>
      </x:c>
      <x:c r="H433" s="7" t="n">
        <x:v>3333.4</x:v>
      </x:c>
      <x:c r="I433" s="7" t="n">
        <x:v>3336.9</x:v>
      </x:c>
      <x:c r="J433" s="2" t="str">
        <x:v>2023-07-28</x:v>
      </x:c>
      <x:c r="K433" s="7" t="n">
        <x:f>100*(H433/I433-1)</x:f>
        <x:v>-0.10488777008600403</x:v>
      </x:c>
      <x:c r="L433" s="7" t="n">
        <x:f>ABS(K433)</x:f>
        <x:v>0.10488777008600403</x:v>
      </x:c>
      <x:c r="M433" s="2" t="str">
        <x:v>Calibration</x:v>
      </x:c>
    </x:row>
    <x:row r="434" ht="27" customHeight="1">
      <x:c r="A434" s="2"/>
      <x:c r="B434" s="2" t="str">
        <x:v>PCENDC96</x:v>
      </x:c>
      <x:c r="C434" s="2" t="str">
        <x:v>2023-06-30</x:v>
      </x:c>
      <x:c r="D434" s="2" t="str">
        <x:v>Pre-earnings</x:v>
      </x:c>
      <x:c r="E434" s="2" t="str">
        <x:v>2023-07-27</x:v>
      </x:c>
      <x:c r="F434" s="2" t="str">
        <x:v>2023-06-01</x:v>
      </x:c>
      <x:c r="G434" s="2" t="str">
        <x:v>YoY carry</x:v>
      </x:c>
      <x:c r="H434" s="7" t="n">
        <x:v>3322.6872420885525</x:v>
      </x:c>
      <x:c r="I434" s="7" t="n">
        <x:v>3336.9</x:v>
      </x:c>
      <x:c r="J434" s="2" t="str">
        <x:v>2023-07-28</x:v>
      </x:c>
      <x:c r="K434" s="7" t="n">
        <x:f>100*(H434/I434-1)</x:f>
        <x:v>-0.42592699545829227</x:v>
      </x:c>
      <x:c r="L434" s="7" t="n">
        <x:f>ABS(K434)</x:f>
        <x:v>0.42592699545829227</x:v>
      </x:c>
      <x:c r="M434" s="2" t="str">
        <x:v>Calibration</x:v>
      </x:c>
    </x:row>
    <x:row r="435" ht="27" customHeight="1">
      <x:c r="A435" s="2"/>
      <x:c r="B435" s="2" t="str">
        <x:v>PCENDC96</x:v>
      </x:c>
      <x:c r="C435" s="2" t="str">
        <x:v>2023-06-30</x:v>
      </x:c>
      <x:c r="D435" s="2" t="str">
        <x:v>Pre-earnings</x:v>
      </x:c>
      <x:c r="E435" s="2" t="str">
        <x:v>2023-07-27</x:v>
      </x:c>
      <x:c r="F435" s="2" t="str">
        <x:v>2023-06-01</x:v>
      </x:c>
      <x:c r="G435" s="2" t="str">
        <x:v>Flat level</x:v>
      </x:c>
      <x:c r="H435" s="7" t="n">
        <x:v>3325.9</x:v>
      </x:c>
      <x:c r="I435" s="7" t="n">
        <x:v>3336.9</x:v>
      </x:c>
      <x:c r="J435" s="2" t="str">
        <x:v>2023-07-28</x:v>
      </x:c>
      <x:c r="K435" s="7" t="n">
        <x:f>100*(H435/I435-1)</x:f>
        <x:v>-0.3296472774131698</x:v>
      </x:c>
      <x:c r="L435" s="7" t="n">
        <x:f>ABS(K435)</x:f>
        <x:v>0.3296472774131698</x:v>
      </x:c>
      <x:c r="M435" s="2" t="str">
        <x:v>Calibration</x:v>
      </x:c>
    </x:row>
    <x:row r="436" ht="27" customHeight="1">
      <x:c r="A436" s="2"/>
      <x:c r="B436" s="2" t="str">
        <x:v>PCENDC96</x:v>
      </x:c>
      <x:c r="C436" s="2" t="str">
        <x:v>2023-06-30</x:v>
      </x:c>
      <x:c r="D436" s="2" t="str">
        <x:v>Pre-earnings</x:v>
      </x:c>
      <x:c r="E436" s="2" t="str">
        <x:v>2023-07-27</x:v>
      </x:c>
      <x:c r="F436" s="2" t="str">
        <x:v>2023-06-01</x:v>
      </x:c>
      <x:c r="G436" s="2" t="str">
        <x:v>Recent trend</x:v>
      </x:c>
      <x:c r="H436" s="7" t="n">
        <x:v>3333.4</x:v>
      </x:c>
      <x:c r="I436" s="7" t="n">
        <x:v>3336.9</x:v>
      </x:c>
      <x:c r="J436" s="2" t="str">
        <x:v>2023-07-28</x:v>
      </x:c>
      <x:c r="K436" s="7" t="n">
        <x:f>100*(H436/I436-1)</x:f>
        <x:v>-0.10488777008600403</x:v>
      </x:c>
      <x:c r="L436" s="7" t="n">
        <x:f>ABS(K436)</x:f>
        <x:v>0.10488777008600403</x:v>
      </x:c>
      <x:c r="M436" s="2" t="str">
        <x:v>Calibration</x:v>
      </x:c>
    </x:row>
    <x:row r="437" ht="27" customHeight="1">
      <x:c r="A437" s="2"/>
      <x:c r="B437" s="2" t="str">
        <x:v>PCENDC96</x:v>
      </x:c>
      <x:c r="C437" s="2" t="str">
        <x:v>2023-09-30</x:v>
      </x:c>
      <x:c r="D437" s="2" t="str">
        <x:v>Origin</x:v>
      </x:c>
      <x:c r="E437" s="2" t="str">
        <x:v>2023-07-01</x:v>
      </x:c>
      <x:c r="F437" s="2" t="str">
        <x:v>2023-07-01</x:v>
      </x:c>
      <x:c r="G437" s="2" t="str">
        <x:v>YoY carry</x:v>
      </x:c>
      <x:c r="H437" s="7" t="n">
        <x:v>3301.050859576987</x:v>
      </x:c>
      <x:c r="I437" s="7" t="n">
        <x:v>3358.8</x:v>
      </x:c>
      <x:c r="J437" s="2" t="str">
        <x:v>2023-10-01</x:v>
      </x:c>
      <x:c r="K437" s="7" t="n">
        <x:f>100*(H437/I437-1)</x:f>
        <x:v>-1.7193384668040101</x:v>
      </x:c>
      <x:c r="L437" s="7" t="n">
        <x:f>ABS(K437)</x:f>
        <x:v>1.7193384668040101</x:v>
      </x:c>
      <x:c r="M437" s="2" t="str">
        <x:v>Calibration</x:v>
      </x:c>
    </x:row>
    <x:row r="438" ht="27" customHeight="1">
      <x:c r="A438" s="2"/>
      <x:c r="B438" s="2" t="str">
        <x:v>PCENDC96</x:v>
      </x:c>
      <x:c r="C438" s="2" t="str">
        <x:v>2023-09-30</x:v>
      </x:c>
      <x:c r="D438" s="2" t="str">
        <x:v>Origin</x:v>
      </x:c>
      <x:c r="E438" s="2" t="str">
        <x:v>2023-07-01</x:v>
      </x:c>
      <x:c r="F438" s="2" t="str">
        <x:v>2023-08-01</x:v>
      </x:c>
      <x:c r="G438" s="2" t="str">
        <x:v>YoY carry</x:v>
      </x:c>
      <x:c r="H438" s="7" t="n">
        <x:v>3315.074440834483</x:v>
      </x:c>
      <x:c r="I438" s="7" t="n">
        <x:v>3354.8</x:v>
      </x:c>
      <x:c r="J438" s="2" t="str">
        <x:v>2023-10-01</x:v>
      </x:c>
      <x:c r="K438" s="7" t="n">
        <x:f>100*(H438/I438-1)</x:f>
        <x:v>-1.1841409075210807</x:v>
      </x:c>
      <x:c r="L438" s="7" t="n">
        <x:f>ABS(K438)</x:f>
        <x:v>1.1841409075210807</x:v>
      </x:c>
      <x:c r="M438" s="2" t="str">
        <x:v>Calibration</x:v>
      </x:c>
    </x:row>
    <x:row r="439" ht="27" customHeight="1">
      <x:c r="A439" s="2"/>
      <x:c r="B439" s="2" t="str">
        <x:v>PCENDC96</x:v>
      </x:c>
      <x:c r="C439" s="2" t="str">
        <x:v>2023-09-30</x:v>
      </x:c>
      <x:c r="D439" s="2" t="str">
        <x:v>Origin</x:v>
      </x:c>
      <x:c r="E439" s="2" t="str">
        <x:v>2023-07-01</x:v>
      </x:c>
      <x:c r="F439" s="2" t="str">
        <x:v>2023-09-01</x:v>
      </x:c>
      <x:c r="G439" s="2" t="str">
        <x:v>YoY carry</x:v>
      </x:c>
      <x:c r="H439" s="7" t="n">
        <x:v>3338.8143605346727</x:v>
      </x:c>
      <x:c r="I439" s="7" t="n">
        <x:v>3376.1</x:v>
      </x:c>
      <x:c r="J439" s="2" t="str">
        <x:v>2023-12-22</x:v>
      </x:c>
      <x:c r="K439" s="7" t="n">
        <x:f>100*(H439/I439-1)</x:f>
        <x:v>-1.1043997353552104</x:v>
      </x:c>
      <x:c r="L439" s="7" t="n">
        <x:f>ABS(K439)</x:f>
        <x:v>1.1043997353552104</x:v>
      </x:c>
      <x:c r="M439" s="2" t="str">
        <x:v>Calibration</x:v>
      </x:c>
    </x:row>
    <x:row r="440" ht="27" customHeight="1">
      <x:c r="A440" s="2"/>
      <x:c r="B440" s="2" t="str">
        <x:v>PCENDC96</x:v>
      </x:c>
      <x:c r="C440" s="2" t="str">
        <x:v>2023-09-30</x:v>
      </x:c>
      <x:c r="D440" s="2" t="str">
        <x:v>Origin</x:v>
      </x:c>
      <x:c r="E440" s="2" t="str">
        <x:v>2023-07-01</x:v>
      </x:c>
      <x:c r="F440" s="2" t="str">
        <x:v>2023-07-01</x:v>
      </x:c>
      <x:c r="G440" s="2" t="str">
        <x:v>Flat level</x:v>
      </x:c>
      <x:c r="H440" s="7" t="n">
        <x:v>3325.9</x:v>
      </x:c>
      <x:c r="I440" s="7" t="n">
        <x:v>3358.8</x:v>
      </x:c>
      <x:c r="J440" s="2" t="str">
        <x:v>2023-10-01</x:v>
      </x:c>
      <x:c r="K440" s="7" t="n">
        <x:f>100*(H440/I440-1)</x:f>
        <x:v>-0.9795164939859546</x:v>
      </x:c>
      <x:c r="L440" s="7" t="n">
        <x:f>ABS(K440)</x:f>
        <x:v>0.9795164939859546</x:v>
      </x:c>
      <x:c r="M440" s="2" t="str">
        <x:v>Calibration</x:v>
      </x:c>
    </x:row>
    <x:row r="441" ht="27" customHeight="1">
      <x:c r="A441" s="2"/>
      <x:c r="B441" s="2" t="str">
        <x:v>PCENDC96</x:v>
      </x:c>
      <x:c r="C441" s="2" t="str">
        <x:v>2023-09-30</x:v>
      </x:c>
      <x:c r="D441" s="2" t="str">
        <x:v>Origin</x:v>
      </x:c>
      <x:c r="E441" s="2" t="str">
        <x:v>2023-07-01</x:v>
      </x:c>
      <x:c r="F441" s="2" t="str">
        <x:v>2023-08-01</x:v>
      </x:c>
      <x:c r="G441" s="2" t="str">
        <x:v>Flat level</x:v>
      </x:c>
      <x:c r="H441" s="7" t="n">
        <x:v>3325.9</x:v>
      </x:c>
      <x:c r="I441" s="7" t="n">
        <x:v>3354.8</x:v>
      </x:c>
      <x:c r="J441" s="2" t="str">
        <x:v>2023-10-01</x:v>
      </x:c>
      <x:c r="K441" s="7" t="n">
        <x:f>100*(H441/I441-1)</x:f>
        <x:v>-0.8614522475259401</x:v>
      </x:c>
      <x:c r="L441" s="7" t="n">
        <x:f>ABS(K441)</x:f>
        <x:v>0.8614522475259401</x:v>
      </x:c>
      <x:c r="M441" s="2" t="str">
        <x:v>Calibration</x:v>
      </x:c>
    </x:row>
    <x:row r="442" ht="27" customHeight="1">
      <x:c r="A442" s="2"/>
      <x:c r="B442" s="2" t="str">
        <x:v>PCENDC96</x:v>
      </x:c>
      <x:c r="C442" s="2" t="str">
        <x:v>2023-09-30</x:v>
      </x:c>
      <x:c r="D442" s="2" t="str">
        <x:v>Origin</x:v>
      </x:c>
      <x:c r="E442" s="2" t="str">
        <x:v>2023-07-01</x:v>
      </x:c>
      <x:c r="F442" s="2" t="str">
        <x:v>2023-09-01</x:v>
      </x:c>
      <x:c r="G442" s="2" t="str">
        <x:v>Flat level</x:v>
      </x:c>
      <x:c r="H442" s="7" t="n">
        <x:v>3325.9</x:v>
      </x:c>
      <x:c r="I442" s="7" t="n">
        <x:v>3376.1</x:v>
      </x:c>
      <x:c r="J442" s="2" t="str">
        <x:v>2023-12-22</x:v>
      </x:c>
      <x:c r="K442" s="7" t="n">
        <x:f>100*(H442/I442-1)</x:f>
        <x:v>-1.4869227807233099</x:v>
      </x:c>
      <x:c r="L442" s="7" t="n">
        <x:f>ABS(K442)</x:f>
        <x:v>1.4869227807233099</x:v>
      </x:c>
      <x:c r="M442" s="2" t="str">
        <x:v>Calibration</x:v>
      </x:c>
    </x:row>
    <x:row r="443" ht="27" customHeight="1">
      <x:c r="A443" s="2"/>
      <x:c r="B443" s="2" t="str">
        <x:v>PCENDC96</x:v>
      </x:c>
      <x:c r="C443" s="2" t="str">
        <x:v>2023-09-30</x:v>
      </x:c>
      <x:c r="D443" s="2" t="str">
        <x:v>Origin</x:v>
      </x:c>
      <x:c r="E443" s="2" t="str">
        <x:v>2023-07-01</x:v>
      </x:c>
      <x:c r="F443" s="2" t="str">
        <x:v>2023-07-01</x:v>
      </x:c>
      <x:c r="G443" s="2" t="str">
        <x:v>Recent trend</x:v>
      </x:c>
      <x:c r="H443" s="7" t="n">
        <x:v>3340.9</x:v>
      </x:c>
      <x:c r="I443" s="7" t="n">
        <x:v>3358.8</x:v>
      </x:c>
      <x:c r="J443" s="2" t="str">
        <x:v>2023-10-01</x:v>
      </x:c>
      <x:c r="K443" s="7" t="n">
        <x:f>100*(H443/I443-1)</x:f>
        <x:v>-0.5329284268191015</x:v>
      </x:c>
      <x:c r="L443" s="7" t="n">
        <x:f>ABS(K443)</x:f>
        <x:v>0.5329284268191015</x:v>
      </x:c>
      <x:c r="M443" s="2" t="str">
        <x:v>Calibration</x:v>
      </x:c>
    </x:row>
    <x:row r="444" ht="27" customHeight="1">
      <x:c r="A444" s="2"/>
      <x:c r="B444" s="2" t="str">
        <x:v>PCENDC96</x:v>
      </x:c>
      <x:c r="C444" s="2" t="str">
        <x:v>2023-09-30</x:v>
      </x:c>
      <x:c r="D444" s="2" t="str">
        <x:v>Origin</x:v>
      </x:c>
      <x:c r="E444" s="2" t="str">
        <x:v>2023-07-01</x:v>
      </x:c>
      <x:c r="F444" s="2" t="str">
        <x:v>2023-08-01</x:v>
      </x:c>
      <x:c r="G444" s="2" t="str">
        <x:v>Recent trend</x:v>
      </x:c>
      <x:c r="H444" s="7" t="n">
        <x:v>3348.4</x:v>
      </x:c>
      <x:c r="I444" s="7" t="n">
        <x:v>3354.8</x:v>
      </x:c>
      <x:c r="J444" s="2" t="str">
        <x:v>2023-10-01</x:v>
      </x:c>
      <x:c r="K444" s="7" t="n">
        <x:f>100*(H444/I444-1)</x:f>
        <x:v>-0.19077143197806512</x:v>
      </x:c>
      <x:c r="L444" s="7" t="n">
        <x:f>ABS(K444)</x:f>
        <x:v>0.19077143197806512</x:v>
      </x:c>
      <x:c r="M444" s="2" t="str">
        <x:v>Calibration</x:v>
      </x:c>
    </x:row>
    <x:row r="445" ht="27" customHeight="1">
      <x:c r="A445" s="2"/>
      <x:c r="B445" s="2" t="str">
        <x:v>PCENDC96</x:v>
      </x:c>
      <x:c r="C445" s="2" t="str">
        <x:v>2023-09-30</x:v>
      </x:c>
      <x:c r="D445" s="2" t="str">
        <x:v>Origin</x:v>
      </x:c>
      <x:c r="E445" s="2" t="str">
        <x:v>2023-07-01</x:v>
      </x:c>
      <x:c r="F445" s="2" t="str">
        <x:v>2023-09-01</x:v>
      </x:c>
      <x:c r="G445" s="2" t="str">
        <x:v>Recent trend</x:v>
      </x:c>
      <x:c r="H445" s="7" t="n">
        <x:v>3355.9</x:v>
      </x:c>
      <x:c r="I445" s="7" t="n">
        <x:v>3376.1</x:v>
      </x:c>
      <x:c r="J445" s="2" t="str">
        <x:v>2023-12-22</x:v>
      </x:c>
      <x:c r="K445" s="7" t="n">
        <x:f>100*(H445/I445-1)</x:f>
        <x:v>-0.5983235093747208</x:v>
      </x:c>
      <x:c r="L445" s="7" t="n">
        <x:f>ABS(K445)</x:f>
        <x:v>0.5983235093747208</x:v>
      </x:c>
      <x:c r="M445" s="2" t="str">
        <x:v>Calibration</x:v>
      </x:c>
    </x:row>
    <x:row r="446" ht="27" customHeight="1">
      <x:c r="A446" s="2"/>
      <x:c r="B446" s="2" t="str">
        <x:v>PCENDC96</x:v>
      </x:c>
      <x:c r="C446" s="2" t="str">
        <x:v>2023-09-30</x:v>
      </x:c>
      <x:c r="D446" s="2" t="str">
        <x:v>Two months</x:v>
      </x:c>
      <x:c r="E446" s="2" t="str">
        <x:v>2023-10-01</x:v>
      </x:c>
      <x:c r="F446" s="2" t="str">
        <x:v>2023-09-01</x:v>
      </x:c>
      <x:c r="G446" s="2" t="str">
        <x:v>YoY carry</x:v>
      </x:c>
      <x:c r="H446" s="7" t="n">
        <x:v>3376.1854942900286</x:v>
      </x:c>
      <x:c r="I446" s="7" t="n">
        <x:v>3376.1</x:v>
      </x:c>
      <x:c r="J446" s="2" t="str">
        <x:v>2023-12-22</x:v>
      </x:c>
      <x:c r="K446" s="7" t="n">
        <x:f>100*(H446/I446-1)</x:f>
        <x:v>0.0025323387941256215</x:v>
      </x:c>
      <x:c r="L446" s="7" t="n">
        <x:f>ABS(K446)</x:f>
        <x:v>0.0025323387941256215</x:v>
      </x:c>
      <x:c r="M446" s="2" t="str">
        <x:v>Calibration</x:v>
      </x:c>
    </x:row>
    <x:row r="447" ht="27" customHeight="1">
      <x:c r="A447" s="2"/>
      <x:c r="B447" s="2" t="str">
        <x:v>PCENDC96</x:v>
      </x:c>
      <x:c r="C447" s="2" t="str">
        <x:v>2023-09-30</x:v>
      </x:c>
      <x:c r="D447" s="2" t="str">
        <x:v>Two months</x:v>
      </x:c>
      <x:c r="E447" s="2" t="str">
        <x:v>2023-10-01</x:v>
      </x:c>
      <x:c r="F447" s="2" t="str">
        <x:v>2023-09-01</x:v>
      </x:c>
      <x:c r="G447" s="2" t="str">
        <x:v>Flat level</x:v>
      </x:c>
      <x:c r="H447" s="7" t="n">
        <x:v>3354.8</x:v>
      </x:c>
      <x:c r="I447" s="7" t="n">
        <x:v>3376.1</x:v>
      </x:c>
      <x:c r="J447" s="2" t="str">
        <x:v>2023-12-22</x:v>
      </x:c>
      <x:c r="K447" s="7" t="n">
        <x:f>100*(H447/I447-1)</x:f>
        <x:v>-0.6309054826574956</x:v>
      </x:c>
      <x:c r="L447" s="7" t="n">
        <x:f>ABS(K447)</x:f>
        <x:v>0.6309054826574956</x:v>
      </x:c>
      <x:c r="M447" s="2" t="str">
        <x:v>Calibration</x:v>
      </x:c>
    </x:row>
    <x:row r="448" ht="27" customHeight="1">
      <x:c r="A448" s="2"/>
      <x:c r="B448" s="2" t="str">
        <x:v>PCENDC96</x:v>
      </x:c>
      <x:c r="C448" s="2" t="str">
        <x:v>2023-09-30</x:v>
      </x:c>
      <x:c r="D448" s="2" t="str">
        <x:v>Two months</x:v>
      </x:c>
      <x:c r="E448" s="2" t="str">
        <x:v>2023-10-01</x:v>
      </x:c>
      <x:c r="F448" s="2" t="str">
        <x:v>2023-09-01</x:v>
      </x:c>
      <x:c r="G448" s="2" t="str">
        <x:v>Recent trend</x:v>
      </x:c>
      <x:c r="H448" s="7" t="n">
        <x:v>3361.4000000000005</x:v>
      </x:c>
      <x:c r="I448" s="7" t="n">
        <x:v>3376.1</x:v>
      </x:c>
      <x:c r="J448" s="2" t="str">
        <x:v>2023-12-22</x:v>
      </x:c>
      <x:c r="K448" s="7" t="n">
        <x:f>100*(H448/I448-1)</x:f>
        <x:v>-0.4354136429607913</x:v>
      </x:c>
      <x:c r="L448" s="7" t="n">
        <x:f>ABS(K448)</x:f>
        <x:v>0.4354136429607913</x:v>
      </x:c>
      <x:c r="M448" s="2" t="str">
        <x:v>Calibration</x:v>
      </x:c>
    </x:row>
    <x:row r="449" ht="27" customHeight="1">
      <x:c r="A449" s="2"/>
      <x:c r="B449" s="2" t="str">
        <x:v>PCENDC96</x:v>
      </x:c>
      <x:c r="C449" s="2" t="str">
        <x:v>2023-09-30</x:v>
      </x:c>
      <x:c r="D449" s="2" t="str">
        <x:v>Pre-earnings</x:v>
      </x:c>
      <x:c r="E449" s="2" t="str">
        <x:v>2023-10-17</x:v>
      </x:c>
      <x:c r="F449" s="2" t="str">
        <x:v>2023-09-01</x:v>
      </x:c>
      <x:c r="G449" s="2" t="str">
        <x:v>YoY carry</x:v>
      </x:c>
      <x:c r="H449" s="7" t="n">
        <x:v>3376.1854942900286</x:v>
      </x:c>
      <x:c r="I449" s="7" t="n">
        <x:v>3376.1</x:v>
      </x:c>
      <x:c r="J449" s="2" t="str">
        <x:v>2023-12-22</x:v>
      </x:c>
      <x:c r="K449" s="7" t="n">
        <x:f>100*(H449/I449-1)</x:f>
        <x:v>0.0025323387941256215</x:v>
      </x:c>
      <x:c r="L449" s="7" t="n">
        <x:f>ABS(K449)</x:f>
        <x:v>0.0025323387941256215</x:v>
      </x:c>
      <x:c r="M449" s="2" t="str">
        <x:v>Calibration</x:v>
      </x:c>
    </x:row>
    <x:row r="450" ht="27" customHeight="1">
      <x:c r="A450" s="2"/>
      <x:c r="B450" s="2" t="str">
        <x:v>PCENDC96</x:v>
      </x:c>
      <x:c r="C450" s="2" t="str">
        <x:v>2023-09-30</x:v>
      </x:c>
      <x:c r="D450" s="2" t="str">
        <x:v>Pre-earnings</x:v>
      </x:c>
      <x:c r="E450" s="2" t="str">
        <x:v>2023-10-17</x:v>
      </x:c>
      <x:c r="F450" s="2" t="str">
        <x:v>2023-09-01</x:v>
      </x:c>
      <x:c r="G450" s="2" t="str">
        <x:v>Flat level</x:v>
      </x:c>
      <x:c r="H450" s="7" t="n">
        <x:v>3354.8</x:v>
      </x:c>
      <x:c r="I450" s="7" t="n">
        <x:v>3376.1</x:v>
      </x:c>
      <x:c r="J450" s="2" t="str">
        <x:v>2023-12-22</x:v>
      </x:c>
      <x:c r="K450" s="7" t="n">
        <x:f>100*(H450/I450-1)</x:f>
        <x:v>-0.6309054826574956</x:v>
      </x:c>
      <x:c r="L450" s="7" t="n">
        <x:f>ABS(K450)</x:f>
        <x:v>0.6309054826574956</x:v>
      </x:c>
      <x:c r="M450" s="2" t="str">
        <x:v>Calibration</x:v>
      </x:c>
    </x:row>
    <x:row r="451" ht="27" customHeight="1">
      <x:c r="A451" s="2"/>
      <x:c r="B451" s="2" t="str">
        <x:v>PCENDC96</x:v>
      </x:c>
      <x:c r="C451" s="2" t="str">
        <x:v>2023-09-30</x:v>
      </x:c>
      <x:c r="D451" s="2" t="str">
        <x:v>Pre-earnings</x:v>
      </x:c>
      <x:c r="E451" s="2" t="str">
        <x:v>2023-10-17</x:v>
      </x:c>
      <x:c r="F451" s="2" t="str">
        <x:v>2023-09-01</x:v>
      </x:c>
      <x:c r="G451" s="2" t="str">
        <x:v>Recent trend</x:v>
      </x:c>
      <x:c r="H451" s="7" t="n">
        <x:v>3361.4000000000005</x:v>
      </x:c>
      <x:c r="I451" s="7" t="n">
        <x:v>3376.1</x:v>
      </x:c>
      <x:c r="J451" s="2" t="str">
        <x:v>2023-12-22</x:v>
      </x:c>
      <x:c r="K451" s="7" t="n">
        <x:f>100*(H451/I451-1)</x:f>
        <x:v>-0.4354136429607913</x:v>
      </x:c>
      <x:c r="L451" s="7" t="n">
        <x:f>ABS(K451)</x:f>
        <x:v>0.4354136429607913</x:v>
      </x:c>
      <x:c r="M451" s="2" t="str">
        <x:v>Calibration</x:v>
      </x:c>
    </x:row>
    <x:row r="452" ht="27" customHeight="1">
      <x:c r="A452" s="2"/>
      <x:c r="B452" s="2" t="str">
        <x:v>PCENDC96</x:v>
      </x:c>
      <x:c r="C452" s="2" t="str">
        <x:v>2023-12-31</x:v>
      </x:c>
      <x:c r="D452" s="2" t="str">
        <x:v>Origin</x:v>
      </x:c>
      <x:c r="E452" s="2" t="str">
        <x:v>2023-10-01</x:v>
      </x:c>
      <x:c r="F452" s="2" t="str">
        <x:v>2023-10-01</x:v>
      </x:c>
      <x:c r="G452" s="2" t="str">
        <x:v>YoY carry</x:v>
      </x:c>
      <x:c r="H452" s="7" t="n">
        <x:v>3372.24288764041</x:v>
      </x:c>
      <x:c r="I452" s="7" t="n">
        <x:v>3373.6</x:v>
      </x:c>
      <x:c r="J452" s="2" t="str">
        <x:v>2023-12-22</x:v>
      </x:c>
      <x:c r="K452" s="7" t="n">
        <x:f>100*(H452/I452-1)</x:f>
        <x:v>-0.040227423511673965</x:v>
      </x:c>
      <x:c r="L452" s="7" t="n">
        <x:f>ABS(K452)</x:f>
        <x:v>0.040227423511673965</x:v>
      </x:c>
      <x:c r="M452" s="2" t="str">
        <x:v>Calibration</x:v>
      </x:c>
    </x:row>
    <x:row r="453" ht="27" customHeight="1">
      <x:c r="A453" s="2"/>
      <x:c r="B453" s="2" t="str">
        <x:v>PCENDC96</x:v>
      </x:c>
      <x:c r="C453" s="2" t="str">
        <x:v>2023-12-31</x:v>
      </x:c>
      <x:c r="D453" s="2" t="str">
        <x:v>Origin</x:v>
      </x:c>
      <x:c r="E453" s="2" t="str">
        <x:v>2023-10-01</x:v>
      </x:c>
      <x:c r="F453" s="2" t="str">
        <x:v>2023-11-01</x:v>
      </x:c>
      <x:c r="G453" s="2" t="str">
        <x:v>YoY carry</x:v>
      </x:c>
      <x:c r="H453" s="7" t="n">
        <x:v>3356.0680911291547</x:v>
      </x:c>
      <x:c r="I453" s="7" t="n">
        <x:v>3384.6</x:v>
      </x:c>
      <x:c r="J453" s="2" t="str">
        <x:v>2023-12-22</x:v>
      </x:c>
      <x:c r="K453" s="7" t="n">
        <x:f>100*(H453/I453-1)</x:f>
        <x:v>-0.8429920484206432</x:v>
      </x:c>
      <x:c r="L453" s="7" t="n">
        <x:f>ABS(K453)</x:f>
        <x:v>0.8429920484206432</x:v>
      </x:c>
      <x:c r="M453" s="2" t="str">
        <x:v>Calibration</x:v>
      </x:c>
    </x:row>
    <x:row r="454" ht="27" customHeight="1">
      <x:c r="A454" s="2"/>
      <x:c r="B454" s="2" t="str">
        <x:v>PCENDC96</x:v>
      </x:c>
      <x:c r="C454" s="2" t="str">
        <x:v>2023-12-31</x:v>
      </x:c>
      <x:c r="D454" s="2" t="str">
        <x:v>Origin</x:v>
      </x:c>
      <x:c r="E454" s="2" t="str">
        <x:v>2023-10-01</x:v>
      </x:c>
      <x:c r="F454" s="2" t="str">
        <x:v>2023-12-01</x:v>
      </x:c>
      <x:c r="G454" s="2" t="str">
        <x:v>YoY carry</x:v>
      </x:c>
      <x:c r="H454" s="7" t="n">
        <x:v>3351.7211145667543</x:v>
      </x:c>
      <x:c r="I454" s="7" t="n">
        <x:v>3419.4</x:v>
      </x:c>
      <x:c r="J454" s="2" t="str">
        <x:v>2024-01-26</x:v>
      </x:c>
      <x:c r="K454" s="7" t="n">
        <x:f>100*(H454/I454-1)</x:f>
        <x:v>-1.9792620177003561</x:v>
      </x:c>
      <x:c r="L454" s="7" t="n">
        <x:f>ABS(K454)</x:f>
        <x:v>1.9792620177003561</x:v>
      </x:c>
      <x:c r="M454" s="2" t="str">
        <x:v>Calibration</x:v>
      </x:c>
    </x:row>
    <x:row r="455" ht="27" customHeight="1">
      <x:c r="A455" s="2"/>
      <x:c r="B455" s="2" t="str">
        <x:v>PCENDC96</x:v>
      </x:c>
      <x:c r="C455" s="2" t="str">
        <x:v>2023-12-31</x:v>
      </x:c>
      <x:c r="D455" s="2" t="str">
        <x:v>Origin</x:v>
      </x:c>
      <x:c r="E455" s="2" t="str">
        <x:v>2023-10-01</x:v>
      </x:c>
      <x:c r="F455" s="2" t="str">
        <x:v>2023-10-01</x:v>
      </x:c>
      <x:c r="G455" s="2" t="str">
        <x:v>Flat level</x:v>
      </x:c>
      <x:c r="H455" s="7" t="n">
        <x:v>3354.8</x:v>
      </x:c>
      <x:c r="I455" s="7" t="n">
        <x:v>3373.6</x:v>
      </x:c>
      <x:c r="J455" s="2" t="str">
        <x:v>2023-12-22</x:v>
      </x:c>
      <x:c r="K455" s="7" t="n">
        <x:f>100*(H455/I455-1)</x:f>
        <x:v>-0.5572682001422691</x:v>
      </x:c>
      <x:c r="L455" s="7" t="n">
        <x:f>ABS(K455)</x:f>
        <x:v>0.5572682001422691</x:v>
      </x:c>
      <x:c r="M455" s="2" t="str">
        <x:v>Calibration</x:v>
      </x:c>
    </x:row>
    <x:row r="456" ht="27" customHeight="1">
      <x:c r="A456" s="2"/>
      <x:c r="B456" s="2" t="str">
        <x:v>PCENDC96</x:v>
      </x:c>
      <x:c r="C456" s="2" t="str">
        <x:v>2023-12-31</x:v>
      </x:c>
      <x:c r="D456" s="2" t="str">
        <x:v>Origin</x:v>
      </x:c>
      <x:c r="E456" s="2" t="str">
        <x:v>2023-10-01</x:v>
      </x:c>
      <x:c r="F456" s="2" t="str">
        <x:v>2023-11-01</x:v>
      </x:c>
      <x:c r="G456" s="2" t="str">
        <x:v>Flat level</x:v>
      </x:c>
      <x:c r="H456" s="7" t="n">
        <x:v>3354.8</x:v>
      </x:c>
      <x:c r="I456" s="7" t="n">
        <x:v>3384.6</x:v>
      </x:c>
      <x:c r="J456" s="2" t="str">
        <x:v>2023-12-22</x:v>
      </x:c>
      <x:c r="K456" s="7" t="n">
        <x:f>100*(H456/I456-1)</x:f>
        <x:v>-0.8804585475388427</x:v>
      </x:c>
      <x:c r="L456" s="7" t="n">
        <x:f>ABS(K456)</x:f>
        <x:v>0.8804585475388427</x:v>
      </x:c>
      <x:c r="M456" s="2" t="str">
        <x:v>Calibration</x:v>
      </x:c>
    </x:row>
    <x:row r="457" ht="27" customHeight="1">
      <x:c r="A457" s="2"/>
      <x:c r="B457" s="2" t="str">
        <x:v>PCENDC96</x:v>
      </x:c>
      <x:c r="C457" s="2" t="str">
        <x:v>2023-12-31</x:v>
      </x:c>
      <x:c r="D457" s="2" t="str">
        <x:v>Origin</x:v>
      </x:c>
      <x:c r="E457" s="2" t="str">
        <x:v>2023-10-01</x:v>
      </x:c>
      <x:c r="F457" s="2" t="str">
        <x:v>2023-12-01</x:v>
      </x:c>
      <x:c r="G457" s="2" t="str">
        <x:v>Flat level</x:v>
      </x:c>
      <x:c r="H457" s="7" t="n">
        <x:v>3354.8</x:v>
      </x:c>
      <x:c r="I457" s="7" t="n">
        <x:v>3419.4</x:v>
      </x:c>
      <x:c r="J457" s="2" t="str">
        <x:v>2024-01-26</x:v>
      </x:c>
      <x:c r="K457" s="7" t="n">
        <x:f>100*(H457/I457-1)</x:f>
        <x:v>-1.8892203310522326</x:v>
      </x:c>
      <x:c r="L457" s="7" t="n">
        <x:f>ABS(K457)</x:f>
        <x:v>1.8892203310522326</x:v>
      </x:c>
      <x:c r="M457" s="2" t="str">
        <x:v>Calibration</x:v>
      </x:c>
    </x:row>
    <x:row r="458" ht="27" customHeight="1">
      <x:c r="A458" s="2"/>
      <x:c r="B458" s="2" t="str">
        <x:v>PCENDC96</x:v>
      </x:c>
      <x:c r="C458" s="2" t="str">
        <x:v>2023-12-31</x:v>
      </x:c>
      <x:c r="D458" s="2" t="str">
        <x:v>Origin</x:v>
      </x:c>
      <x:c r="E458" s="2" t="str">
        <x:v>2023-10-01</x:v>
      </x:c>
      <x:c r="F458" s="2" t="str">
        <x:v>2023-10-01</x:v>
      </x:c>
      <x:c r="G458" s="2" t="str">
        <x:v>Recent trend</x:v>
      </x:c>
      <x:c r="H458" s="7" t="n">
        <x:v>3368.0000000000005</x:v>
      </x:c>
      <x:c r="I458" s="7" t="n">
        <x:v>3373.6</x:v>
      </x:c>
      <x:c r="J458" s="2" t="str">
        <x:v>2023-12-22</x:v>
      </x:c>
      <x:c r="K458" s="7" t="n">
        <x:f>100*(H458/I458-1)</x:f>
        <x:v>-0.16599478302108395</x:v>
      </x:c>
      <x:c r="L458" s="7" t="n">
        <x:f>ABS(K458)</x:f>
        <x:v>0.16599478302108395</x:v>
      </x:c>
      <x:c r="M458" s="2" t="str">
        <x:v>Calibration</x:v>
      </x:c>
    </x:row>
    <x:row r="459" ht="27" customHeight="1">
      <x:c r="A459" s="2"/>
      <x:c r="B459" s="2" t="str">
        <x:v>PCENDC96</x:v>
      </x:c>
      <x:c r="C459" s="2" t="str">
        <x:v>2023-12-31</x:v>
      </x:c>
      <x:c r="D459" s="2" t="str">
        <x:v>Origin</x:v>
      </x:c>
      <x:c r="E459" s="2" t="str">
        <x:v>2023-10-01</x:v>
      </x:c>
      <x:c r="F459" s="2" t="str">
        <x:v>2023-11-01</x:v>
      </x:c>
      <x:c r="G459" s="2" t="str">
        <x:v>Recent trend</x:v>
      </x:c>
      <x:c r="H459" s="7" t="n">
        <x:v>3374.6000000000004</x:v>
      </x:c>
      <x:c r="I459" s="7" t="n">
        <x:v>3384.6</x:v>
      </x:c>
      <x:c r="J459" s="2" t="str">
        <x:v>2023-12-22</x:v>
      </x:c>
      <x:c r="K459" s="7" t="n">
        <x:f>100*(H459/I459-1)</x:f>
        <x:v>-0.29545588843584714</x:v>
      </x:c>
      <x:c r="L459" s="7" t="n">
        <x:f>ABS(K459)</x:f>
        <x:v>0.29545588843584714</x:v>
      </x:c>
      <x:c r="M459" s="2" t="str">
        <x:v>Calibration</x:v>
      </x:c>
    </x:row>
    <x:row r="460" ht="27" customHeight="1">
      <x:c r="A460" s="2"/>
      <x:c r="B460" s="2" t="str">
        <x:v>PCENDC96</x:v>
      </x:c>
      <x:c r="C460" s="2" t="str">
        <x:v>2023-12-31</x:v>
      </x:c>
      <x:c r="D460" s="2" t="str">
        <x:v>Origin</x:v>
      </x:c>
      <x:c r="E460" s="2" t="str">
        <x:v>2023-10-01</x:v>
      </x:c>
      <x:c r="F460" s="2" t="str">
        <x:v>2023-12-01</x:v>
      </x:c>
      <x:c r="G460" s="2" t="str">
        <x:v>Recent trend</x:v>
      </x:c>
      <x:c r="H460" s="7" t="n">
        <x:v>3381.2000000000007</x:v>
      </x:c>
      <x:c r="I460" s="7" t="n">
        <x:v>3419.4</x:v>
      </x:c>
      <x:c r="J460" s="2" t="str">
        <x:v>2024-01-26</x:v>
      </x:c>
      <x:c r="K460" s="7" t="n">
        <x:f>100*(H460/I460-1)</x:f>
        <x:v>-1.1171550564426314</x:v>
      </x:c>
      <x:c r="L460" s="7" t="n">
        <x:f>ABS(K460)</x:f>
        <x:v>1.1171550564426314</x:v>
      </x:c>
      <x:c r="M460" s="2" t="str">
        <x:v>Calibration</x:v>
      </x:c>
    </x:row>
    <x:row r="461" ht="27" customHeight="1">
      <x:c r="A461" s="2"/>
      <x:c r="B461" s="2" t="str">
        <x:v>PCENDC96</x:v>
      </x:c>
      <x:c r="C461" s="2" t="str">
        <x:v>2023-12-31</x:v>
      </x:c>
      <x:c r="D461" s="2" t="str">
        <x:v>Two months</x:v>
      </x:c>
      <x:c r="E461" s="2" t="str">
        <x:v>2023-12-22</x:v>
      </x:c>
      <x:c r="F461" s="2" t="str">
        <x:v>2023-12-01</x:v>
      </x:c>
      <x:c r="G461" s="2" t="str">
        <x:v>YoY carry</x:v>
      </x:c>
      <x:c r="H461" s="7" t="n">
        <x:v>3361.6407584128315</x:v>
      </x:c>
      <x:c r="I461" s="7" t="n">
        <x:v>3419.4</x:v>
      </x:c>
      <x:c r="J461" s="2" t="str">
        <x:v>2024-01-26</x:v>
      </x:c>
      <x:c r="K461" s="7" t="n">
        <x:f>100*(H461/I461-1)</x:f>
        <x:v>-1.6891630574711547</x:v>
      </x:c>
      <x:c r="L461" s="7" t="n">
        <x:f>ABS(K461)</x:f>
        <x:v>1.6891630574711547</x:v>
      </x:c>
      <x:c r="M461" s="2" t="str">
        <x:v>Calibration</x:v>
      </x:c>
    </x:row>
    <x:row r="462" ht="27" customHeight="1">
      <x:c r="A462" s="2"/>
      <x:c r="B462" s="2" t="str">
        <x:v>PCENDC96</x:v>
      </x:c>
      <x:c r="C462" s="2" t="str">
        <x:v>2023-12-31</x:v>
      </x:c>
      <x:c r="D462" s="2" t="str">
        <x:v>Two months</x:v>
      </x:c>
      <x:c r="E462" s="2" t="str">
        <x:v>2023-12-22</x:v>
      </x:c>
      <x:c r="F462" s="2" t="str">
        <x:v>2023-12-01</x:v>
      </x:c>
      <x:c r="G462" s="2" t="str">
        <x:v>Flat level</x:v>
      </x:c>
      <x:c r="H462" s="7" t="n">
        <x:v>3384.6</x:v>
      </x:c>
      <x:c r="I462" s="7" t="n">
        <x:v>3419.4</x:v>
      </x:c>
      <x:c r="J462" s="2" t="str">
        <x:v>2024-01-26</x:v>
      </x:c>
      <x:c r="K462" s="7" t="n">
        <x:f>100*(H462/I462-1)</x:f>
        <x:v>-1.0177224074399027</x:v>
      </x:c>
      <x:c r="L462" s="7" t="n">
        <x:f>ABS(K462)</x:f>
        <x:v>1.0177224074399027</x:v>
      </x:c>
      <x:c r="M462" s="2" t="str">
        <x:v>Calibration</x:v>
      </x:c>
    </x:row>
    <x:row r="463" ht="27" customHeight="1">
      <x:c r="A463" s="2"/>
      <x:c r="B463" s="2" t="str">
        <x:v>PCENDC96</x:v>
      </x:c>
      <x:c r="C463" s="2" t="str">
        <x:v>2023-12-31</x:v>
      </x:c>
      <x:c r="D463" s="2" t="str">
        <x:v>Two months</x:v>
      </x:c>
      <x:c r="E463" s="2" t="str">
        <x:v>2023-12-22</x:v>
      </x:c>
      <x:c r="F463" s="2" t="str">
        <x:v>2023-12-01</x:v>
      </x:c>
      <x:c r="G463" s="2" t="str">
        <x:v>Recent trend</x:v>
      </x:c>
      <x:c r="H463" s="7" t="n">
        <x:v>3388.85</x:v>
      </x:c>
      <x:c r="I463" s="7" t="n">
        <x:v>3419.4</x:v>
      </x:c>
      <x:c r="J463" s="2" t="str">
        <x:v>2024-01-26</x:v>
      </x:c>
      <x:c r="K463" s="7" t="n">
        <x:f>100*(H463/I463-1)</x:f>
        <x:v>-0.893431596186467</x:v>
      </x:c>
      <x:c r="L463" s="7" t="n">
        <x:f>ABS(K463)</x:f>
        <x:v>0.893431596186467</x:v>
      </x:c>
      <x:c r="M463" s="2" t="str">
        <x:v>Calibration</x:v>
      </x:c>
    </x:row>
    <x:row r="464" ht="27" customHeight="1">
      <x:c r="A464" s="2"/>
      <x:c r="B464" s="2" t="str">
        <x:v>PCENDC96</x:v>
      </x:c>
      <x:c r="C464" s="2" t="str">
        <x:v>2023-12-31</x:v>
      </x:c>
      <x:c r="D464" s="2" t="str">
        <x:v>Pre-earnings</x:v>
      </x:c>
      <x:c r="E464" s="2" t="str">
        <x:v>2024-01-22</x:v>
      </x:c>
      <x:c r="F464" s="2" t="str">
        <x:v>2023-12-01</x:v>
      </x:c>
      <x:c r="G464" s="2" t="str">
        <x:v>YoY carry</x:v>
      </x:c>
      <x:c r="H464" s="7" t="n">
        <x:v>3361.6407584128315</x:v>
      </x:c>
      <x:c r="I464" s="7" t="n">
        <x:v>3419.4</x:v>
      </x:c>
      <x:c r="J464" s="2" t="str">
        <x:v>2024-01-26</x:v>
      </x:c>
      <x:c r="K464" s="7" t="n">
        <x:f>100*(H464/I464-1)</x:f>
        <x:v>-1.6891630574711547</x:v>
      </x:c>
      <x:c r="L464" s="7" t="n">
        <x:f>ABS(K464)</x:f>
        <x:v>1.6891630574711547</x:v>
      </x:c>
      <x:c r="M464" s="2" t="str">
        <x:v>Calibration</x:v>
      </x:c>
    </x:row>
    <x:row r="465" ht="27" customHeight="1">
      <x:c r="A465" s="2"/>
      <x:c r="B465" s="2" t="str">
        <x:v>PCENDC96</x:v>
      </x:c>
      <x:c r="C465" s="2" t="str">
        <x:v>2023-12-31</x:v>
      </x:c>
      <x:c r="D465" s="2" t="str">
        <x:v>Pre-earnings</x:v>
      </x:c>
      <x:c r="E465" s="2" t="str">
        <x:v>2024-01-22</x:v>
      </x:c>
      <x:c r="F465" s="2" t="str">
        <x:v>2023-12-01</x:v>
      </x:c>
      <x:c r="G465" s="2" t="str">
        <x:v>Flat level</x:v>
      </x:c>
      <x:c r="H465" s="7" t="n">
        <x:v>3384.6</x:v>
      </x:c>
      <x:c r="I465" s="7" t="n">
        <x:v>3419.4</x:v>
      </x:c>
      <x:c r="J465" s="2" t="str">
        <x:v>2024-01-26</x:v>
      </x:c>
      <x:c r="K465" s="7" t="n">
        <x:f>100*(H465/I465-1)</x:f>
        <x:v>-1.0177224074399027</x:v>
      </x:c>
      <x:c r="L465" s="7" t="n">
        <x:f>ABS(K465)</x:f>
        <x:v>1.0177224074399027</x:v>
      </x:c>
      <x:c r="M465" s="2" t="str">
        <x:v>Calibration</x:v>
      </x:c>
    </x:row>
    <x:row r="466" ht="27" customHeight="1">
      <x:c r="A466" s="2"/>
      <x:c r="B466" s="2" t="str">
        <x:v>PCENDC96</x:v>
      </x:c>
      <x:c r="C466" s="2" t="str">
        <x:v>2023-12-31</x:v>
      </x:c>
      <x:c r="D466" s="2" t="str">
        <x:v>Pre-earnings</x:v>
      </x:c>
      <x:c r="E466" s="2" t="str">
        <x:v>2024-01-22</x:v>
      </x:c>
      <x:c r="F466" s="2" t="str">
        <x:v>2023-12-01</x:v>
      </x:c>
      <x:c r="G466" s="2" t="str">
        <x:v>Recent trend</x:v>
      </x:c>
      <x:c r="H466" s="7" t="n">
        <x:v>3388.85</x:v>
      </x:c>
      <x:c r="I466" s="7" t="n">
        <x:v>3419.4</x:v>
      </x:c>
      <x:c r="J466" s="2" t="str">
        <x:v>2024-01-26</x:v>
      </x:c>
      <x:c r="K466" s="7" t="n">
        <x:f>100*(H466/I466-1)</x:f>
        <x:v>-0.893431596186467</x:v>
      </x:c>
      <x:c r="L466" s="7" t="n">
        <x:f>ABS(K466)</x:f>
        <x:v>0.893431596186467</x:v>
      </x:c>
      <x:c r="M466" s="2" t="str">
        <x:v>Calibration</x:v>
      </x:c>
    </x:row>
    <x:row r="467" ht="27" customHeight="1">
      <x:c r="A467" s="2"/>
      <x:c r="B467" s="2" t="str">
        <x:v>PCENDC96</x:v>
      </x:c>
      <x:c r="C467" s="2" t="str">
        <x:v>2024-03-31</x:v>
      </x:c>
      <x:c r="D467" s="2" t="str">
        <x:v>Origin</x:v>
      </x:c>
      <x:c r="E467" s="2" t="str">
        <x:v>2024-01-01</x:v>
      </x:c>
      <x:c r="F467" s="2" t="str">
        <x:v>2024-01-01</x:v>
      </x:c>
      <x:c r="G467" s="2" t="str">
        <x:v>YoY carry</x:v>
      </x:c>
      <x:c r="H467" s="7" t="n">
        <x:v>3375.1258502803903</x:v>
      </x:c>
      <x:c r="I467" s="7" t="n">
        <x:v>3395.3</x:v>
      </x:c>
      <x:c r="J467" s="2" t="str">
        <x:v>2024-02-29</x:v>
      </x:c>
      <x:c r="K467" s="7" t="n">
        <x:f>100*(H467/I467-1)</x:f>
        <x:v>-0.5941787093809103</x:v>
      </x:c>
      <x:c r="L467" s="7" t="n">
        <x:f>ABS(K467)</x:f>
        <x:v>0.5941787093809103</x:v>
      </x:c>
      <x:c r="M467" s="2" t="str">
        <x:v>Calibration</x:v>
      </x:c>
    </x:row>
    <x:row r="468" ht="27" customHeight="1">
      <x:c r="A468" s="2"/>
      <x:c r="B468" s="2" t="str">
        <x:v>PCENDC96</x:v>
      </x:c>
      <x:c r="C468" s="2" t="str">
        <x:v>2024-03-31</x:v>
      </x:c>
      <x:c r="D468" s="2" t="str">
        <x:v>Origin</x:v>
      </x:c>
      <x:c r="E468" s="2" t="str">
        <x:v>2024-01-01</x:v>
      </x:c>
      <x:c r="F468" s="2" t="str">
        <x:v>2024-02-01</x:v>
      </x:c>
      <x:c r="G468" s="2" t="str">
        <x:v>YoY carry</x:v>
      </x:c>
      <x:c r="H468" s="7" t="n">
        <x:v>3385.062233761749</x:v>
      </x:c>
      <x:c r="I468" s="7" t="n">
        <x:v>3364.9</x:v>
      </x:c>
      <x:c r="J468" s="2" t="str">
        <x:v>2024-03-29</x:v>
      </x:c>
      <x:c r="K468" s="7" t="n">
        <x:f>100*(H468/I468-1)</x:f>
        <x:v>0.5991926583776452</x:v>
      </x:c>
      <x:c r="L468" s="7" t="n">
        <x:f>ABS(K468)</x:f>
        <x:v>0.5991926583776452</x:v>
      </x:c>
      <x:c r="M468" s="2" t="str">
        <x:v>Calibration</x:v>
      </x:c>
    </x:row>
    <x:row r="469" ht="27" customHeight="1">
      <x:c r="A469" s="2"/>
      <x:c r="B469" s="2" t="str">
        <x:v>PCENDC96</x:v>
      </x:c>
      <x:c r="C469" s="2" t="str">
        <x:v>2024-03-31</x:v>
      </x:c>
      <x:c r="D469" s="2" t="str">
        <x:v>Origin</x:v>
      </x:c>
      <x:c r="E469" s="2" t="str">
        <x:v>2024-01-01</x:v>
      </x:c>
      <x:c r="F469" s="2" t="str">
        <x:v>2024-03-01</x:v>
      </x:c>
      <x:c r="G469" s="2" t="str">
        <x:v>YoY carry</x:v>
      </x:c>
      <x:c r="H469" s="7" t="n">
        <x:v>3362.1477167537173</x:v>
      </x:c>
      <x:c r="I469" s="7" t="n">
        <x:v>3416.3</x:v>
      </x:c>
      <x:c r="J469" s="2" t="str">
        <x:v>2024-04-26</x:v>
      </x:c>
      <x:c r="K469" s="7" t="n">
        <x:f>100*(H469/I469-1)</x:f>
        <x:v>-1.5851149854018365</x:v>
      </x:c>
      <x:c r="L469" s="7" t="n">
        <x:f>ABS(K469)</x:f>
        <x:v>1.5851149854018365</x:v>
      </x:c>
      <x:c r="M469" s="2" t="str">
        <x:v>Calibration</x:v>
      </x:c>
    </x:row>
    <x:row r="470" ht="27" customHeight="1">
      <x:c r="A470" s="2"/>
      <x:c r="B470" s="2" t="str">
        <x:v>PCENDC96</x:v>
      </x:c>
      <x:c r="C470" s="2" t="str">
        <x:v>2024-03-31</x:v>
      </x:c>
      <x:c r="D470" s="2" t="str">
        <x:v>Origin</x:v>
      </x:c>
      <x:c r="E470" s="2" t="str">
        <x:v>2024-01-01</x:v>
      </x:c>
      <x:c r="F470" s="2" t="str">
        <x:v>2024-01-01</x:v>
      </x:c>
      <x:c r="G470" s="2" t="str">
        <x:v>Flat level</x:v>
      </x:c>
      <x:c r="H470" s="7" t="n">
        <x:v>3384.6</x:v>
      </x:c>
      <x:c r="I470" s="7" t="n">
        <x:v>3395.3</x:v>
      </x:c>
      <x:c r="J470" s="2" t="str">
        <x:v>2024-02-29</x:v>
      </x:c>
      <x:c r="K470" s="7" t="n">
        <x:f>100*(H470/I470-1)</x:f>
        <x:v>-0.3151415191588458</x:v>
      </x:c>
      <x:c r="L470" s="7" t="n">
        <x:f>ABS(K470)</x:f>
        <x:v>0.3151415191588458</x:v>
      </x:c>
      <x:c r="M470" s="2" t="str">
        <x:v>Calibration</x:v>
      </x:c>
    </x:row>
    <x:row r="471" ht="27" customHeight="1">
      <x:c r="A471" s="2"/>
      <x:c r="B471" s="2" t="str">
        <x:v>PCENDC96</x:v>
      </x:c>
      <x:c r="C471" s="2" t="str">
        <x:v>2024-03-31</x:v>
      </x:c>
      <x:c r="D471" s="2" t="str">
        <x:v>Origin</x:v>
      </x:c>
      <x:c r="E471" s="2" t="str">
        <x:v>2024-01-01</x:v>
      </x:c>
      <x:c r="F471" s="2" t="str">
        <x:v>2024-02-01</x:v>
      </x:c>
      <x:c r="G471" s="2" t="str">
        <x:v>Flat level</x:v>
      </x:c>
      <x:c r="H471" s="7" t="n">
        <x:v>3384.6</x:v>
      </x:c>
      <x:c r="I471" s="7" t="n">
        <x:v>3364.9</x:v>
      </x:c>
      <x:c r="J471" s="2" t="str">
        <x:v>2024-03-29</x:v>
      </x:c>
      <x:c r="K471" s="7" t="n">
        <x:f>100*(H471/I471-1)</x:f>
        <x:v>0.5854557341971489</x:v>
      </x:c>
      <x:c r="L471" s="7" t="n">
        <x:f>ABS(K471)</x:f>
        <x:v>0.5854557341971489</x:v>
      </x:c>
      <x:c r="M471" s="2" t="str">
        <x:v>Calibration</x:v>
      </x:c>
    </x:row>
    <x:row r="472" ht="27" customHeight="1">
      <x:c r="A472" s="2"/>
      <x:c r="B472" s="2" t="str">
        <x:v>PCENDC96</x:v>
      </x:c>
      <x:c r="C472" s="2" t="str">
        <x:v>2024-03-31</x:v>
      </x:c>
      <x:c r="D472" s="2" t="str">
        <x:v>Origin</x:v>
      </x:c>
      <x:c r="E472" s="2" t="str">
        <x:v>2024-01-01</x:v>
      </x:c>
      <x:c r="F472" s="2" t="str">
        <x:v>2024-03-01</x:v>
      </x:c>
      <x:c r="G472" s="2" t="str">
        <x:v>Flat level</x:v>
      </x:c>
      <x:c r="H472" s="7" t="n">
        <x:v>3384.6</x:v>
      </x:c>
      <x:c r="I472" s="7" t="n">
        <x:v>3416.3</x:v>
      </x:c>
      <x:c r="J472" s="2" t="str">
        <x:v>2024-04-26</x:v>
      </x:c>
      <x:c r="K472" s="7" t="n">
        <x:f>100*(H472/I472-1)</x:f>
        <x:v>-0.927904458039408</x:v>
      </x:c>
      <x:c r="L472" s="7" t="n">
        <x:f>ABS(K472)</x:f>
        <x:v>0.927904458039408</x:v>
      </x:c>
      <x:c r="M472" s="2" t="str">
        <x:v>Calibration</x:v>
      </x:c>
    </x:row>
    <x:row r="473" ht="27" customHeight="1">
      <x:c r="A473" s="2"/>
      <x:c r="B473" s="2" t="str">
        <x:v>PCENDC96</x:v>
      </x:c>
      <x:c r="C473" s="2" t="str">
        <x:v>2024-03-31</x:v>
      </x:c>
      <x:c r="D473" s="2" t="str">
        <x:v>Origin</x:v>
      </x:c>
      <x:c r="E473" s="2" t="str">
        <x:v>2024-01-01</x:v>
      </x:c>
      <x:c r="F473" s="2" t="str">
        <x:v>2024-01-01</x:v>
      </x:c>
      <x:c r="G473" s="2" t="str">
        <x:v>Recent trend</x:v>
      </x:c>
      <x:c r="H473" s="7" t="n">
        <x:v>3393.1</x:v>
      </x:c>
      <x:c r="I473" s="7" t="n">
        <x:v>3395.3</x:v>
      </x:c>
      <x:c r="J473" s="2" t="str">
        <x:v>2024-02-29</x:v>
      </x:c>
      <x:c r="K473" s="7" t="n">
        <x:f>100*(H473/I473-1)</x:f>
        <x:v>-0.0647954525373362</x:v>
      </x:c>
      <x:c r="L473" s="7" t="n">
        <x:f>ABS(K473)</x:f>
        <x:v>0.0647954525373362</x:v>
      </x:c>
      <x:c r="M473" s="2" t="str">
        <x:v>Calibration</x:v>
      </x:c>
    </x:row>
    <x:row r="474" ht="27" customHeight="1">
      <x:c r="A474" s="2"/>
      <x:c r="B474" s="2" t="str">
        <x:v>PCENDC96</x:v>
      </x:c>
      <x:c r="C474" s="2" t="str">
        <x:v>2024-03-31</x:v>
      </x:c>
      <x:c r="D474" s="2" t="str">
        <x:v>Origin</x:v>
      </x:c>
      <x:c r="E474" s="2" t="str">
        <x:v>2024-01-01</x:v>
      </x:c>
      <x:c r="F474" s="2" t="str">
        <x:v>2024-02-01</x:v>
      </x:c>
      <x:c r="G474" s="2" t="str">
        <x:v>Recent trend</x:v>
      </x:c>
      <x:c r="H474" s="7" t="n">
        <x:v>3397.35</x:v>
      </x:c>
      <x:c r="I474" s="7" t="n">
        <x:v>3364.9</x:v>
      </x:c>
      <x:c r="J474" s="2" t="str">
        <x:v>2024-03-29</x:v>
      </x:c>
      <x:c r="K474" s="7" t="n">
        <x:f>100*(H474/I474-1)</x:f>
        <x:v>0.964367440339986</x:v>
      </x:c>
      <x:c r="L474" s="7" t="n">
        <x:f>ABS(K474)</x:f>
        <x:v>0.964367440339986</x:v>
      </x:c>
      <x:c r="M474" s="2" t="str">
        <x:v>Calibration</x:v>
      </x:c>
    </x:row>
    <x:row r="475" ht="27" customHeight="1">
      <x:c r="A475" s="2"/>
      <x:c r="B475" s="2" t="str">
        <x:v>PCENDC96</x:v>
      </x:c>
      <x:c r="C475" s="2" t="str">
        <x:v>2024-03-31</x:v>
      </x:c>
      <x:c r="D475" s="2" t="str">
        <x:v>Origin</x:v>
      </x:c>
      <x:c r="E475" s="2" t="str">
        <x:v>2024-01-01</x:v>
      </x:c>
      <x:c r="F475" s="2" t="str">
        <x:v>2024-03-01</x:v>
      </x:c>
      <x:c r="G475" s="2" t="str">
        <x:v>Recent trend</x:v>
      </x:c>
      <x:c r="H475" s="7" t="n">
        <x:v>3401.6</x:v>
      </x:c>
      <x:c r="I475" s="7" t="n">
        <x:v>3416.3</x:v>
      </x:c>
      <x:c r="J475" s="2" t="str">
        <x:v>2024-04-26</x:v>
      </x:c>
      <x:c r="K475" s="7" t="n">
        <x:f>100*(H475/I475-1)</x:f>
        <x:v>-0.4302900799110221</x:v>
      </x:c>
      <x:c r="L475" s="7" t="n">
        <x:f>ABS(K475)</x:f>
        <x:v>0.4302900799110221</x:v>
      </x:c>
      <x:c r="M475" s="2" t="str">
        <x:v>Calibration</x:v>
      </x:c>
    </x:row>
    <x:row r="476" ht="27" customHeight="1">
      <x:c r="A476" s="2"/>
      <x:c r="B476" s="2" t="str">
        <x:v>PCENDC96</x:v>
      </x:c>
      <x:c r="C476" s="2" t="str">
        <x:v>2024-03-31</x:v>
      </x:c>
      <x:c r="D476" s="2" t="str">
        <x:v>One month</x:v>
      </x:c>
      <x:c r="E476" s="2" t="str">
        <x:v>2024-02-29</x:v>
      </x:c>
      <x:c r="F476" s="2" t="str">
        <x:v>2024-02-01</x:v>
      </x:c>
      <x:c r="G476" s="2" t="str">
        <x:v>YoY carry</x:v>
      </x:c>
      <x:c r="H476" s="7" t="n">
        <x:v>3416.7883509168296</x:v>
      </x:c>
      <x:c r="I476" s="7" t="n">
        <x:v>3364.9</x:v>
      </x:c>
      <x:c r="J476" s="2" t="str">
        <x:v>2024-03-29</x:v>
      </x:c>
      <x:c r="K476" s="7" t="n">
        <x:f>100*(H476/I476-1)</x:f>
        <x:v>1.5420473392026457</x:v>
      </x:c>
      <x:c r="L476" s="7" t="n">
        <x:f>ABS(K476)</x:f>
        <x:v>1.5420473392026457</x:v>
      </x:c>
      <x:c r="M476" s="2" t="str">
        <x:v>Calibration</x:v>
      </x:c>
    </x:row>
    <x:row r="477" ht="27" customHeight="1">
      <x:c r="A477" s="2"/>
      <x:c r="B477" s="2" t="str">
        <x:v>PCENDC96</x:v>
      </x:c>
      <x:c r="C477" s="2" t="str">
        <x:v>2024-03-31</x:v>
      </x:c>
      <x:c r="D477" s="2" t="str">
        <x:v>One month</x:v>
      </x:c>
      <x:c r="E477" s="2" t="str">
        <x:v>2024-02-29</x:v>
      </x:c>
      <x:c r="F477" s="2" t="str">
        <x:v>2024-03-01</x:v>
      </x:c>
      <x:c r="G477" s="2" t="str">
        <x:v>YoY carry</x:v>
      </x:c>
      <x:c r="H477" s="7" t="n">
        <x:v>3393.6590701612076</x:v>
      </x:c>
      <x:c r="I477" s="7" t="n">
        <x:v>3416.3</x:v>
      </x:c>
      <x:c r="J477" s="2" t="str">
        <x:v>2024-04-26</x:v>
      </x:c>
      <x:c r="K477" s="7" t="n">
        <x:f>100*(H477/I477-1)</x:f>
        <x:v>-0.6627324836458337</x:v>
      </x:c>
      <x:c r="L477" s="7" t="n">
        <x:f>ABS(K477)</x:f>
        <x:v>0.6627324836458337</x:v>
      </x:c>
      <x:c r="M477" s="2" t="str">
        <x:v>Calibration</x:v>
      </x:c>
    </x:row>
    <x:row r="478" ht="27" customHeight="1">
      <x:c r="A478" s="2"/>
      <x:c r="B478" s="2" t="str">
        <x:v>PCENDC96</x:v>
      </x:c>
      <x:c r="C478" s="2" t="str">
        <x:v>2024-03-31</x:v>
      </x:c>
      <x:c r="D478" s="2" t="str">
        <x:v>One month</x:v>
      </x:c>
      <x:c r="E478" s="2" t="str">
        <x:v>2024-02-29</x:v>
      </x:c>
      <x:c r="F478" s="2" t="str">
        <x:v>2024-02-01</x:v>
      </x:c>
      <x:c r="G478" s="2" t="str">
        <x:v>Flat level</x:v>
      </x:c>
      <x:c r="H478" s="7" t="n">
        <x:v>3395.3</x:v>
      </x:c>
      <x:c r="I478" s="7" t="n">
        <x:v>3364.9</x:v>
      </x:c>
      <x:c r="J478" s="2" t="str">
        <x:v>2024-03-29</x:v>
      </x:c>
      <x:c r="K478" s="7" t="n">
        <x:f>100*(H478/I478-1)</x:f>
        <x:v>0.9034443817052429</x:v>
      </x:c>
      <x:c r="L478" s="7" t="n">
        <x:f>ABS(K478)</x:f>
        <x:v>0.9034443817052429</x:v>
      </x:c>
      <x:c r="M478" s="2" t="str">
        <x:v>Calibration</x:v>
      </x:c>
    </x:row>
    <x:row r="479" ht="27" customHeight="1">
      <x:c r="A479" s="2"/>
      <x:c r="B479" s="2" t="str">
        <x:v>PCENDC96</x:v>
      </x:c>
      <x:c r="C479" s="2" t="str">
        <x:v>2024-03-31</x:v>
      </x:c>
      <x:c r="D479" s="2" t="str">
        <x:v>One month</x:v>
      </x:c>
      <x:c r="E479" s="2" t="str">
        <x:v>2024-02-29</x:v>
      </x:c>
      <x:c r="F479" s="2" t="str">
        <x:v>2024-03-01</x:v>
      </x:c>
      <x:c r="G479" s="2" t="str">
        <x:v>Flat level</x:v>
      </x:c>
      <x:c r="H479" s="7" t="n">
        <x:v>3395.3</x:v>
      </x:c>
      <x:c r="I479" s="7" t="n">
        <x:v>3416.3</x:v>
      </x:c>
      <x:c r="J479" s="2" t="str">
        <x:v>2024-04-26</x:v>
      </x:c>
      <x:c r="K479" s="7" t="n">
        <x:f>100*(H479/I479-1)</x:f>
        <x:v>-0.614700114158595</x:v>
      </x:c>
      <x:c r="L479" s="7" t="n">
        <x:f>ABS(K479)</x:f>
        <x:v>0.614700114158595</x:v>
      </x:c>
      <x:c r="M479" s="2" t="str">
        <x:v>Calibration</x:v>
      </x:c>
    </x:row>
    <x:row r="480" ht="27" customHeight="1">
      <x:c r="A480" s="2"/>
      <x:c r="B480" s="2" t="str">
        <x:v>PCENDC96</x:v>
      </x:c>
      <x:c r="C480" s="2" t="str">
        <x:v>2024-03-31</x:v>
      </x:c>
      <x:c r="D480" s="2" t="str">
        <x:v>One month</x:v>
      </x:c>
      <x:c r="E480" s="2" t="str">
        <x:v>2024-02-29</x:v>
      </x:c>
      <x:c r="F480" s="2" t="str">
        <x:v>2024-02-01</x:v>
      </x:c>
      <x:c r="G480" s="2" t="str">
        <x:v>Recent trend</x:v>
      </x:c>
      <x:c r="H480" s="7" t="n">
        <x:v>3397.4500000000003</x:v>
      </x:c>
      <x:c r="I480" s="7" t="n">
        <x:v>3364.9</x:v>
      </x:c>
      <x:c r="J480" s="2" t="str">
        <x:v>2024-03-29</x:v>
      </x:c>
      <x:c r="K480" s="7" t="n">
        <x:f>100*(H480/I480-1)</x:f>
        <x:v>0.9673392968587491</x:v>
      </x:c>
      <x:c r="L480" s="7" t="n">
        <x:f>ABS(K480)</x:f>
        <x:v>0.9673392968587491</x:v>
      </x:c>
      <x:c r="M480" s="2" t="str">
        <x:v>Calibration</x:v>
      </x:c>
    </x:row>
    <x:row r="481" ht="27" customHeight="1">
      <x:c r="A481" s="2"/>
      <x:c r="B481" s="2" t="str">
        <x:v>PCENDC96</x:v>
      </x:c>
      <x:c r="C481" s="2" t="str">
        <x:v>2024-03-31</x:v>
      </x:c>
      <x:c r="D481" s="2" t="str">
        <x:v>One month</x:v>
      </x:c>
      <x:c r="E481" s="2" t="str">
        <x:v>2024-02-29</x:v>
      </x:c>
      <x:c r="F481" s="2" t="str">
        <x:v>2024-03-01</x:v>
      </x:c>
      <x:c r="G481" s="2" t="str">
        <x:v>Recent trend</x:v>
      </x:c>
      <x:c r="H481" s="7" t="n">
        <x:v>3399.6000000000004</x:v>
      </x:c>
      <x:c r="I481" s="7" t="n">
        <x:v>3416.3</x:v>
      </x:c>
      <x:c r="J481" s="2" t="str">
        <x:v>2024-04-26</x:v>
      </x:c>
      <x:c r="K481" s="7" t="n">
        <x:f>100*(H481/I481-1)</x:f>
        <x:v>-0.48883294792611</x:v>
      </x:c>
      <x:c r="L481" s="7" t="n">
        <x:f>ABS(K481)</x:f>
        <x:v>0.48883294792611</x:v>
      </x:c>
      <x:c r="M481" s="2" t="str">
        <x:v>Calibration</x:v>
      </x:c>
    </x:row>
    <x:row r="482" ht="27" customHeight="1">
      <x:c r="A482" s="2"/>
      <x:c r="B482" s="2" t="str">
        <x:v>PCENDC96</x:v>
      </x:c>
      <x:c r="C482" s="2" t="str">
        <x:v>2024-03-31</x:v>
      </x:c>
      <x:c r="D482" s="2" t="str">
        <x:v>Two months</x:v>
      </x:c>
      <x:c r="E482" s="2" t="str">
        <x:v>2024-03-29</x:v>
      </x:c>
      <x:c r="F482" s="2" t="str">
        <x:v>2024-03-01</x:v>
      </x:c>
      <x:c r="G482" s="2" t="str">
        <x:v>YoY carry</x:v>
      </x:c>
      <x:c r="H482" s="7" t="n">
        <x:v>3371.374709205513</x:v>
      </x:c>
      <x:c r="I482" s="7" t="n">
        <x:v>3416.3</x:v>
      </x:c>
      <x:c r="J482" s="2" t="str">
        <x:v>2024-04-26</x:v>
      </x:c>
      <x:c r="K482" s="7" t="n">
        <x:f>100*(H482/I482-1)</x:f>
        <x:v>-1.3150276847609055</x:v>
      </x:c>
      <x:c r="L482" s="7" t="n">
        <x:f>ABS(K482)</x:f>
        <x:v>1.3150276847609055</x:v>
      </x:c>
      <x:c r="M482" s="2" t="str">
        <x:v>Calibration</x:v>
      </x:c>
    </x:row>
    <x:row r="483" ht="27" customHeight="1">
      <x:c r="A483" s="2"/>
      <x:c r="B483" s="2" t="str">
        <x:v>PCENDC96</x:v>
      </x:c>
      <x:c r="C483" s="2" t="str">
        <x:v>2024-03-31</x:v>
      </x:c>
      <x:c r="D483" s="2" t="str">
        <x:v>Two months</x:v>
      </x:c>
      <x:c r="E483" s="2" t="str">
        <x:v>2024-03-29</x:v>
      </x:c>
      <x:c r="F483" s="2" t="str">
        <x:v>2024-03-01</x:v>
      </x:c>
      <x:c r="G483" s="2" t="str">
        <x:v>Flat level</x:v>
      </x:c>
      <x:c r="H483" s="7" t="n">
        <x:v>3364.9</x:v>
      </x:c>
      <x:c r="I483" s="7" t="n">
        <x:v>3416.3</x:v>
      </x:c>
      <x:c r="J483" s="2" t="str">
        <x:v>2024-04-26</x:v>
      </x:c>
      <x:c r="K483" s="7" t="n">
        <x:f>100*(H483/I483-1)</x:f>
        <x:v>-1.5045517079881776</x:v>
      </x:c>
      <x:c r="L483" s="7" t="n">
        <x:f>ABS(K483)</x:f>
        <x:v>1.5045517079881776</x:v>
      </x:c>
      <x:c r="M483" s="2" t="str">
        <x:v>Calibration</x:v>
      </x:c>
    </x:row>
    <x:row r="484" ht="27" customHeight="1">
      <x:c r="A484" s="2"/>
      <x:c r="B484" s="2" t="str">
        <x:v>PCENDC96</x:v>
      </x:c>
      <x:c r="C484" s="2" t="str">
        <x:v>2024-03-31</x:v>
      </x:c>
      <x:c r="D484" s="2" t="str">
        <x:v>Two months</x:v>
      </x:c>
      <x:c r="E484" s="2" t="str">
        <x:v>2024-03-29</x:v>
      </x:c>
      <x:c r="F484" s="2" t="str">
        <x:v>2024-03-01</x:v>
      </x:c>
      <x:c r="G484" s="2" t="str">
        <x:v>Recent trend</x:v>
      </x:c>
      <x:c r="H484" s="7" t="n">
        <x:v>3346.9</x:v>
      </x:c>
      <x:c r="I484" s="7" t="n">
        <x:v>3416.3</x:v>
      </x:c>
      <x:c r="J484" s="2" t="str">
        <x:v>2024-04-26</x:v>
      </x:c>
      <x:c r="K484" s="7" t="n">
        <x:f>100*(H484/I484-1)</x:f>
        <x:v>-2.031437520124113</x:v>
      </x:c>
      <x:c r="L484" s="7" t="n">
        <x:f>ABS(K484)</x:f>
        <x:v>2.031437520124113</x:v>
      </x:c>
      <x:c r="M484" s="2" t="str">
        <x:v>Calibration</x:v>
      </x:c>
    </x:row>
    <x:row r="485" ht="27" customHeight="1">
      <x:c r="A485" s="2"/>
      <x:c r="B485" s="2" t="str">
        <x:v>PCENDC96</x:v>
      </x:c>
      <x:c r="C485" s="2" t="str">
        <x:v>2024-03-31</x:v>
      </x:c>
      <x:c r="D485" s="2" t="str">
        <x:v>Pre-earnings</x:v>
      </x:c>
      <x:c r="E485" s="2" t="str">
        <x:v>2024-04-18</x:v>
      </x:c>
      <x:c r="F485" s="2" t="str">
        <x:v>2024-03-01</x:v>
      </x:c>
      <x:c r="G485" s="2" t="str">
        <x:v>YoY carry</x:v>
      </x:c>
      <x:c r="H485" s="7" t="n">
        <x:v>3371.374709205513</x:v>
      </x:c>
      <x:c r="I485" s="7" t="n">
        <x:v>3416.3</x:v>
      </x:c>
      <x:c r="J485" s="2" t="str">
        <x:v>2024-04-26</x:v>
      </x:c>
      <x:c r="K485" s="7" t="n">
        <x:f>100*(H485/I485-1)</x:f>
        <x:v>-1.3150276847609055</x:v>
      </x:c>
      <x:c r="L485" s="7" t="n">
        <x:f>ABS(K485)</x:f>
        <x:v>1.3150276847609055</x:v>
      </x:c>
      <x:c r="M485" s="2" t="str">
        <x:v>Calibration</x:v>
      </x:c>
    </x:row>
    <x:row r="486" ht="27" customHeight="1">
      <x:c r="A486" s="2"/>
      <x:c r="B486" s="2" t="str">
        <x:v>PCENDC96</x:v>
      </x:c>
      <x:c r="C486" s="2" t="str">
        <x:v>2024-03-31</x:v>
      </x:c>
      <x:c r="D486" s="2" t="str">
        <x:v>Pre-earnings</x:v>
      </x:c>
      <x:c r="E486" s="2" t="str">
        <x:v>2024-04-18</x:v>
      </x:c>
      <x:c r="F486" s="2" t="str">
        <x:v>2024-03-01</x:v>
      </x:c>
      <x:c r="G486" s="2" t="str">
        <x:v>Flat level</x:v>
      </x:c>
      <x:c r="H486" s="7" t="n">
        <x:v>3364.9</x:v>
      </x:c>
      <x:c r="I486" s="7" t="n">
        <x:v>3416.3</x:v>
      </x:c>
      <x:c r="J486" s="2" t="str">
        <x:v>2024-04-26</x:v>
      </x:c>
      <x:c r="K486" s="7" t="n">
        <x:f>100*(H486/I486-1)</x:f>
        <x:v>-1.5045517079881776</x:v>
      </x:c>
      <x:c r="L486" s="7" t="n">
        <x:f>ABS(K486)</x:f>
        <x:v>1.5045517079881776</x:v>
      </x:c>
      <x:c r="M486" s="2" t="str">
        <x:v>Calibration</x:v>
      </x:c>
    </x:row>
    <x:row r="487" ht="27" customHeight="1">
      <x:c r="A487" s="2"/>
      <x:c r="B487" s="2" t="str">
        <x:v>PCENDC96</x:v>
      </x:c>
      <x:c r="C487" s="2" t="str">
        <x:v>2024-03-31</x:v>
      </x:c>
      <x:c r="D487" s="2" t="str">
        <x:v>Pre-earnings</x:v>
      </x:c>
      <x:c r="E487" s="2" t="str">
        <x:v>2024-04-18</x:v>
      </x:c>
      <x:c r="F487" s="2" t="str">
        <x:v>2024-03-01</x:v>
      </x:c>
      <x:c r="G487" s="2" t="str">
        <x:v>Recent trend</x:v>
      </x:c>
      <x:c r="H487" s="7" t="n">
        <x:v>3346.9</x:v>
      </x:c>
      <x:c r="I487" s="7" t="n">
        <x:v>3416.3</x:v>
      </x:c>
      <x:c r="J487" s="2" t="str">
        <x:v>2024-04-26</x:v>
      </x:c>
      <x:c r="K487" s="7" t="n">
        <x:f>100*(H487/I487-1)</x:f>
        <x:v>-2.031437520124113</x:v>
      </x:c>
      <x:c r="L487" s="7" t="n">
        <x:f>ABS(K487)</x:f>
        <x:v>2.031437520124113</x:v>
      </x:c>
      <x:c r="M487" s="2" t="str">
        <x:v>Calibration</x:v>
      </x:c>
    </x:row>
    <x:row r="488" ht="27" customHeight="1">
      <x:c r="A488" s="2"/>
      <x:c r="B488" s="2" t="str">
        <x:v>PCENDC96</x:v>
      </x:c>
      <x:c r="C488" s="2" t="str">
        <x:v>2024-06-30</x:v>
      </x:c>
      <x:c r="D488" s="2" t="str">
        <x:v>Origin</x:v>
      </x:c>
      <x:c r="E488" s="2" t="str">
        <x:v>2024-04-01</x:v>
      </x:c>
      <x:c r="F488" s="2" t="str">
        <x:v>2024-04-01</x:v>
      </x:c>
      <x:c r="G488" s="2" t="str">
        <x:v>YoY carry</x:v>
      </x:c>
      <x:c r="H488" s="7" t="n">
        <x:v>3387.9469069618613</x:v>
      </x:c>
      <x:c r="I488" s="7" t="n">
        <x:v>3391</x:v>
      </x:c>
      <x:c r="J488" s="2" t="str">
        <x:v>2024-05-31</x:v>
      </x:c>
      <x:c r="K488" s="7" t="n">
        <x:f>100*(H488/I488-1)</x:f>
        <x:v>-0.09003518248713593</x:v>
      </x:c>
      <x:c r="L488" s="7" t="n">
        <x:f>ABS(K488)</x:f>
        <x:v>0.09003518248713593</x:v>
      </x:c>
      <x:c r="M488" s="2" t="str">
        <x:v>Calibration</x:v>
      </x:c>
    </x:row>
    <x:row r="489" ht="27" customHeight="1">
      <x:c r="A489" s="2"/>
      <x:c r="B489" s="2" t="str">
        <x:v>PCENDC96</x:v>
      </x:c>
      <x:c r="C489" s="2" t="str">
        <x:v>2024-06-30</x:v>
      </x:c>
      <x:c r="D489" s="2" t="str">
        <x:v>Origin</x:v>
      </x:c>
      <x:c r="E489" s="2" t="str">
        <x:v>2024-04-01</x:v>
      </x:c>
      <x:c r="F489" s="2" t="str">
        <x:v>2024-05-01</x:v>
      </x:c>
      <x:c r="G489" s="2" t="str">
        <x:v>YoY carry</x:v>
      </x:c>
      <x:c r="H489" s="7" t="n">
        <x:v>3388.048576886747</x:v>
      </x:c>
      <x:c r="I489" s="7" t="n">
        <x:v>3386.5</x:v>
      </x:c>
      <x:c r="J489" s="2" t="str">
        <x:v>2024-06-28</x:v>
      </x:c>
      <x:c r="K489" s="7" t="n">
        <x:f>100*(H489/I489-1)</x:f>
        <x:v>0.04572794586585882</x:v>
      </x:c>
      <x:c r="L489" s="7" t="n">
        <x:f>ABS(K489)</x:f>
        <x:v>0.04572794586585882</x:v>
      </x:c>
      <x:c r="M489" s="2" t="str">
        <x:v>Calibration</x:v>
      </x:c>
    </x:row>
    <x:row r="490" ht="27" customHeight="1">
      <x:c r="A490" s="2"/>
      <x:c r="B490" s="2" t="str">
        <x:v>PCENDC96</x:v>
      </x:c>
      <x:c r="C490" s="2" t="str">
        <x:v>2024-06-30</x:v>
      </x:c>
      <x:c r="D490" s="2" t="str">
        <x:v>Origin</x:v>
      </x:c>
      <x:c r="E490" s="2" t="str">
        <x:v>2024-04-01</x:v>
      </x:c>
      <x:c r="F490" s="2" t="str">
        <x:v>2024-06-01</x:v>
      </x:c>
      <x:c r="G490" s="2" t="str">
        <x:v>YoY carry</x:v>
      </x:c>
      <x:c r="H490" s="7" t="n">
        <x:v>3397.402209976219</x:v>
      </x:c>
      <x:c r="I490" s="7" t="n">
        <x:v>3406.8</x:v>
      </x:c>
      <x:c r="J490" s="2" t="str">
        <x:v>2024-07-26</x:v>
      </x:c>
      <x:c r="K490" s="7" t="n">
        <x:f>100*(H490/I490-1)</x:f>
        <x:v>-0.2758538811723943</x:v>
      </x:c>
      <x:c r="L490" s="7" t="n">
        <x:f>ABS(K490)</x:f>
        <x:v>0.2758538811723943</x:v>
      </x:c>
      <x:c r="M490" s="2" t="str">
        <x:v>Calibration</x:v>
      </x:c>
    </x:row>
    <x:row r="491" ht="27" customHeight="1">
      <x:c r="A491" s="2"/>
      <x:c r="B491" s="2" t="str">
        <x:v>PCENDC96</x:v>
      </x:c>
      <x:c r="C491" s="2" t="str">
        <x:v>2024-06-30</x:v>
      </x:c>
      <x:c r="D491" s="2" t="str">
        <x:v>Origin</x:v>
      </x:c>
      <x:c r="E491" s="2" t="str">
        <x:v>2024-04-01</x:v>
      </x:c>
      <x:c r="F491" s="2" t="str">
        <x:v>2024-04-01</x:v>
      </x:c>
      <x:c r="G491" s="2" t="str">
        <x:v>Flat level</x:v>
      </x:c>
      <x:c r="H491" s="7" t="n">
        <x:v>3364.9</x:v>
      </x:c>
      <x:c r="I491" s="7" t="n">
        <x:v>3391</x:v>
      </x:c>
      <x:c r="J491" s="2" t="str">
        <x:v>2024-05-31</x:v>
      </x:c>
      <x:c r="K491" s="7" t="n">
        <x:f>100*(H491/I491-1)</x:f>
        <x:v>-0.7696844588616858</x:v>
      </x:c>
      <x:c r="L491" s="7" t="n">
        <x:f>ABS(K491)</x:f>
        <x:v>0.7696844588616858</x:v>
      </x:c>
      <x:c r="M491" s="2" t="str">
        <x:v>Calibration</x:v>
      </x:c>
    </x:row>
    <x:row r="492" ht="27" customHeight="1">
      <x:c r="A492" s="2"/>
      <x:c r="B492" s="2" t="str">
        <x:v>PCENDC96</x:v>
      </x:c>
      <x:c r="C492" s="2" t="str">
        <x:v>2024-06-30</x:v>
      </x:c>
      <x:c r="D492" s="2" t="str">
        <x:v>Origin</x:v>
      </x:c>
      <x:c r="E492" s="2" t="str">
        <x:v>2024-04-01</x:v>
      </x:c>
      <x:c r="F492" s="2" t="str">
        <x:v>2024-05-01</x:v>
      </x:c>
      <x:c r="G492" s="2" t="str">
        <x:v>Flat level</x:v>
      </x:c>
      <x:c r="H492" s="7" t="n">
        <x:v>3364.9</x:v>
      </x:c>
      <x:c r="I492" s="7" t="n">
        <x:v>3386.5</x:v>
      </x:c>
      <x:c r="J492" s="2" t="str">
        <x:v>2024-06-28</x:v>
      </x:c>
      <x:c r="K492" s="7" t="n">
        <x:f>100*(H492/I492-1)</x:f>
        <x:v>-0.6378266646980602</x:v>
      </x:c>
      <x:c r="L492" s="7" t="n">
        <x:f>ABS(K492)</x:f>
        <x:v>0.6378266646980602</x:v>
      </x:c>
      <x:c r="M492" s="2" t="str">
        <x:v>Calibration</x:v>
      </x:c>
    </x:row>
    <x:row r="493" ht="27" customHeight="1">
      <x:c r="A493" s="2"/>
      <x:c r="B493" s="2" t="str">
        <x:v>PCENDC96</x:v>
      </x:c>
      <x:c r="C493" s="2" t="str">
        <x:v>2024-06-30</x:v>
      </x:c>
      <x:c r="D493" s="2" t="str">
        <x:v>Origin</x:v>
      </x:c>
      <x:c r="E493" s="2" t="str">
        <x:v>2024-04-01</x:v>
      </x:c>
      <x:c r="F493" s="2" t="str">
        <x:v>2024-06-01</x:v>
      </x:c>
      <x:c r="G493" s="2" t="str">
        <x:v>Flat level</x:v>
      </x:c>
      <x:c r="H493" s="7" t="n">
        <x:v>3364.9</x:v>
      </x:c>
      <x:c r="I493" s="7" t="n">
        <x:v>3406.8</x:v>
      </x:c>
      <x:c r="J493" s="2" t="str">
        <x:v>2024-07-26</x:v>
      </x:c>
      <x:c r="K493" s="7" t="n">
        <x:f>100*(H493/I493-1)</x:f>
        <x:v>-1.2298931548667347</x:v>
      </x:c>
      <x:c r="L493" s="7" t="n">
        <x:f>ABS(K493)</x:f>
        <x:v>1.2298931548667347</x:v>
      </x:c>
      <x:c r="M493" s="2" t="str">
        <x:v>Calibration</x:v>
      </x:c>
    </x:row>
    <x:row r="494" ht="27" customHeight="1">
      <x:c r="A494" s="2"/>
      <x:c r="B494" s="2" t="str">
        <x:v>PCENDC96</x:v>
      </x:c>
      <x:c r="C494" s="2" t="str">
        <x:v>2024-06-30</x:v>
      </x:c>
      <x:c r="D494" s="2" t="str">
        <x:v>Origin</x:v>
      </x:c>
      <x:c r="E494" s="2" t="str">
        <x:v>2024-04-01</x:v>
      </x:c>
      <x:c r="F494" s="2" t="str">
        <x:v>2024-04-01</x:v>
      </x:c>
      <x:c r="G494" s="2" t="str">
        <x:v>Recent trend</x:v>
      </x:c>
      <x:c r="H494" s="7" t="n">
        <x:v>3328.9</x:v>
      </x:c>
      <x:c r="I494" s="7" t="n">
        <x:v>3391</x:v>
      </x:c>
      <x:c r="J494" s="2" t="str">
        <x:v>2024-05-31</x:v>
      </x:c>
      <x:c r="K494" s="7" t="n">
        <x:f>100*(H494/I494-1)</x:f>
        <x:v>-1.831318195222642</x:v>
      </x:c>
      <x:c r="L494" s="7" t="n">
        <x:f>ABS(K494)</x:f>
        <x:v>1.831318195222642</x:v>
      </x:c>
      <x:c r="M494" s="2" t="str">
        <x:v>Calibration</x:v>
      </x:c>
    </x:row>
    <x:row r="495" ht="27" customHeight="1">
      <x:c r="A495" s="2"/>
      <x:c r="B495" s="2" t="str">
        <x:v>PCENDC96</x:v>
      </x:c>
      <x:c r="C495" s="2" t="str">
        <x:v>2024-06-30</x:v>
      </x:c>
      <x:c r="D495" s="2" t="str">
        <x:v>Origin</x:v>
      </x:c>
      <x:c r="E495" s="2" t="str">
        <x:v>2024-04-01</x:v>
      </x:c>
      <x:c r="F495" s="2" t="str">
        <x:v>2024-05-01</x:v>
      </x:c>
      <x:c r="G495" s="2" t="str">
        <x:v>Recent trend</x:v>
      </x:c>
      <x:c r="H495" s="7" t="n">
        <x:v>3310.9</x:v>
      </x:c>
      <x:c r="I495" s="7" t="n">
        <x:v>3386.5</x:v>
      </x:c>
      <x:c r="J495" s="2" t="str">
        <x:v>2024-06-28</x:v>
      </x:c>
      <x:c r="K495" s="7" t="n">
        <x:f>100*(H495/I495-1)</x:f>
        <x:v>-2.232393326443227</x:v>
      </x:c>
      <x:c r="L495" s="7" t="n">
        <x:f>ABS(K495)</x:f>
        <x:v>2.232393326443227</x:v>
      </x:c>
      <x:c r="M495" s="2" t="str">
        <x:v>Calibration</x:v>
      </x:c>
    </x:row>
    <x:row r="496" ht="27" customHeight="1">
      <x:c r="A496" s="2"/>
      <x:c r="B496" s="2" t="str">
        <x:v>PCENDC96</x:v>
      </x:c>
      <x:c r="C496" s="2" t="str">
        <x:v>2024-06-30</x:v>
      </x:c>
      <x:c r="D496" s="2" t="str">
        <x:v>Origin</x:v>
      </x:c>
      <x:c r="E496" s="2" t="str">
        <x:v>2024-04-01</x:v>
      </x:c>
      <x:c r="F496" s="2" t="str">
        <x:v>2024-06-01</x:v>
      </x:c>
      <x:c r="G496" s="2" t="str">
        <x:v>Recent trend</x:v>
      </x:c>
      <x:c r="H496" s="7" t="n">
        <x:v>3292.9</x:v>
      </x:c>
      <x:c r="I496" s="7" t="n">
        <x:v>3406.8</x:v>
      </x:c>
      <x:c r="J496" s="2" t="str">
        <x:v>2024-07-26</x:v>
      </x:c>
      <x:c r="K496" s="7" t="n">
        <x:f>100*(H496/I496-1)</x:f>
        <x:v>-3.343313373253498</x:v>
      </x:c>
      <x:c r="L496" s="7" t="n">
        <x:f>ABS(K496)</x:f>
        <x:v>3.343313373253498</x:v>
      </x:c>
      <x:c r="M496" s="2" t="str">
        <x:v>Calibration</x:v>
      </x:c>
    </x:row>
    <x:row r="497" ht="27" customHeight="1">
      <x:c r="A497" s="2"/>
      <x:c r="B497" s="2" t="str">
        <x:v>PCENDC96</x:v>
      </x:c>
      <x:c r="C497" s="2" t="str">
        <x:v>2024-06-30</x:v>
      </x:c>
      <x:c r="D497" s="2" t="str">
        <x:v>One month</x:v>
      </x:c>
      <x:c r="E497" s="2" t="str">
        <x:v>2024-05-31</x:v>
      </x:c>
      <x:c r="F497" s="2" t="str">
        <x:v>2024-05-01</x:v>
      </x:c>
      <x:c r="G497" s="2" t="str">
        <x:v>YoY carry</x:v>
      </x:c>
      <x:c r="H497" s="7" t="n">
        <x:v>3391.7715967133845</x:v>
      </x:c>
      <x:c r="I497" s="7" t="n">
        <x:v>3386.5</x:v>
      </x:c>
      <x:c r="J497" s="2" t="str">
        <x:v>2024-06-28</x:v>
      </x:c>
      <x:c r="K497" s="7" t="n">
        <x:f>100*(H497/I497-1)</x:f>
        <x:v>0.15566504395052583</x:v>
      </x:c>
      <x:c r="L497" s="7" t="n">
        <x:f>ABS(K497)</x:f>
        <x:v>0.15566504395052583</x:v>
      </x:c>
      <x:c r="M497" s="2" t="str">
        <x:v>Calibration</x:v>
      </x:c>
    </x:row>
    <x:row r="498" ht="27" customHeight="1">
      <x:c r="A498" s="2"/>
      <x:c r="B498" s="2" t="str">
        <x:v>PCENDC96</x:v>
      </x:c>
      <x:c r="C498" s="2" t="str">
        <x:v>2024-06-30</x:v>
      </x:c>
      <x:c r="D498" s="2" t="str">
        <x:v>One month</x:v>
      </x:c>
      <x:c r="E498" s="2" t="str">
        <x:v>2024-05-31</x:v>
      </x:c>
      <x:c r="F498" s="2" t="str">
        <x:v>2024-06-01</x:v>
      </x:c>
      <x:c r="G498" s="2" t="str">
        <x:v>YoY carry</x:v>
      </x:c>
      <x:c r="H498" s="7" t="n">
        <x:v>3401.135508215534</x:v>
      </x:c>
      <x:c r="I498" s="7" t="n">
        <x:v>3406.8</x:v>
      </x:c>
      <x:c r="J498" s="2" t="str">
        <x:v>2024-07-26</x:v>
      </x:c>
      <x:c r="K498" s="7" t="n">
        <x:f>100*(H498/I498-1)</x:f>
        <x:v>-0.16627015922466848</x:v>
      </x:c>
      <x:c r="L498" s="7" t="n">
        <x:f>ABS(K498)</x:f>
        <x:v>0.16627015922466848</x:v>
      </x:c>
      <x:c r="M498" s="2" t="str">
        <x:v>Calibration</x:v>
      </x:c>
    </x:row>
    <x:row r="499" ht="27" customHeight="1">
      <x:c r="A499" s="2"/>
      <x:c r="B499" s="2" t="str">
        <x:v>PCENDC96</x:v>
      </x:c>
      <x:c r="C499" s="2" t="str">
        <x:v>2024-06-30</x:v>
      </x:c>
      <x:c r="D499" s="2" t="str">
        <x:v>One month</x:v>
      </x:c>
      <x:c r="E499" s="2" t="str">
        <x:v>2024-05-31</x:v>
      </x:c>
      <x:c r="F499" s="2" t="str">
        <x:v>2024-05-01</x:v>
      </x:c>
      <x:c r="G499" s="2" t="str">
        <x:v>Flat level</x:v>
      </x:c>
      <x:c r="H499" s="7" t="n">
        <x:v>3391</x:v>
      </x:c>
      <x:c r="I499" s="7" t="n">
        <x:v>3386.5</x:v>
      </x:c>
      <x:c r="J499" s="2" t="str">
        <x:v>2024-06-28</x:v>
      </x:c>
      <x:c r="K499" s="7" t="n">
        <x:f>100*(H499/I499-1)</x:f>
        <x:v>0.1328805551454204</x:v>
      </x:c>
      <x:c r="L499" s="7" t="n">
        <x:f>ABS(K499)</x:f>
        <x:v>0.1328805551454204</x:v>
      </x:c>
      <x:c r="M499" s="2" t="str">
        <x:v>Calibration</x:v>
      </x:c>
    </x:row>
    <x:row r="500" ht="27" customHeight="1">
      <x:c r="A500" s="2"/>
      <x:c r="B500" s="2" t="str">
        <x:v>PCENDC96</x:v>
      </x:c>
      <x:c r="C500" s="2" t="str">
        <x:v>2024-06-30</x:v>
      </x:c>
      <x:c r="D500" s="2" t="str">
        <x:v>One month</x:v>
      </x:c>
      <x:c r="E500" s="2" t="str">
        <x:v>2024-05-31</x:v>
      </x:c>
      <x:c r="F500" s="2" t="str">
        <x:v>2024-06-01</x:v>
      </x:c>
      <x:c r="G500" s="2" t="str">
        <x:v>Flat level</x:v>
      </x:c>
      <x:c r="H500" s="7" t="n">
        <x:v>3391</x:v>
      </x:c>
      <x:c r="I500" s="7" t="n">
        <x:v>3406.8</x:v>
      </x:c>
      <x:c r="J500" s="2" t="str">
        <x:v>2024-07-26</x:v>
      </x:c>
      <x:c r="K500" s="7" t="n">
        <x:f>100*(H500/I500-1)</x:f>
        <x:v>-0.4637783257015471</x:v>
      </x:c>
      <x:c r="L500" s="7" t="n">
        <x:f>ABS(K500)</x:f>
        <x:v>0.4637783257015471</x:v>
      </x:c>
      <x:c r="M500" s="2" t="str">
        <x:v>Calibration</x:v>
      </x:c>
    </x:row>
    <x:row r="501" ht="27" customHeight="1">
      <x:c r="A501" s="2"/>
      <x:c r="B501" s="2" t="str">
        <x:v>PCENDC96</x:v>
      </x:c>
      <x:c r="C501" s="2" t="str">
        <x:v>2024-06-30</x:v>
      </x:c>
      <x:c r="D501" s="2" t="str">
        <x:v>One month</x:v>
      </x:c>
      <x:c r="E501" s="2" t="str">
        <x:v>2024-05-31</x:v>
      </x:c>
      <x:c r="F501" s="2" t="str">
        <x:v>2024-05-01</x:v>
      </x:c>
      <x:c r="G501" s="2" t="str">
        <x:v>Recent trend</x:v>
      </x:c>
      <x:c r="H501" s="7" t="n">
        <x:v>3404.3</x:v>
      </x:c>
      <x:c r="I501" s="7" t="n">
        <x:v>3386.5</x:v>
      </x:c>
      <x:c r="J501" s="2" t="str">
        <x:v>2024-06-28</x:v>
      </x:c>
      <x:c r="K501" s="7" t="n">
        <x:f>100*(H501/I501-1)</x:f>
        <x:v>0.5256164181308254</x:v>
      </x:c>
      <x:c r="L501" s="7" t="n">
        <x:f>ABS(K501)</x:f>
        <x:v>0.5256164181308254</x:v>
      </x:c>
      <x:c r="M501" s="2" t="str">
        <x:v>Calibration</x:v>
      </x:c>
    </x:row>
    <x:row r="502" ht="27" customHeight="1">
      <x:c r="A502" s="2"/>
      <x:c r="B502" s="2" t="str">
        <x:v>PCENDC96</x:v>
      </x:c>
      <x:c r="C502" s="2" t="str">
        <x:v>2024-06-30</x:v>
      </x:c>
      <x:c r="D502" s="2" t="str">
        <x:v>One month</x:v>
      </x:c>
      <x:c r="E502" s="2" t="str">
        <x:v>2024-05-31</x:v>
      </x:c>
      <x:c r="F502" s="2" t="str">
        <x:v>2024-06-01</x:v>
      </x:c>
      <x:c r="G502" s="2" t="str">
        <x:v>Recent trend</x:v>
      </x:c>
      <x:c r="H502" s="7" t="n">
        <x:v>3417.6</x:v>
      </x:c>
      <x:c r="I502" s="7" t="n">
        <x:v>3406.8</x:v>
      </x:c>
      <x:c r="J502" s="2" t="str">
        <x:v>2024-07-26</x:v>
      </x:c>
      <x:c r="K502" s="7" t="n">
        <x:f>100*(H502/I502-1)</x:f>
        <x:v>0.31701303275799564</x:v>
      </x:c>
      <x:c r="L502" s="7" t="n">
        <x:f>ABS(K502)</x:f>
        <x:v>0.31701303275799564</x:v>
      </x:c>
      <x:c r="M502" s="2" t="str">
        <x:v>Calibration</x:v>
      </x:c>
    </x:row>
    <x:row r="503" ht="27" customHeight="1">
      <x:c r="A503" s="2"/>
      <x:c r="B503" s="2" t="str">
        <x:v>PCENDC96</x:v>
      </x:c>
      <x:c r="C503" s="2" t="str">
        <x:v>2024-06-30</x:v>
      </x:c>
      <x:c r="D503" s="2" t="str">
        <x:v>Two months</x:v>
      </x:c>
      <x:c r="E503" s="2" t="str">
        <x:v>2024-06-28</x:v>
      </x:c>
      <x:c r="F503" s="2" t="str">
        <x:v>2024-06-01</x:v>
      </x:c>
      <x:c r="G503" s="2" t="str">
        <x:v>YoY carry</x:v>
      </x:c>
      <x:c r="H503" s="7" t="n">
        <x:v>3402.003236451338</x:v>
      </x:c>
      <x:c r="I503" s="7" t="n">
        <x:v>3406.8</x:v>
      </x:c>
      <x:c r="J503" s="2" t="str">
        <x:v>2024-07-26</x:v>
      </x:c>
      <x:c r="K503" s="7" t="n">
        <x:f>100*(H503/I503-1)</x:f>
        <x:v>-0.14079968148004163</x:v>
      </x:c>
      <x:c r="L503" s="7" t="n">
        <x:f>ABS(K503)</x:f>
        <x:v>0.14079968148004163</x:v>
      </x:c>
      <x:c r="M503" s="2" t="str">
        <x:v>Calibration</x:v>
      </x:c>
    </x:row>
    <x:row r="504" ht="27" customHeight="1">
      <x:c r="A504" s="2"/>
      <x:c r="B504" s="2" t="str">
        <x:v>PCENDC96</x:v>
      </x:c>
      <x:c r="C504" s="2" t="str">
        <x:v>2024-06-30</x:v>
      </x:c>
      <x:c r="D504" s="2" t="str">
        <x:v>Two months</x:v>
      </x:c>
      <x:c r="E504" s="2" t="str">
        <x:v>2024-06-28</x:v>
      </x:c>
      <x:c r="F504" s="2" t="str">
        <x:v>2024-06-01</x:v>
      </x:c>
      <x:c r="G504" s="2" t="str">
        <x:v>Flat level</x:v>
      </x:c>
      <x:c r="H504" s="7" t="n">
        <x:v>3386.5</x:v>
      </x:c>
      <x:c r="I504" s="7" t="n">
        <x:v>3406.8</x:v>
      </x:c>
      <x:c r="J504" s="2" t="str">
        <x:v>2024-07-26</x:v>
      </x:c>
      <x:c r="K504" s="7" t="n">
        <x:f>100*(H504/I504-1)</x:f>
        <x:v>-0.5958670893507212</x:v>
      </x:c>
      <x:c r="L504" s="7" t="n">
        <x:f>ABS(K504)</x:f>
        <x:v>0.5958670893507212</x:v>
      </x:c>
      <x:c r="M504" s="2" t="str">
        <x:v>Calibration</x:v>
      </x:c>
    </x:row>
    <x:row r="505" ht="27" customHeight="1">
      <x:c r="A505" s="2"/>
      <x:c r="B505" s="2" t="str">
        <x:v>PCENDC96</x:v>
      </x:c>
      <x:c r="C505" s="2" t="str">
        <x:v>2024-06-30</x:v>
      </x:c>
      <x:c r="D505" s="2" t="str">
        <x:v>Two months</x:v>
      </x:c>
      <x:c r="E505" s="2" t="str">
        <x:v>2024-06-28</x:v>
      </x:c>
      <x:c r="F505" s="2" t="str">
        <x:v>2024-06-01</x:v>
      </x:c>
      <x:c r="G505" s="2" t="str">
        <x:v>Recent trend</x:v>
      </x:c>
      <x:c r="H505" s="7" t="n">
        <x:v>3380.35</x:v>
      </x:c>
      <x:c r="I505" s="7" t="n">
        <x:v>3406.8</x:v>
      </x:c>
      <x:c r="J505" s="2" t="str">
        <x:v>2024-07-26</x:v>
      </x:c>
      <x:c r="K505" s="7" t="n">
        <x:f>100*(H505/I505-1)</x:f>
        <x:v>-0.7763883996712573</x:v>
      </x:c>
      <x:c r="L505" s="7" t="n">
        <x:f>ABS(K505)</x:f>
        <x:v>0.7763883996712573</x:v>
      </x:c>
      <x:c r="M505" s="2" t="str">
        <x:v>Calibration</x:v>
      </x:c>
    </x:row>
    <x:row r="506" ht="27" customHeight="1">
      <x:c r="A506" s="2"/>
      <x:c r="B506" s="2" t="str">
        <x:v>PCENDC96</x:v>
      </x:c>
      <x:c r="C506" s="2" t="str">
        <x:v>2024-09-30</x:v>
      </x:c>
      <x:c r="D506" s="2" t="str">
        <x:v>Origin</x:v>
      </x:c>
      <x:c r="E506" s="2" t="str">
        <x:v>2024-07-01</x:v>
      </x:c>
      <x:c r="F506" s="2" t="str">
        <x:v>2024-07-01</x:v>
      </x:c>
      <x:c r="G506" s="2" t="str">
        <x:v>YoY carry</x:v>
      </x:c>
      <x:c r="H506" s="7" t="n">
        <x:v>3424.2991039633935</x:v>
      </x:c>
      <x:c r="I506" s="7" t="n">
        <x:v>3421.7</x:v>
      </x:c>
      <x:c r="J506" s="2" t="str">
        <x:v>2024-08-30</x:v>
      </x:c>
      <x:c r="K506" s="7" t="n">
        <x:f>100*(H506/I506-1)</x:f>
        <x:v>0.07595943429854479</x:v>
      </x:c>
      <x:c r="L506" s="7" t="n">
        <x:f>ABS(K506)</x:f>
        <x:v>0.07595943429854479</x:v>
      </x:c>
      <x:c r="M506" s="2" t="str">
        <x:v>Yes</x:v>
      </x:c>
    </x:row>
    <x:row r="507" ht="27" customHeight="1">
      <x:c r="A507" s="2"/>
      <x:c r="B507" s="2" t="str">
        <x:v>PCENDC96</x:v>
      </x:c>
      <x:c r="C507" s="2" t="str">
        <x:v>2024-09-30</x:v>
      </x:c>
      <x:c r="D507" s="2" t="str">
        <x:v>Origin</x:v>
      </x:c>
      <x:c r="E507" s="2" t="str">
        <x:v>2024-07-01</x:v>
      </x:c>
      <x:c r="F507" s="2" t="str">
        <x:v>2024-08-01</x:v>
      </x:c>
      <x:c r="G507" s="2" t="str">
        <x:v>YoY carry</x:v>
      </x:c>
      <x:c r="H507" s="7" t="n">
        <x:v>3423.07741259287</x:v>
      </x:c>
      <x:c r="I507" s="7" t="n">
        <x:v>3420.8</x:v>
      </x:c>
      <x:c r="J507" s="2" t="str">
        <x:v>2024-09-27</x:v>
      </x:c>
      <x:c r="K507" s="7" t="n">
        <x:f>100*(H507/I507-1)</x:f>
        <x:v>0.06657543828547663</x:v>
      </x:c>
      <x:c r="L507" s="7" t="n">
        <x:f>ABS(K507)</x:f>
        <x:v>0.06657543828547663</x:v>
      </x:c>
      <x:c r="M507" s="2" t="str">
        <x:v>Yes</x:v>
      </x:c>
    </x:row>
    <x:row r="508" ht="27" customHeight="1">
      <x:c r="A508" s="2"/>
      <x:c r="B508" s="2" t="str">
        <x:v>PCENDC96</x:v>
      </x:c>
      <x:c r="C508" s="2" t="str">
        <x:v>2024-09-30</x:v>
      </x:c>
      <x:c r="D508" s="2" t="str">
        <x:v>Origin</x:v>
      </x:c>
      <x:c r="E508" s="2" t="str">
        <x:v>2024-07-01</x:v>
      </x:c>
      <x:c r="F508" s="2" t="str">
        <x:v>2024-09-01</x:v>
      </x:c>
      <x:c r="G508" s="2" t="str">
        <x:v>YoY carry</x:v>
      </x:c>
      <x:c r="H508" s="7" t="n">
        <x:v>3437.126863353891</x:v>
      </x:c>
      <x:c r="I508" s="7" t="n">
        <x:v>3446.7</x:v>
      </x:c>
      <x:c r="J508" s="2" t="str">
        <x:v>2024-10-31</x:v>
      </x:c>
      <x:c r="K508" s="7" t="n">
        <x:f>100*(H508/I508-1)</x:f>
        <x:v>-0.2777478935244937</x:v>
      </x:c>
      <x:c r="L508" s="7" t="n">
        <x:f>ABS(K508)</x:f>
        <x:v>0.2777478935244937</x:v>
      </x:c>
      <x:c r="M508" s="2" t="str">
        <x:v>Yes</x:v>
      </x:c>
    </x:row>
    <x:row r="509" ht="27" customHeight="1">
      <x:c r="A509" s="2"/>
      <x:c r="B509" s="2" t="str">
        <x:v>PCENDC96</x:v>
      </x:c>
      <x:c r="C509" s="2" t="str">
        <x:v>2024-09-30</x:v>
      </x:c>
      <x:c r="D509" s="2" t="str">
        <x:v>Origin</x:v>
      </x:c>
      <x:c r="E509" s="2" t="str">
        <x:v>2024-07-01</x:v>
      </x:c>
      <x:c r="F509" s="2" t="str">
        <x:v>2024-07-01</x:v>
      </x:c>
      <x:c r="G509" s="2" t="str">
        <x:v>Flat level</x:v>
      </x:c>
      <x:c r="H509" s="7" t="n">
        <x:v>3386.5</x:v>
      </x:c>
      <x:c r="I509" s="7" t="n">
        <x:v>3421.7</x:v>
      </x:c>
      <x:c r="J509" s="2" t="str">
        <x:v>2024-08-30</x:v>
      </x:c>
      <x:c r="K509" s="7" t="n">
        <x:f>100*(H509/I509-1)</x:f>
        <x:v>-1.02872840985474</x:v>
      </x:c>
      <x:c r="L509" s="7" t="n">
        <x:f>ABS(K509)</x:f>
        <x:v>1.02872840985474</x:v>
      </x:c>
      <x:c r="M509" s="2" t="str">
        <x:v>Yes</x:v>
      </x:c>
    </x:row>
    <x:row r="510" ht="27" customHeight="1">
      <x:c r="A510" s="2"/>
      <x:c r="B510" s="2" t="str">
        <x:v>PCENDC96</x:v>
      </x:c>
      <x:c r="C510" s="2" t="str">
        <x:v>2024-09-30</x:v>
      </x:c>
      <x:c r="D510" s="2" t="str">
        <x:v>Origin</x:v>
      </x:c>
      <x:c r="E510" s="2" t="str">
        <x:v>2024-07-01</x:v>
      </x:c>
      <x:c r="F510" s="2" t="str">
        <x:v>2024-08-01</x:v>
      </x:c>
      <x:c r="G510" s="2" t="str">
        <x:v>Flat level</x:v>
      </x:c>
      <x:c r="H510" s="7" t="n">
        <x:v>3386.5</x:v>
      </x:c>
      <x:c r="I510" s="7" t="n">
        <x:v>3420.8</x:v>
      </x:c>
      <x:c r="J510" s="2" t="str">
        <x:v>2024-09-27</x:v>
      </x:c>
      <x:c r="K510" s="7" t="n">
        <x:f>100*(H510/I510-1)</x:f>
        <x:v>-1.0026894293732491</x:v>
      </x:c>
      <x:c r="L510" s="7" t="n">
        <x:f>ABS(K510)</x:f>
        <x:v>1.0026894293732491</x:v>
      </x:c>
      <x:c r="M510" s="2" t="str">
        <x:v>Yes</x:v>
      </x:c>
    </x:row>
    <x:row r="511" ht="27" customHeight="1">
      <x:c r="A511" s="2"/>
      <x:c r="B511" s="2" t="str">
        <x:v>PCENDC96</x:v>
      </x:c>
      <x:c r="C511" s="2" t="str">
        <x:v>2024-09-30</x:v>
      </x:c>
      <x:c r="D511" s="2" t="str">
        <x:v>Origin</x:v>
      </x:c>
      <x:c r="E511" s="2" t="str">
        <x:v>2024-07-01</x:v>
      </x:c>
      <x:c r="F511" s="2" t="str">
        <x:v>2024-09-01</x:v>
      </x:c>
      <x:c r="G511" s="2" t="str">
        <x:v>Flat level</x:v>
      </x:c>
      <x:c r="H511" s="7" t="n">
        <x:v>3386.5</x:v>
      </x:c>
      <x:c r="I511" s="7" t="n">
        <x:v>3446.7</x:v>
      </x:c>
      <x:c r="J511" s="2" t="str">
        <x:v>2024-10-31</x:v>
      </x:c>
      <x:c r="K511" s="7" t="n">
        <x:f>100*(H511/I511-1)</x:f>
        <x:v>-1.7465981953752818</x:v>
      </x:c>
      <x:c r="L511" s="7" t="n">
        <x:f>ABS(K511)</x:f>
        <x:v>1.7465981953752818</x:v>
      </x:c>
      <x:c r="M511" s="2" t="str">
        <x:v>Yes</x:v>
      </x:c>
    </x:row>
    <x:row r="512" ht="27" customHeight="1">
      <x:c r="A512" s="2"/>
      <x:c r="B512" s="2" t="str">
        <x:v>PCENDC96</x:v>
      </x:c>
      <x:c r="C512" s="2" t="str">
        <x:v>2024-09-30</x:v>
      </x:c>
      <x:c r="D512" s="2" t="str">
        <x:v>Origin</x:v>
      </x:c>
      <x:c r="E512" s="2" t="str">
        <x:v>2024-07-01</x:v>
      </x:c>
      <x:c r="F512" s="2" t="str">
        <x:v>2024-07-01</x:v>
      </x:c>
      <x:c r="G512" s="2" t="str">
        <x:v>Recent trend</x:v>
      </x:c>
      <x:c r="H512" s="7" t="n">
        <x:v>3374.2</x:v>
      </x:c>
      <x:c r="I512" s="7" t="n">
        <x:v>3421.7</x:v>
      </x:c>
      <x:c r="J512" s="2" t="str">
        <x:v>2024-08-30</x:v>
      </x:c>
      <x:c r="K512" s="7" t="n">
        <x:f>100*(H512/I512-1)</x:f>
        <x:v>-1.3881988485255903</x:v>
      </x:c>
      <x:c r="L512" s="7" t="n">
        <x:f>ABS(K512)</x:f>
        <x:v>1.3881988485255903</x:v>
      </x:c>
      <x:c r="M512" s="2" t="str">
        <x:v>Yes</x:v>
      </x:c>
    </x:row>
    <x:row r="513" ht="27" customHeight="1">
      <x:c r="A513" s="2"/>
      <x:c r="B513" s="2" t="str">
        <x:v>PCENDC96</x:v>
      </x:c>
      <x:c r="C513" s="2" t="str">
        <x:v>2024-09-30</x:v>
      </x:c>
      <x:c r="D513" s="2" t="str">
        <x:v>Origin</x:v>
      </x:c>
      <x:c r="E513" s="2" t="str">
        <x:v>2024-07-01</x:v>
      </x:c>
      <x:c r="F513" s="2" t="str">
        <x:v>2024-08-01</x:v>
      </x:c>
      <x:c r="G513" s="2" t="str">
        <x:v>Recent trend</x:v>
      </x:c>
      <x:c r="H513" s="7" t="n">
        <x:v>3368.0499999999997</x:v>
      </x:c>
      <x:c r="I513" s="7" t="n">
        <x:v>3420.8</x:v>
      </x:c>
      <x:c r="J513" s="2" t="str">
        <x:v>2024-09-27</x:v>
      </x:c>
      <x:c r="K513" s="7" t="n">
        <x:f>100*(H513/I513-1)</x:f>
        <x:v>-1.5420369504209663</x:v>
      </x:c>
      <x:c r="L513" s="7" t="n">
        <x:f>ABS(K513)</x:f>
        <x:v>1.5420369504209663</x:v>
      </x:c>
      <x:c r="M513" s="2" t="str">
        <x:v>Yes</x:v>
      </x:c>
    </x:row>
    <x:row r="514" ht="27" customHeight="1">
      <x:c r="A514" s="2"/>
      <x:c r="B514" s="2" t="str">
        <x:v>PCENDC96</x:v>
      </x:c>
      <x:c r="C514" s="2" t="str">
        <x:v>2024-09-30</x:v>
      </x:c>
      <x:c r="D514" s="2" t="str">
        <x:v>Origin</x:v>
      </x:c>
      <x:c r="E514" s="2" t="str">
        <x:v>2024-07-01</x:v>
      </x:c>
      <x:c r="F514" s="2" t="str">
        <x:v>2024-09-01</x:v>
      </x:c>
      <x:c r="G514" s="2" t="str">
        <x:v>Recent trend</x:v>
      </x:c>
      <x:c r="H514" s="7" t="n">
        <x:v>3361.8999999999996</x:v>
      </x:c>
      <x:c r="I514" s="7" t="n">
        <x:v>3446.7</x:v>
      </x:c>
      <x:c r="J514" s="2" t="str">
        <x:v>2024-10-31</x:v>
      </x:c>
      <x:c r="K514" s="7" t="n">
        <x:f>100*(H514/I514-1)</x:f>
        <x:v>-2.4603243682362885</x:v>
      </x:c>
      <x:c r="L514" s="7" t="n">
        <x:f>ABS(K514)</x:f>
        <x:v>2.4603243682362885</x:v>
      </x:c>
      <x:c r="M514" s="2" t="str">
        <x:v>Yes</x:v>
      </x:c>
    </x:row>
    <x:row r="515" ht="27" customHeight="1">
      <x:c r="A515" s="2"/>
      <x:c r="B515" s="2" t="str">
        <x:v>PCENDC96</x:v>
      </x:c>
      <x:c r="C515" s="2" t="str">
        <x:v>2024-09-30</x:v>
      </x:c>
      <x:c r="D515" s="2" t="str">
        <x:v>One month</x:v>
      </x:c>
      <x:c r="E515" s="2" t="str">
        <x:v>2024-08-30</x:v>
      </x:c>
      <x:c r="F515" s="2" t="str">
        <x:v>2024-08-01</x:v>
      </x:c>
      <x:c r="G515" s="2" t="str">
        <x:v>YoY carry</x:v>
      </x:c>
      <x:c r="H515" s="7" t="n">
        <x:v>3427.870983118803</x:v>
      </x:c>
      <x:c r="I515" s="7" t="n">
        <x:v>3420.8</x:v>
      </x:c>
      <x:c r="J515" s="2" t="str">
        <x:v>2024-09-27</x:v>
      </x:c>
      <x:c r="K515" s="7" t="n">
        <x:f>100*(H515/I515-1)</x:f>
        <x:v>0.20670554018951126</x:v>
      </x:c>
      <x:c r="L515" s="7" t="n">
        <x:f>ABS(K515)</x:f>
        <x:v>0.20670554018951126</x:v>
      </x:c>
      <x:c r="M515" s="2" t="str">
        <x:v>Yes</x:v>
      </x:c>
    </x:row>
    <x:row r="516" ht="27" customHeight="1">
      <x:c r="A516" s="2"/>
      <x:c r="B516" s="2" t="str">
        <x:v>PCENDC96</x:v>
      </x:c>
      <x:c r="C516" s="2" t="str">
        <x:v>2024-09-30</x:v>
      </x:c>
      <x:c r="D516" s="2" t="str">
        <x:v>One month</x:v>
      </x:c>
      <x:c r="E516" s="2" t="str">
        <x:v>2024-08-30</x:v>
      </x:c>
      <x:c r="F516" s="2" t="str">
        <x:v>2024-09-01</x:v>
      </x:c>
      <x:c r="G516" s="2" t="str">
        <x:v>YoY carry</x:v>
      </x:c>
      <x:c r="H516" s="7" t="n">
        <x:v>3441.940108291167</x:v>
      </x:c>
      <x:c r="I516" s="7" t="n">
        <x:v>3446.7</x:v>
      </x:c>
      <x:c r="J516" s="2" t="str">
        <x:v>2024-10-31</x:v>
      </x:c>
      <x:c r="K516" s="7" t="n">
        <x:f>100*(H516/I516-1)</x:f>
        <x:v>-0.13809997124301088</x:v>
      </x:c>
      <x:c r="L516" s="7" t="n">
        <x:f>ABS(K516)</x:f>
        <x:v>0.13809997124301088</x:v>
      </x:c>
      <x:c r="M516" s="2" t="str">
        <x:v>Yes</x:v>
      </x:c>
    </x:row>
    <x:row r="517" ht="27" customHeight="1">
      <x:c r="A517" s="2"/>
      <x:c r="B517" s="2" t="str">
        <x:v>PCENDC96</x:v>
      </x:c>
      <x:c r="C517" s="2" t="str">
        <x:v>2024-09-30</x:v>
      </x:c>
      <x:c r="D517" s="2" t="str">
        <x:v>One month</x:v>
      </x:c>
      <x:c r="E517" s="2" t="str">
        <x:v>2024-08-30</x:v>
      </x:c>
      <x:c r="F517" s="2" t="str">
        <x:v>2024-08-01</x:v>
      </x:c>
      <x:c r="G517" s="2" t="str">
        <x:v>Flat level</x:v>
      </x:c>
      <x:c r="H517" s="7" t="n">
        <x:v>3421.7</x:v>
      </x:c>
      <x:c r="I517" s="7" t="n">
        <x:v>3420.8</x:v>
      </x:c>
      <x:c r="J517" s="2" t="str">
        <x:v>2024-09-27</x:v>
      </x:c>
      <x:c r="K517" s="7" t="n">
        <x:f>100*(H517/I517-1)</x:f>
        <x:v>0.026309635173049628</x:v>
      </x:c>
      <x:c r="L517" s="7" t="n">
        <x:f>ABS(K517)</x:f>
        <x:v>0.026309635173049628</x:v>
      </x:c>
      <x:c r="M517" s="2" t="str">
        <x:v>Yes</x:v>
      </x:c>
    </x:row>
    <x:row r="518" ht="27" customHeight="1">
      <x:c r="A518" s="2"/>
      <x:c r="B518" s="2" t="str">
        <x:v>PCENDC96</x:v>
      </x:c>
      <x:c r="C518" s="2" t="str">
        <x:v>2024-09-30</x:v>
      </x:c>
      <x:c r="D518" s="2" t="str">
        <x:v>One month</x:v>
      </x:c>
      <x:c r="E518" s="2" t="str">
        <x:v>2024-08-30</x:v>
      </x:c>
      <x:c r="F518" s="2" t="str">
        <x:v>2024-09-01</x:v>
      </x:c>
      <x:c r="G518" s="2" t="str">
        <x:v>Flat level</x:v>
      </x:c>
      <x:c r="H518" s="7" t="n">
        <x:v>3421.7</x:v>
      </x:c>
      <x:c r="I518" s="7" t="n">
        <x:v>3446.7</x:v>
      </x:c>
      <x:c r="J518" s="2" t="str">
        <x:v>2024-10-31</x:v>
      </x:c>
      <x:c r="K518" s="7" t="n">
        <x:f>100*(H518/I518-1)</x:f>
        <x:v>-0.7253314764847585</x:v>
      </x:c>
      <x:c r="L518" s="7" t="n">
        <x:f>ABS(K518)</x:f>
        <x:v>0.7253314764847585</x:v>
      </x:c>
      <x:c r="M518" s="2" t="str">
        <x:v>Yes</x:v>
      </x:c>
    </x:row>
    <x:row r="519" ht="27" customHeight="1">
      <x:c r="A519" s="2"/>
      <x:c r="B519" s="2" t="str">
        <x:v>PCENDC96</x:v>
      </x:c>
      <x:c r="C519" s="2" t="str">
        <x:v>2024-09-30</x:v>
      </x:c>
      <x:c r="D519" s="2" t="str">
        <x:v>One month</x:v>
      </x:c>
      <x:c r="E519" s="2" t="str">
        <x:v>2024-08-30</x:v>
      </x:c>
      <x:c r="F519" s="2" t="str">
        <x:v>2024-08-01</x:v>
      </x:c>
      <x:c r="G519" s="2" t="str">
        <x:v>Recent trend</x:v>
      </x:c>
      <x:c r="H519" s="7" t="n">
        <x:v>3433.5999999999995</x:v>
      </x:c>
      <x:c r="I519" s="7" t="n">
        <x:v>3420.8</x:v>
      </x:c>
      <x:c r="J519" s="2" t="str">
        <x:v>2024-09-27</x:v>
      </x:c>
      <x:c r="K519" s="7" t="n">
        <x:f>100*(H519/I519-1)</x:f>
        <x:v>0.3741814780168218</x:v>
      </x:c>
      <x:c r="L519" s="7" t="n">
        <x:f>ABS(K519)</x:f>
        <x:v>0.3741814780168218</x:v>
      </x:c>
      <x:c r="M519" s="2" t="str">
        <x:v>Yes</x:v>
      </x:c>
    </x:row>
    <x:row r="520" ht="27" customHeight="1">
      <x:c r="A520" s="2"/>
      <x:c r="B520" s="2" t="str">
        <x:v>PCENDC96</x:v>
      </x:c>
      <x:c r="C520" s="2" t="str">
        <x:v>2024-09-30</x:v>
      </x:c>
      <x:c r="D520" s="2" t="str">
        <x:v>One month</x:v>
      </x:c>
      <x:c r="E520" s="2" t="str">
        <x:v>2024-08-30</x:v>
      </x:c>
      <x:c r="F520" s="2" t="str">
        <x:v>2024-09-01</x:v>
      </x:c>
      <x:c r="G520" s="2" t="str">
        <x:v>Recent trend</x:v>
      </x:c>
      <x:c r="H520" s="7" t="n">
        <x:v>3445.4999999999995</x:v>
      </x:c>
      <x:c r="I520" s="7" t="n">
        <x:v>3446.7</x:v>
      </x:c>
      <x:c r="J520" s="2" t="str">
        <x:v>2024-10-31</x:v>
      </x:c>
      <x:c r="K520" s="7" t="n">
        <x:f>100*(H520/I520-1)</x:f>
        <x:v>-0.034815910871277556</x:v>
      </x:c>
      <x:c r="L520" s="7" t="n">
        <x:f>ABS(K520)</x:f>
        <x:v>0.034815910871277556</x:v>
      </x:c>
      <x:c r="M520" s="2" t="str">
        <x:v>Yes</x:v>
      </x:c>
    </x:row>
    <x:row r="521" ht="27" customHeight="1">
      <x:c r="A521" s="2"/>
      <x:c r="B521" s="2" t="str">
        <x:v>PCENDC96</x:v>
      </x:c>
      <x:c r="C521" s="2" t="str">
        <x:v>2024-09-30</x:v>
      </x:c>
      <x:c r="D521" s="2" t="str">
        <x:v>Two months</x:v>
      </x:c>
      <x:c r="E521" s="2" t="str">
        <x:v>2024-09-27</x:v>
      </x:c>
      <x:c r="F521" s="2" t="str">
        <x:v>2024-09-01</x:v>
      </x:c>
      <x:c r="G521" s="2" t="str">
        <x:v>YoY carry</x:v>
      </x:c>
      <x:c r="H521" s="7" t="n">
        <x:v>3435.966608956108</x:v>
      </x:c>
      <x:c r="I521" s="7" t="n">
        <x:v>3446.7</x:v>
      </x:c>
      <x:c r="J521" s="2" t="str">
        <x:v>2024-10-31</x:v>
      </x:c>
      <x:c r="K521" s="7" t="n">
        <x:f>100*(H521/I521-1)</x:f>
        <x:v>-0.3114106549421791</x:v>
      </x:c>
      <x:c r="L521" s="7" t="n">
        <x:f>ABS(K521)</x:f>
        <x:v>0.3114106549421791</x:v>
      </x:c>
      <x:c r="M521" s="2" t="str">
        <x:v>Yes</x:v>
      </x:c>
    </x:row>
    <x:row r="522" ht="27" customHeight="1">
      <x:c r="A522" s="2"/>
      <x:c r="B522" s="2" t="str">
        <x:v>PCENDC96</x:v>
      </x:c>
      <x:c r="C522" s="2" t="str">
        <x:v>2024-09-30</x:v>
      </x:c>
      <x:c r="D522" s="2" t="str">
        <x:v>Two months</x:v>
      </x:c>
      <x:c r="E522" s="2" t="str">
        <x:v>2024-09-27</x:v>
      </x:c>
      <x:c r="F522" s="2" t="str">
        <x:v>2024-09-01</x:v>
      </x:c>
      <x:c r="G522" s="2" t="str">
        <x:v>Flat level</x:v>
      </x:c>
      <x:c r="H522" s="7" t="n">
        <x:v>3420.8</x:v>
      </x:c>
      <x:c r="I522" s="7" t="n">
        <x:v>3446.7</x:v>
      </x:c>
      <x:c r="J522" s="2" t="str">
        <x:v>2024-10-31</x:v>
      </x:c>
      <x:c r="K522" s="7" t="n">
        <x:f>100*(H522/I522-1)</x:f>
        <x:v>-0.7514434096381972</x:v>
      </x:c>
      <x:c r="L522" s="7" t="n">
        <x:f>ABS(K522)</x:f>
        <x:v>0.7514434096381972</x:v>
      </x:c>
      <x:c r="M522" s="2" t="str">
        <x:v>Yes</x:v>
      </x:c>
    </x:row>
    <x:row r="523" ht="27" customHeight="1">
      <x:c r="A523" s="2"/>
      <x:c r="B523" s="2" t="str">
        <x:v>PCENDC96</x:v>
      </x:c>
      <x:c r="C523" s="2" t="str">
        <x:v>2024-09-30</x:v>
      </x:c>
      <x:c r="D523" s="2" t="str">
        <x:v>Two months</x:v>
      </x:c>
      <x:c r="E523" s="2" t="str">
        <x:v>2024-09-27</x:v>
      </x:c>
      <x:c r="F523" s="2" t="str">
        <x:v>2024-09-01</x:v>
      </x:c>
      <x:c r="G523" s="2" t="str">
        <x:v>Recent trend</x:v>
      </x:c>
      <x:c r="H523" s="7" t="n">
        <x:v>3432.3500000000004</x:v>
      </x:c>
      <x:c r="I523" s="7" t="n">
        <x:v>3446.7</x:v>
      </x:c>
      <x:c r="J523" s="2" t="str">
        <x:v>2024-10-31</x:v>
      </x:c>
      <x:c r="K523" s="7" t="n">
        <x:f>100*(H523/I523-1)</x:f>
        <x:v>-0.4163402675022354</x:v>
      </x:c>
      <x:c r="L523" s="7" t="n">
        <x:f>ABS(K523)</x:f>
        <x:v>0.4163402675022354</x:v>
      </x:c>
      <x:c r="M523" s="2" t="str">
        <x:v>Yes</x:v>
      </x:c>
    </x:row>
    <x:row r="524" ht="27" customHeight="1">
      <x:c r="A524" s="2"/>
      <x:c r="B524" s="2" t="str">
        <x:v>PCENDC96</x:v>
      </x:c>
      <x:c r="C524" s="2" t="str">
        <x:v>2024-09-30</x:v>
      </x:c>
      <x:c r="D524" s="2" t="str">
        <x:v>Pre-earnings</x:v>
      </x:c>
      <x:c r="E524" s="2" t="str">
        <x:v>2024-10-17</x:v>
      </x:c>
      <x:c r="F524" s="2" t="str">
        <x:v>2024-09-01</x:v>
      </x:c>
      <x:c r="G524" s="2" t="str">
        <x:v>YoY carry</x:v>
      </x:c>
      <x:c r="H524" s="7" t="n">
        <x:v>3435.966608956108</x:v>
      </x:c>
      <x:c r="I524" s="7" t="n">
        <x:v>3446.7</x:v>
      </x:c>
      <x:c r="J524" s="2" t="str">
        <x:v>2024-10-31</x:v>
      </x:c>
      <x:c r="K524" s="7" t="n">
        <x:f>100*(H524/I524-1)</x:f>
        <x:v>-0.3114106549421791</x:v>
      </x:c>
      <x:c r="L524" s="7" t="n">
        <x:f>ABS(K524)</x:f>
        <x:v>0.3114106549421791</x:v>
      </x:c>
      <x:c r="M524" s="2" t="str">
        <x:v>Yes</x:v>
      </x:c>
    </x:row>
    <x:row r="525" ht="27" customHeight="1">
      <x:c r="A525" s="2"/>
      <x:c r="B525" s="2" t="str">
        <x:v>PCENDC96</x:v>
      </x:c>
      <x:c r="C525" s="2" t="str">
        <x:v>2024-09-30</x:v>
      </x:c>
      <x:c r="D525" s="2" t="str">
        <x:v>Pre-earnings</x:v>
      </x:c>
      <x:c r="E525" s="2" t="str">
        <x:v>2024-10-17</x:v>
      </x:c>
      <x:c r="F525" s="2" t="str">
        <x:v>2024-09-01</x:v>
      </x:c>
      <x:c r="G525" s="2" t="str">
        <x:v>Flat level</x:v>
      </x:c>
      <x:c r="H525" s="7" t="n">
        <x:v>3420.8</x:v>
      </x:c>
      <x:c r="I525" s="7" t="n">
        <x:v>3446.7</x:v>
      </x:c>
      <x:c r="J525" s="2" t="str">
        <x:v>2024-10-31</x:v>
      </x:c>
      <x:c r="K525" s="7" t="n">
        <x:f>100*(H525/I525-1)</x:f>
        <x:v>-0.7514434096381972</x:v>
      </x:c>
      <x:c r="L525" s="7" t="n">
        <x:f>ABS(K525)</x:f>
        <x:v>0.7514434096381972</x:v>
      </x:c>
      <x:c r="M525" s="2" t="str">
        <x:v>Yes</x:v>
      </x:c>
    </x:row>
    <x:row r="526" ht="27" customHeight="1">
      <x:c r="A526" s="2"/>
      <x:c r="B526" s="2" t="str">
        <x:v>PCENDC96</x:v>
      </x:c>
      <x:c r="C526" s="2" t="str">
        <x:v>2024-09-30</x:v>
      </x:c>
      <x:c r="D526" s="2" t="str">
        <x:v>Pre-earnings</x:v>
      </x:c>
      <x:c r="E526" s="2" t="str">
        <x:v>2024-10-17</x:v>
      </x:c>
      <x:c r="F526" s="2" t="str">
        <x:v>2024-09-01</x:v>
      </x:c>
      <x:c r="G526" s="2" t="str">
        <x:v>Recent trend</x:v>
      </x:c>
      <x:c r="H526" s="7" t="n">
        <x:v>3432.3500000000004</x:v>
      </x:c>
      <x:c r="I526" s="7" t="n">
        <x:v>3446.7</x:v>
      </x:c>
      <x:c r="J526" s="2" t="str">
        <x:v>2024-10-31</x:v>
      </x:c>
      <x:c r="K526" s="7" t="n">
        <x:f>100*(H526/I526-1)</x:f>
        <x:v>-0.4163402675022354</x:v>
      </x:c>
      <x:c r="L526" s="7" t="n">
        <x:f>ABS(K526)</x:f>
        <x:v>0.4163402675022354</x:v>
      </x:c>
      <x:c r="M526" s="2" t="str">
        <x:v>Yes</x:v>
      </x:c>
    </x:row>
    <x:row r="527" ht="27" customHeight="1">
      <x:c r="A527" s="2"/>
      <x:c r="B527" s="2" t="str">
        <x:v>PCENDC96</x:v>
      </x:c>
      <x:c r="C527" s="2" t="str">
        <x:v>2024-12-31</x:v>
      </x:c>
      <x:c r="D527" s="2" t="str">
        <x:v>Origin</x:v>
      </x:c>
      <x:c r="E527" s="2" t="str">
        <x:v>2024-10-01</x:v>
      </x:c>
      <x:c r="F527" s="2" t="str">
        <x:v>2024-10-01</x:v>
      </x:c>
      <x:c r="G527" s="2" t="str">
        <x:v>YoY carry</x:v>
      </x:c>
      <x:c r="H527" s="7" t="n">
        <x:v>3443.6313867935223</x:v>
      </x:c>
      <x:c r="I527" s="7" t="n">
        <x:v>3444.7</x:v>
      </x:c>
      <x:c r="J527" s="2" t="str">
        <x:v>2024-11-27</x:v>
      </x:c>
      <x:c r="K527" s="7" t="n">
        <x:f>100*(H527/I527-1)</x:f>
        <x:v>-0.031021952752852133</x:v>
      </x:c>
      <x:c r="L527" s="7" t="n">
        <x:f>ABS(K527)</x:f>
        <x:v>0.031021952752852133</x:v>
      </x:c>
      <x:c r="M527" s="2" t="str">
        <x:v>Yes</x:v>
      </x:c>
    </x:row>
    <x:row r="528" ht="27" customHeight="1">
      <x:c r="A528" s="2"/>
      <x:c r="B528" s="2" t="str">
        <x:v>PCENDC96</x:v>
      </x:c>
      <x:c r="C528" s="2" t="str">
        <x:v>2024-12-31</x:v>
      </x:c>
      <x:c r="D528" s="2" t="str">
        <x:v>Origin</x:v>
      </x:c>
      <x:c r="E528" s="2" t="str">
        <x:v>2024-10-01</x:v>
      </x:c>
      <x:c r="F528" s="2" t="str">
        <x:v>2024-11-01</x:v>
      </x:c>
      <x:c r="G528" s="2" t="str">
        <x:v>YoY carry</x:v>
      </x:c>
      <x:c r="H528" s="7" t="n">
        <x:v>3449.9676031391186</x:v>
      </x:c>
      <x:c r="I528" s="7" t="n">
        <x:v>3448.5</x:v>
      </x:c>
      <x:c r="J528" s="2" t="str">
        <x:v>2024-12-20</x:v>
      </x:c>
      <x:c r="K528" s="7" t="n">
        <x:f>100*(H528/I528-1)</x:f>
        <x:v>0.04255772478232167</x:v>
      </x:c>
      <x:c r="L528" s="7" t="n">
        <x:f>ABS(K528)</x:f>
        <x:v>0.04255772478232167</x:v>
      </x:c>
      <x:c r="M528" s="2" t="str">
        <x:v>Yes</x:v>
      </x:c>
    </x:row>
    <x:row r="529" ht="27" customHeight="1">
      <x:c r="A529" s="2"/>
      <x:c r="B529" s="2" t="str">
        <x:v>PCENDC96</x:v>
      </x:c>
      <x:c r="C529" s="2" t="str">
        <x:v>2024-12-31</x:v>
      </x:c>
      <x:c r="D529" s="2" t="str">
        <x:v>Origin</x:v>
      </x:c>
      <x:c r="E529" s="2" t="str">
        <x:v>2024-10-01</x:v>
      </x:c>
      <x:c r="F529" s="2" t="str">
        <x:v>2024-12-01</x:v>
      </x:c>
      <x:c r="G529" s="2" t="str">
        <x:v>YoY carry</x:v>
      </x:c>
      <x:c r="H529" s="7" t="n">
        <x:v>3474.3926951810117</x:v>
      </x:c>
      <x:c r="I529" s="7" t="n">
        <x:v>3473.1</x:v>
      </x:c>
      <x:c r="J529" s="2" t="str">
        <x:v>2025-01-31</x:v>
      </x:c>
      <x:c r="K529" s="7" t="n">
        <x:f>100*(H529/I529-1)</x:f>
        <x:v>0.03722021194356717</x:v>
      </x:c>
      <x:c r="L529" s="7" t="n">
        <x:f>ABS(K529)</x:f>
        <x:v>0.03722021194356717</x:v>
      </x:c>
      <x:c r="M529" s="2" t="str">
        <x:v>Yes</x:v>
      </x:c>
    </x:row>
    <x:row r="530" ht="27" customHeight="1">
      <x:c r="A530" s="2"/>
      <x:c r="B530" s="2" t="str">
        <x:v>PCENDC96</x:v>
      </x:c>
      <x:c r="C530" s="2" t="str">
        <x:v>2024-12-31</x:v>
      </x:c>
      <x:c r="D530" s="2" t="str">
        <x:v>Origin</x:v>
      </x:c>
      <x:c r="E530" s="2" t="str">
        <x:v>2024-10-01</x:v>
      </x:c>
      <x:c r="F530" s="2" t="str">
        <x:v>2024-10-01</x:v>
      </x:c>
      <x:c r="G530" s="2" t="str">
        <x:v>Flat level</x:v>
      </x:c>
      <x:c r="H530" s="7" t="n">
        <x:v>3420.8</x:v>
      </x:c>
      <x:c r="I530" s="7" t="n">
        <x:v>3444.7</x:v>
      </x:c>
      <x:c r="J530" s="2" t="str">
        <x:v>2024-11-27</x:v>
      </x:c>
      <x:c r="K530" s="7" t="n">
        <x:f>100*(H530/I530-1)</x:f>
        <x:v>-0.6938194908119644</x:v>
      </x:c>
      <x:c r="L530" s="7" t="n">
        <x:f>ABS(K530)</x:f>
        <x:v>0.6938194908119644</x:v>
      </x:c>
      <x:c r="M530" s="2" t="str">
        <x:v>Yes</x:v>
      </x:c>
    </x:row>
    <x:row r="531" ht="27" customHeight="1">
      <x:c r="A531" s="2"/>
      <x:c r="B531" s="2" t="str">
        <x:v>PCENDC96</x:v>
      </x:c>
      <x:c r="C531" s="2" t="str">
        <x:v>2024-12-31</x:v>
      </x:c>
      <x:c r="D531" s="2" t="str">
        <x:v>Origin</x:v>
      </x:c>
      <x:c r="E531" s="2" t="str">
        <x:v>2024-10-01</x:v>
      </x:c>
      <x:c r="F531" s="2" t="str">
        <x:v>2024-11-01</x:v>
      </x:c>
      <x:c r="G531" s="2" t="str">
        <x:v>Flat level</x:v>
      </x:c>
      <x:c r="H531" s="7" t="n">
        <x:v>3420.8</x:v>
      </x:c>
      <x:c r="I531" s="7" t="n">
        <x:v>3448.5</x:v>
      </x:c>
      <x:c r="J531" s="2" t="str">
        <x:v>2024-12-20</x:v>
      </x:c>
      <x:c r="K531" s="7" t="n">
        <x:f>100*(H531/I531-1)</x:f>
        <x:v>-0.8032477888937128</x:v>
      </x:c>
      <x:c r="L531" s="7" t="n">
        <x:f>ABS(K531)</x:f>
        <x:v>0.8032477888937128</x:v>
      </x:c>
      <x:c r="M531" s="2" t="str">
        <x:v>Yes</x:v>
      </x:c>
    </x:row>
    <x:row r="532" ht="27" customHeight="1">
      <x:c r="A532" s="2"/>
      <x:c r="B532" s="2" t="str">
        <x:v>PCENDC96</x:v>
      </x:c>
      <x:c r="C532" s="2" t="str">
        <x:v>2024-12-31</x:v>
      </x:c>
      <x:c r="D532" s="2" t="str">
        <x:v>Origin</x:v>
      </x:c>
      <x:c r="E532" s="2" t="str">
        <x:v>2024-10-01</x:v>
      </x:c>
      <x:c r="F532" s="2" t="str">
        <x:v>2024-12-01</x:v>
      </x:c>
      <x:c r="G532" s="2" t="str">
        <x:v>Flat level</x:v>
      </x:c>
      <x:c r="H532" s="7" t="n">
        <x:v>3420.8</x:v>
      </x:c>
      <x:c r="I532" s="7" t="n">
        <x:v>3473.1</x:v>
      </x:c>
      <x:c r="J532" s="2" t="str">
        <x:v>2025-01-31</x:v>
      </x:c>
      <x:c r="K532" s="7" t="n">
        <x:f>100*(H532/I532-1)</x:f>
        <x:v>-1.5058593187642133</x:v>
      </x:c>
      <x:c r="L532" s="7" t="n">
        <x:f>ABS(K532)</x:f>
        <x:v>1.5058593187642133</x:v>
      </x:c>
      <x:c r="M532" s="2" t="str">
        <x:v>Yes</x:v>
      </x:c>
    </x:row>
    <x:row r="533" ht="27" customHeight="1">
      <x:c r="A533" s="2"/>
      <x:c r="B533" s="2" t="str">
        <x:v>PCENDC96</x:v>
      </x:c>
      <x:c r="C533" s="2" t="str">
        <x:v>2024-12-31</x:v>
      </x:c>
      <x:c r="D533" s="2" t="str">
        <x:v>Origin</x:v>
      </x:c>
      <x:c r="E533" s="2" t="str">
        <x:v>2024-10-01</x:v>
      </x:c>
      <x:c r="F533" s="2" t="str">
        <x:v>2024-10-01</x:v>
      </x:c>
      <x:c r="G533" s="2" t="str">
        <x:v>Recent trend</x:v>
      </x:c>
      <x:c r="H533" s="7" t="n">
        <x:v>3443.9000000000005</x:v>
      </x:c>
      <x:c r="I533" s="7" t="n">
        <x:v>3444.7</x:v>
      </x:c>
      <x:c r="J533" s="2" t="str">
        <x:v>2024-11-27</x:v>
      </x:c>
      <x:c r="K533" s="7" t="n">
        <x:f>100*(H533/I533-1)</x:f>
        <x:v>-0.023224083374440152</x:v>
      </x:c>
      <x:c r="L533" s="7" t="n">
        <x:f>ABS(K533)</x:f>
        <x:v>0.023224083374440152</x:v>
      </x:c>
      <x:c r="M533" s="2" t="str">
        <x:v>Yes</x:v>
      </x:c>
    </x:row>
    <x:row r="534" ht="27" customHeight="1">
      <x:c r="A534" s="2"/>
      <x:c r="B534" s="2" t="str">
        <x:v>PCENDC96</x:v>
      </x:c>
      <x:c r="C534" s="2" t="str">
        <x:v>2024-12-31</x:v>
      </x:c>
      <x:c r="D534" s="2" t="str">
        <x:v>Origin</x:v>
      </x:c>
      <x:c r="E534" s="2" t="str">
        <x:v>2024-10-01</x:v>
      </x:c>
      <x:c r="F534" s="2" t="str">
        <x:v>2024-11-01</x:v>
      </x:c>
      <x:c r="G534" s="2" t="str">
        <x:v>Recent trend</x:v>
      </x:c>
      <x:c r="H534" s="7" t="n">
        <x:v>3455.4500000000007</x:v>
      </x:c>
      <x:c r="I534" s="7" t="n">
        <x:v>3448.5</x:v>
      </x:c>
      <x:c r="J534" s="2" t="str">
        <x:v>2024-12-20</x:v>
      </x:c>
      <x:c r="K534" s="7" t="n">
        <x:f>100*(H534/I534-1)</x:f>
        <x:v>0.2015369001015177</x:v>
      </x:c>
      <x:c r="L534" s="7" t="n">
        <x:f>ABS(K534)</x:f>
        <x:v>0.2015369001015177</x:v>
      </x:c>
      <x:c r="M534" s="2" t="str">
        <x:v>Yes</x:v>
      </x:c>
    </x:row>
    <x:row r="535" ht="27" customHeight="1">
      <x:c r="A535" s="2"/>
      <x:c r="B535" s="2" t="str">
        <x:v>PCENDC96</x:v>
      </x:c>
      <x:c r="C535" s="2" t="str">
        <x:v>2024-12-31</x:v>
      </x:c>
      <x:c r="D535" s="2" t="str">
        <x:v>Origin</x:v>
      </x:c>
      <x:c r="E535" s="2" t="str">
        <x:v>2024-10-01</x:v>
      </x:c>
      <x:c r="F535" s="2" t="str">
        <x:v>2024-12-01</x:v>
      </x:c>
      <x:c r="G535" s="2" t="str">
        <x:v>Recent trend</x:v>
      </x:c>
      <x:c r="H535" s="7" t="n">
        <x:v>3467.000000000001</x:v>
      </x:c>
      <x:c r="I535" s="7" t="n">
        <x:v>3473.1</x:v>
      </x:c>
      <x:c r="J535" s="2" t="str">
        <x:v>2025-01-31</x:v>
      </x:c>
      <x:c r="K535" s="7" t="n">
        <x:f>100*(H535/I535-1)</x:f>
        <x:v>-0.17563559932046724</x:v>
      </x:c>
      <x:c r="L535" s="7" t="n">
        <x:f>ABS(K535)</x:f>
        <x:v>0.17563559932046724</x:v>
      </x:c>
      <x:c r="M535" s="2" t="str">
        <x:v>Yes</x:v>
      </x:c>
    </x:row>
    <x:row r="536" ht="27" customHeight="1">
      <x:c r="A536" s="2"/>
      <x:c r="B536" s="2" t="str">
        <x:v>PCENDC96</x:v>
      </x:c>
      <x:c r="C536" s="2" t="str">
        <x:v>2024-12-31</x:v>
      </x:c>
      <x:c r="D536" s="2" t="str">
        <x:v>One month</x:v>
      </x:c>
      <x:c r="E536" s="2" t="str">
        <x:v>2024-11-27</x:v>
      </x:c>
      <x:c r="F536" s="2" t="str">
        <x:v>2024-11-01</x:v>
      </x:c>
      <x:c r="G536" s="2" t="str">
        <x:v>YoY carry</x:v>
      </x:c>
      <x:c r="H536" s="7" t="n">
        <x:v>3451.0063448855853</x:v>
      </x:c>
      <x:c r="I536" s="7" t="n">
        <x:v>3448.5</x:v>
      </x:c>
      <x:c r="J536" s="2" t="str">
        <x:v>2024-12-20</x:v>
      </x:c>
      <x:c r="K536" s="7" t="n">
        <x:f>100*(H536/I536-1)</x:f>
        <x:v>0.07267927752894199</x:v>
      </x:c>
      <x:c r="L536" s="7" t="n">
        <x:f>ABS(K536)</x:f>
        <x:v>0.07267927752894199</x:v>
      </x:c>
      <x:c r="M536" s="2" t="str">
        <x:v>Yes</x:v>
      </x:c>
    </x:row>
    <x:row r="537" ht="27" customHeight="1">
      <x:c r="A537" s="2"/>
      <x:c r="B537" s="2" t="str">
        <x:v>PCENDC96</x:v>
      </x:c>
      <x:c r="C537" s="2" t="str">
        <x:v>2024-12-31</x:v>
      </x:c>
      <x:c r="D537" s="2" t="str">
        <x:v>One month</x:v>
      </x:c>
      <x:c r="E537" s="2" t="str">
        <x:v>2024-11-27</x:v>
      </x:c>
      <x:c r="F537" s="2" t="str">
        <x:v>2024-12-01</x:v>
      </x:c>
      <x:c r="G537" s="2" t="str">
        <x:v>YoY carry</x:v>
      </x:c>
      <x:c r="H537" s="7" t="n">
        <x:v>3475.4387910147293</x:v>
      </x:c>
      <x:c r="I537" s="7" t="n">
        <x:v>3473.1</x:v>
      </x:c>
      <x:c r="J537" s="2" t="str">
        <x:v>2025-01-31</x:v>
      </x:c>
      <x:c r="K537" s="7" t="n">
        <x:f>100*(H537/I537-1)</x:f>
        <x:v>0.06734015763236734</x:v>
      </x:c>
      <x:c r="L537" s="7" t="n">
        <x:f>ABS(K537)</x:f>
        <x:v>0.06734015763236734</x:v>
      </x:c>
      <x:c r="M537" s="2" t="str">
        <x:v>Yes</x:v>
      </x:c>
    </x:row>
    <x:row r="538" ht="27" customHeight="1">
      <x:c r="A538" s="2"/>
      <x:c r="B538" s="2" t="str">
        <x:v>PCENDC96</x:v>
      </x:c>
      <x:c r="C538" s="2" t="str">
        <x:v>2024-12-31</x:v>
      </x:c>
      <x:c r="D538" s="2" t="str">
        <x:v>One month</x:v>
      </x:c>
      <x:c r="E538" s="2" t="str">
        <x:v>2024-11-27</x:v>
      </x:c>
      <x:c r="F538" s="2" t="str">
        <x:v>2024-11-01</x:v>
      </x:c>
      <x:c r="G538" s="2" t="str">
        <x:v>Flat level</x:v>
      </x:c>
      <x:c r="H538" s="7" t="n">
        <x:v>3444.7</x:v>
      </x:c>
      <x:c r="I538" s="7" t="n">
        <x:v>3448.5</x:v>
      </x:c>
      <x:c r="J538" s="2" t="str">
        <x:v>2024-12-20</x:v>
      </x:c>
      <x:c r="K538" s="7" t="n">
        <x:f>100*(H538/I538-1)</x:f>
        <x:v>-0.11019283746557251</x:v>
      </x:c>
      <x:c r="L538" s="7" t="n">
        <x:f>ABS(K538)</x:f>
        <x:v>0.11019283746557251</x:v>
      </x:c>
      <x:c r="M538" s="2" t="str">
        <x:v>Yes</x:v>
      </x:c>
    </x:row>
    <x:row r="539" ht="27" customHeight="1">
      <x:c r="A539" s="2"/>
      <x:c r="B539" s="2" t="str">
        <x:v>PCENDC96</x:v>
      </x:c>
      <x:c r="C539" s="2" t="str">
        <x:v>2024-12-31</x:v>
      </x:c>
      <x:c r="D539" s="2" t="str">
        <x:v>One month</x:v>
      </x:c>
      <x:c r="E539" s="2" t="str">
        <x:v>2024-11-27</x:v>
      </x:c>
      <x:c r="F539" s="2" t="str">
        <x:v>2024-12-01</x:v>
      </x:c>
      <x:c r="G539" s="2" t="str">
        <x:v>Flat level</x:v>
      </x:c>
      <x:c r="H539" s="7" t="n">
        <x:v>3444.7</x:v>
      </x:c>
      <x:c r="I539" s="7" t="n">
        <x:v>3473.1</x:v>
      </x:c>
      <x:c r="J539" s="2" t="str">
        <x:v>2025-01-31</x:v>
      </x:c>
      <x:c r="K539" s="7" t="n">
        <x:f>100*(H539/I539-1)</x:f>
        <x:v>-0.8177132820822886</x:v>
      </x:c>
      <x:c r="L539" s="7" t="n">
        <x:f>ABS(K539)</x:f>
        <x:v>0.8177132820822886</x:v>
      </x:c>
      <x:c r="M539" s="2" t="str">
        <x:v>Yes</x:v>
      </x:c>
    </x:row>
    <x:row r="540" ht="27" customHeight="1">
      <x:c r="A540" s="2"/>
      <x:c r="B540" s="2" t="str">
        <x:v>PCENDC96</x:v>
      </x:c>
      <x:c r="C540" s="2" t="str">
        <x:v>2024-12-31</x:v>
      </x:c>
      <x:c r="D540" s="2" t="str">
        <x:v>One month</x:v>
      </x:c>
      <x:c r="E540" s="2" t="str">
        <x:v>2024-11-27</x:v>
      </x:c>
      <x:c r="F540" s="2" t="str">
        <x:v>2024-11-01</x:v>
      </x:c>
      <x:c r="G540" s="2" t="str">
        <x:v>Recent trend</x:v>
      </x:c>
      <x:c r="H540" s="7" t="n">
        <x:v>3461.75</x:v>
      </x:c>
      <x:c r="I540" s="7" t="n">
        <x:v>3448.5</x:v>
      </x:c>
      <x:c r="J540" s="2" t="str">
        <x:v>2024-12-20</x:v>
      </x:c>
      <x:c r="K540" s="7" t="n">
        <x:f>100*(H540/I540-1)</x:f>
        <x:v>0.38422502537334147</x:v>
      </x:c>
      <x:c r="L540" s="7" t="n">
        <x:f>ABS(K540)</x:f>
        <x:v>0.38422502537334147</x:v>
      </x:c>
      <x:c r="M540" s="2" t="str">
        <x:v>Yes</x:v>
      </x:c>
    </x:row>
    <x:row r="541" ht="27" customHeight="1">
      <x:c r="A541" s="2"/>
      <x:c r="B541" s="2" t="str">
        <x:v>PCENDC96</x:v>
      </x:c>
      <x:c r="C541" s="2" t="str">
        <x:v>2024-12-31</x:v>
      </x:c>
      <x:c r="D541" s="2" t="str">
        <x:v>One month</x:v>
      </x:c>
      <x:c r="E541" s="2" t="str">
        <x:v>2024-11-27</x:v>
      </x:c>
      <x:c r="F541" s="2" t="str">
        <x:v>2024-12-01</x:v>
      </x:c>
      <x:c r="G541" s="2" t="str">
        <x:v>Recent trend</x:v>
      </x:c>
      <x:c r="H541" s="7" t="n">
        <x:v>3478.7999999999997</x:v>
      </x:c>
      <x:c r="I541" s="7" t="n">
        <x:v>3473.1</x:v>
      </x:c>
      <x:c r="J541" s="2" t="str">
        <x:v>2025-01-31</x:v>
      </x:c>
      <x:c r="K541" s="7" t="n">
        <x:f>100*(H541/I541-1)</x:f>
        <x:v>0.1641185108404608</x:v>
      </x:c>
      <x:c r="L541" s="7" t="n">
        <x:f>ABS(K541)</x:f>
        <x:v>0.1641185108404608</x:v>
      </x:c>
      <x:c r="M541" s="2" t="str">
        <x:v>Yes</x:v>
      </x:c>
    </x:row>
    <x:row r="542" ht="27" customHeight="1">
      <x:c r="A542" s="2"/>
      <x:c r="B542" s="2" t="str">
        <x:v>PCENDC96</x:v>
      </x:c>
      <x:c r="C542" s="2" t="str">
        <x:v>2024-12-31</x:v>
      </x:c>
      <x:c r="D542" s="2" t="str">
        <x:v>Two months</x:v>
      </x:c>
      <x:c r="E542" s="2" t="str">
        <x:v>2024-12-20</x:v>
      </x:c>
      <x:c r="F542" s="2" t="str">
        <x:v>2024-12-01</x:v>
      </x:c>
      <x:c r="G542" s="2" t="str">
        <x:v>YoY carry</x:v>
      </x:c>
      <x:c r="H542" s="7" t="n">
        <x:v>3478.3507623779064</x:v>
      </x:c>
      <x:c r="I542" s="7" t="n">
        <x:v>3473.1</x:v>
      </x:c>
      <x:c r="J542" s="2" t="str">
        <x:v>2025-01-31</x:v>
      </x:c>
      <x:c r="K542" s="7" t="n">
        <x:f>100*(H542/I542-1)</x:f>
        <x:v>0.15118373723492784</x:v>
      </x:c>
      <x:c r="L542" s="7" t="n">
        <x:f>ABS(K542)</x:f>
        <x:v>0.15118373723492784</x:v>
      </x:c>
      <x:c r="M542" s="2" t="str">
        <x:v>Yes</x:v>
      </x:c>
    </x:row>
    <x:row r="543" ht="27" customHeight="1">
      <x:c r="A543" s="2"/>
      <x:c r="B543" s="2" t="str">
        <x:v>PCENDC96</x:v>
      </x:c>
      <x:c r="C543" s="2" t="str">
        <x:v>2024-12-31</x:v>
      </x:c>
      <x:c r="D543" s="2" t="str">
        <x:v>Two months</x:v>
      </x:c>
      <x:c r="E543" s="2" t="str">
        <x:v>2024-12-20</x:v>
      </x:c>
      <x:c r="F543" s="2" t="str">
        <x:v>2024-12-01</x:v>
      </x:c>
      <x:c r="G543" s="2" t="str">
        <x:v>Flat level</x:v>
      </x:c>
      <x:c r="H543" s="7" t="n">
        <x:v>3448.5</x:v>
      </x:c>
      <x:c r="I543" s="7" t="n">
        <x:v>3473.1</x:v>
      </x:c>
      <x:c r="J543" s="2" t="str">
        <x:v>2025-01-31</x:v>
      </x:c>
      <x:c r="K543" s="7" t="n">
        <x:f>100*(H543/I543-1)</x:f>
        <x:v>-0.7083009415219776</x:v>
      </x:c>
      <x:c r="L543" s="7" t="n">
        <x:f>ABS(K543)</x:f>
        <x:v>0.7083009415219776</x:v>
      </x:c>
      <x:c r="M543" s="2" t="str">
        <x:v>Yes</x:v>
      </x:c>
    </x:row>
    <x:row r="544" ht="27" customHeight="1">
      <x:c r="A544" s="2"/>
      <x:c r="B544" s="2" t="str">
        <x:v>PCENDC96</x:v>
      </x:c>
      <x:c r="C544" s="2" t="str">
        <x:v>2024-12-31</x:v>
      </x:c>
      <x:c r="D544" s="2" t="str">
        <x:v>Two months</x:v>
      </x:c>
      <x:c r="E544" s="2" t="str">
        <x:v>2024-12-20</x:v>
      </x:c>
      <x:c r="F544" s="2" t="str">
        <x:v>2024-12-01</x:v>
      </x:c>
      <x:c r="G544" s="2" t="str">
        <x:v>Recent trend</x:v>
      </x:c>
      <x:c r="H544" s="7" t="n">
        <x:v>3447.6</x:v>
      </x:c>
      <x:c r="I544" s="7" t="n">
        <x:v>3473.1</x:v>
      </x:c>
      <x:c r="J544" s="2" t="str">
        <x:v>2025-01-31</x:v>
      </x:c>
      <x:c r="K544" s="7" t="n">
        <x:f>100*(H544/I544-1)</x:f>
        <x:v>-0.7342143906020504</x:v>
      </x:c>
      <x:c r="L544" s="7" t="n">
        <x:f>ABS(K544)</x:f>
        <x:v>0.7342143906020504</x:v>
      </x:c>
      <x:c r="M544" s="2" t="str">
        <x:v>Yes</x:v>
      </x:c>
    </x:row>
    <x:row r="545" ht="27" customHeight="1">
      <x:c r="A545" s="2"/>
      <x:c r="B545" s="2" t="str">
        <x:v>PCENDC96</x:v>
      </x:c>
      <x:c r="C545" s="2" t="str">
        <x:v>2024-12-31</x:v>
      </x:c>
      <x:c r="D545" s="2" t="str">
        <x:v>Pre-earnings</x:v>
      </x:c>
      <x:c r="E545" s="2" t="str">
        <x:v>2025-01-21</x:v>
      </x:c>
      <x:c r="F545" s="2" t="str">
        <x:v>2024-12-01</x:v>
      </x:c>
      <x:c r="G545" s="2" t="str">
        <x:v>YoY carry</x:v>
      </x:c>
      <x:c r="H545" s="7" t="n">
        <x:v>3478.3507623779064</x:v>
      </x:c>
      <x:c r="I545" s="7" t="n">
        <x:v>3473.1</x:v>
      </x:c>
      <x:c r="J545" s="2" t="str">
        <x:v>2025-01-31</x:v>
      </x:c>
      <x:c r="K545" s="7" t="n">
        <x:f>100*(H545/I545-1)</x:f>
        <x:v>0.15118373723492784</x:v>
      </x:c>
      <x:c r="L545" s="7" t="n">
        <x:f>ABS(K545)</x:f>
        <x:v>0.15118373723492784</x:v>
      </x:c>
      <x:c r="M545" s="2" t="str">
        <x:v>Yes</x:v>
      </x:c>
    </x:row>
    <x:row r="546" ht="27" customHeight="1">
      <x:c r="A546" s="2"/>
      <x:c r="B546" s="2" t="str">
        <x:v>PCENDC96</x:v>
      </x:c>
      <x:c r="C546" s="2" t="str">
        <x:v>2024-12-31</x:v>
      </x:c>
      <x:c r="D546" s="2" t="str">
        <x:v>Pre-earnings</x:v>
      </x:c>
      <x:c r="E546" s="2" t="str">
        <x:v>2025-01-21</x:v>
      </x:c>
      <x:c r="F546" s="2" t="str">
        <x:v>2024-12-01</x:v>
      </x:c>
      <x:c r="G546" s="2" t="str">
        <x:v>Flat level</x:v>
      </x:c>
      <x:c r="H546" s="7" t="n">
        <x:v>3448.5</x:v>
      </x:c>
      <x:c r="I546" s="7" t="n">
        <x:v>3473.1</x:v>
      </x:c>
      <x:c r="J546" s="2" t="str">
        <x:v>2025-01-31</x:v>
      </x:c>
      <x:c r="K546" s="7" t="n">
        <x:f>100*(H546/I546-1)</x:f>
        <x:v>-0.7083009415219776</x:v>
      </x:c>
      <x:c r="L546" s="7" t="n">
        <x:f>ABS(K546)</x:f>
        <x:v>0.7083009415219776</x:v>
      </x:c>
      <x:c r="M546" s="2" t="str">
        <x:v>Yes</x:v>
      </x:c>
    </x:row>
    <x:row r="547" ht="27" customHeight="1">
      <x:c r="A547" s="2"/>
      <x:c r="B547" s="2" t="str">
        <x:v>PCENDC96</x:v>
      </x:c>
      <x:c r="C547" s="2" t="str">
        <x:v>2024-12-31</x:v>
      </x:c>
      <x:c r="D547" s="2" t="str">
        <x:v>Pre-earnings</x:v>
      </x:c>
      <x:c r="E547" s="2" t="str">
        <x:v>2025-01-21</x:v>
      </x:c>
      <x:c r="F547" s="2" t="str">
        <x:v>2024-12-01</x:v>
      </x:c>
      <x:c r="G547" s="2" t="str">
        <x:v>Recent trend</x:v>
      </x:c>
      <x:c r="H547" s="7" t="n">
        <x:v>3447.6</x:v>
      </x:c>
      <x:c r="I547" s="7" t="n">
        <x:v>3473.1</x:v>
      </x:c>
      <x:c r="J547" s="2" t="str">
        <x:v>2025-01-31</x:v>
      </x:c>
      <x:c r="K547" s="7" t="n">
        <x:f>100*(H547/I547-1)</x:f>
        <x:v>-0.7342143906020504</x:v>
      </x:c>
      <x:c r="L547" s="7" t="n">
        <x:f>ABS(K547)</x:f>
        <x:v>0.7342143906020504</x:v>
      </x:c>
      <x:c r="M547" s="2" t="str">
        <x:v>Yes</x:v>
      </x:c>
    </x:row>
    <x:row r="548" ht="27" customHeight="1">
      <x:c r="A548" s="2"/>
      <x:c r="B548" s="2" t="str">
        <x:v>PCENDC96</x:v>
      </x:c>
      <x:c r="C548" s="2" t="str">
        <x:v>2025-03-31</x:v>
      </x:c>
      <x:c r="D548" s="2" t="str">
        <x:v>Origin</x:v>
      </x:c>
      <x:c r="E548" s="2" t="str">
        <x:v>2025-01-01</x:v>
      </x:c>
      <x:c r="F548" s="2" t="str">
        <x:v>2025-01-01</x:v>
      </x:c>
      <x:c r="G548" s="2" t="str">
        <x:v>YoY carry</x:v>
      </x:c>
      <x:c r="H548" s="7" t="n">
        <x:v>3453.488591149333</x:v>
      </x:c>
      <x:c r="I548" s="7" t="n">
        <x:v>3442.8</x:v>
      </x:c>
      <x:c r="J548" s="2" t="str">
        <x:v>2025-02-28</x:v>
      </x:c>
      <x:c r="K548" s="7" t="n">
        <x:f>100*(H548/I548-1)</x:f>
        <x:v>0.3104621572363353</x:v>
      </x:c>
      <x:c r="L548" s="7" t="n">
        <x:f>ABS(K548)</x:f>
        <x:v>0.3104621572363353</x:v>
      </x:c>
      <x:c r="M548" s="2" t="str">
        <x:v>Yes</x:v>
      </x:c>
    </x:row>
    <x:row r="549" ht="27" customHeight="1">
      <x:c r="A549" s="2"/>
      <x:c r="B549" s="2" t="str">
        <x:v>PCENDC96</x:v>
      </x:c>
      <x:c r="C549" s="2" t="str">
        <x:v>2025-03-31</x:v>
      </x:c>
      <x:c r="D549" s="2" t="str">
        <x:v>Origin</x:v>
      </x:c>
      <x:c r="E549" s="2" t="str">
        <x:v>2025-01-01</x:v>
      </x:c>
      <x:c r="F549" s="2" t="str">
        <x:v>2025-02-01</x:v>
      </x:c>
      <x:c r="G549" s="2" t="str">
        <x:v>YoY carry</x:v>
      </x:c>
      <x:c r="H549" s="7" t="n">
        <x:v>3433.6397795512116</x:v>
      </x:c>
      <x:c r="I549" s="7" t="n">
        <x:v>3461.1</x:v>
      </x:c>
      <x:c r="J549" s="2" t="str">
        <x:v>2025-03-28</x:v>
      </x:c>
      <x:c r="K549" s="7" t="n">
        <x:f>100*(H549/I549-1)</x:f>
        <x:v>-0.793395754204973</x:v>
      </x:c>
      <x:c r="L549" s="7" t="n">
        <x:f>ABS(K549)</x:f>
        <x:v>0.793395754204973</x:v>
      </x:c>
      <x:c r="M549" s="2" t="str">
        <x:v>Yes</x:v>
      </x:c>
    </x:row>
    <x:row r="550" ht="27" customHeight="1">
      <x:c r="A550" s="2"/>
      <x:c r="B550" s="2" t="str">
        <x:v>PCENDC96</x:v>
      </x:c>
      <x:c r="C550" s="2" t="str">
        <x:v>2025-03-31</x:v>
      </x:c>
      <x:c r="D550" s="2" t="str">
        <x:v>Origin</x:v>
      </x:c>
      <x:c r="E550" s="2" t="str">
        <x:v>2025-01-01</x:v>
      </x:c>
      <x:c r="F550" s="2" t="str">
        <x:v>2025-03-01</x:v>
      </x:c>
      <x:c r="G550" s="2" t="str">
        <x:v>YoY carry</x:v>
      </x:c>
      <x:c r="H550" s="7" t="n">
        <x:v>3470.677252739458</x:v>
      </x:c>
      <x:c r="I550" s="7" t="n">
        <x:v>3488.7</x:v>
      </x:c>
      <x:c r="J550" s="2" t="str">
        <x:v>2025-04-30</x:v>
      </x:c>
      <x:c r="K550" s="7" t="n">
        <x:f>100*(H550/I550-1)</x:f>
        <x:v>-0.5166035274039582</x:v>
      </x:c>
      <x:c r="L550" s="7" t="n">
        <x:f>ABS(K550)</x:f>
        <x:v>0.5166035274039582</x:v>
      </x:c>
      <x:c r="M550" s="2" t="str">
        <x:v>Yes</x:v>
      </x:c>
    </x:row>
    <x:row r="551" ht="27" customHeight="1">
      <x:c r="A551" s="2"/>
      <x:c r="B551" s="2" t="str">
        <x:v>PCENDC96</x:v>
      </x:c>
      <x:c r="C551" s="2" t="str">
        <x:v>2025-03-31</x:v>
      </x:c>
      <x:c r="D551" s="2" t="str">
        <x:v>Origin</x:v>
      </x:c>
      <x:c r="E551" s="2" t="str">
        <x:v>2025-01-01</x:v>
      </x:c>
      <x:c r="F551" s="2" t="str">
        <x:v>2025-01-01</x:v>
      </x:c>
      <x:c r="G551" s="2" t="str">
        <x:v>Flat level</x:v>
      </x:c>
      <x:c r="H551" s="7" t="n">
        <x:v>3448.5</x:v>
      </x:c>
      <x:c r="I551" s="7" t="n">
        <x:v>3442.8</x:v>
      </x:c>
      <x:c r="J551" s="2" t="str">
        <x:v>2025-02-28</x:v>
      </x:c>
      <x:c r="K551" s="7" t="n">
        <x:f>100*(H551/I551-1)</x:f>
        <x:v>0.16556291390728006</x:v>
      </x:c>
      <x:c r="L551" s="7" t="n">
        <x:f>ABS(K551)</x:f>
        <x:v>0.16556291390728006</x:v>
      </x:c>
      <x:c r="M551" s="2" t="str">
        <x:v>Yes</x:v>
      </x:c>
    </x:row>
    <x:row r="552" ht="27" customHeight="1">
      <x:c r="A552" s="2"/>
      <x:c r="B552" s="2" t="str">
        <x:v>PCENDC96</x:v>
      </x:c>
      <x:c r="C552" s="2" t="str">
        <x:v>2025-03-31</x:v>
      </x:c>
      <x:c r="D552" s="2" t="str">
        <x:v>Origin</x:v>
      </x:c>
      <x:c r="E552" s="2" t="str">
        <x:v>2025-01-01</x:v>
      </x:c>
      <x:c r="F552" s="2" t="str">
        <x:v>2025-02-01</x:v>
      </x:c>
      <x:c r="G552" s="2" t="str">
        <x:v>Flat level</x:v>
      </x:c>
      <x:c r="H552" s="7" t="n">
        <x:v>3448.5</x:v>
      </x:c>
      <x:c r="I552" s="7" t="n">
        <x:v>3461.1</x:v>
      </x:c>
      <x:c r="J552" s="2" t="str">
        <x:v>2025-03-28</x:v>
      </x:c>
      <x:c r="K552" s="7" t="n">
        <x:f>100*(H552/I552-1)</x:f>
        <x:v>-0.3640461125075767</x:v>
      </x:c>
      <x:c r="L552" s="7" t="n">
        <x:f>ABS(K552)</x:f>
        <x:v>0.3640461125075767</x:v>
      </x:c>
      <x:c r="M552" s="2" t="str">
        <x:v>Yes</x:v>
      </x:c>
    </x:row>
    <x:row r="553" ht="27" customHeight="1">
      <x:c r="A553" s="2"/>
      <x:c r="B553" s="2" t="str">
        <x:v>PCENDC96</x:v>
      </x:c>
      <x:c r="C553" s="2" t="str">
        <x:v>2025-03-31</x:v>
      </x:c>
      <x:c r="D553" s="2" t="str">
        <x:v>Origin</x:v>
      </x:c>
      <x:c r="E553" s="2" t="str">
        <x:v>2025-01-01</x:v>
      </x:c>
      <x:c r="F553" s="2" t="str">
        <x:v>2025-03-01</x:v>
      </x:c>
      <x:c r="G553" s="2" t="str">
        <x:v>Flat level</x:v>
      </x:c>
      <x:c r="H553" s="7" t="n">
        <x:v>3448.5</x:v>
      </x:c>
      <x:c r="I553" s="7" t="n">
        <x:v>3488.7</x:v>
      </x:c>
      <x:c r="J553" s="2" t="str">
        <x:v>2025-04-30</x:v>
      </x:c>
      <x:c r="K553" s="7" t="n">
        <x:f>100*(H553/I553-1)</x:f>
        <x:v>-1.152291684581641</x:v>
      </x:c>
      <x:c r="L553" s="7" t="n">
        <x:f>ABS(K553)</x:f>
        <x:v>1.152291684581641</x:v>
      </x:c>
      <x:c r="M553" s="2" t="str">
        <x:v>Yes</x:v>
      </x:c>
    </x:row>
    <x:row r="554" ht="27" customHeight="1">
      <x:c r="A554" s="2"/>
      <x:c r="B554" s="2" t="str">
        <x:v>PCENDC96</x:v>
      </x:c>
      <x:c r="C554" s="2" t="str">
        <x:v>2025-03-31</x:v>
      </x:c>
      <x:c r="D554" s="2" t="str">
        <x:v>Origin</x:v>
      </x:c>
      <x:c r="E554" s="2" t="str">
        <x:v>2025-01-01</x:v>
      </x:c>
      <x:c r="F554" s="2" t="str">
        <x:v>2025-01-01</x:v>
      </x:c>
      <x:c r="G554" s="2" t="str">
        <x:v>Recent trend</x:v>
      </x:c>
      <x:c r="H554" s="7" t="n">
        <x:v>3446.7</x:v>
      </x:c>
      <x:c r="I554" s="7" t="n">
        <x:v>3442.8</x:v>
      </x:c>
      <x:c r="J554" s="2" t="str">
        <x:v>2025-02-28</x:v>
      </x:c>
      <x:c r="K554" s="7" t="n">
        <x:f>100*(H554/I554-1)</x:f>
        <x:v>0.1132798884628583</x:v>
      </x:c>
      <x:c r="L554" s="7" t="n">
        <x:f>ABS(K554)</x:f>
        <x:v>0.1132798884628583</x:v>
      </x:c>
      <x:c r="M554" s="2" t="str">
        <x:v>Yes</x:v>
      </x:c>
    </x:row>
    <x:row r="555" ht="27" customHeight="1">
      <x:c r="A555" s="2"/>
      <x:c r="B555" s="2" t="str">
        <x:v>PCENDC96</x:v>
      </x:c>
      <x:c r="C555" s="2" t="str">
        <x:v>2025-03-31</x:v>
      </x:c>
      <x:c r="D555" s="2" t="str">
        <x:v>Origin</x:v>
      </x:c>
      <x:c r="E555" s="2" t="str">
        <x:v>2025-01-01</x:v>
      </x:c>
      <x:c r="F555" s="2" t="str">
        <x:v>2025-02-01</x:v>
      </x:c>
      <x:c r="G555" s="2" t="str">
        <x:v>Recent trend</x:v>
      </x:c>
      <x:c r="H555" s="7" t="n">
        <x:v>3445.7999999999997</x:v>
      </x:c>
      <x:c r="I555" s="7" t="n">
        <x:v>3461.1</x:v>
      </x:c>
      <x:c r="J555" s="2" t="str">
        <x:v>2025-03-28</x:v>
      </x:c>
      <x:c r="K555" s="7" t="n">
        <x:f>100*(H555/I555-1)</x:f>
        <x:v>-0.4420559937592161</x:v>
      </x:c>
      <x:c r="L555" s="7" t="n">
        <x:f>ABS(K555)</x:f>
        <x:v>0.4420559937592161</x:v>
      </x:c>
      <x:c r="M555" s="2" t="str">
        <x:v>Yes</x:v>
      </x:c>
    </x:row>
    <x:row r="556" ht="27" customHeight="1">
      <x:c r="A556" s="2"/>
      <x:c r="B556" s="2" t="str">
        <x:v>PCENDC96</x:v>
      </x:c>
      <x:c r="C556" s="2" t="str">
        <x:v>2025-03-31</x:v>
      </x:c>
      <x:c r="D556" s="2" t="str">
        <x:v>Origin</x:v>
      </x:c>
      <x:c r="E556" s="2" t="str">
        <x:v>2025-01-01</x:v>
      </x:c>
      <x:c r="F556" s="2" t="str">
        <x:v>2025-03-01</x:v>
      </x:c>
      <x:c r="G556" s="2" t="str">
        <x:v>Recent trend</x:v>
      </x:c>
      <x:c r="H556" s="7" t="n">
        <x:v>3444.8999999999996</x:v>
      </x:c>
      <x:c r="I556" s="7" t="n">
        <x:v>3488.7</x:v>
      </x:c>
      <x:c r="J556" s="2" t="str">
        <x:v>2025-04-30</x:v>
      </x:c>
      <x:c r="K556" s="7" t="n">
        <x:f>100*(H556/I556-1)</x:f>
        <x:v>-1.2554819846934406</x:v>
      </x:c>
      <x:c r="L556" s="7" t="n">
        <x:f>ABS(K556)</x:f>
        <x:v>1.2554819846934406</x:v>
      </x:c>
      <x:c r="M556" s="2" t="str">
        <x:v>Yes</x:v>
      </x:c>
    </x:row>
    <x:row r="557" ht="27" customHeight="1">
      <x:c r="A557" s="2"/>
      <x:c r="B557" s="2" t="str">
        <x:v>PCENDC96</x:v>
      </x:c>
      <x:c r="C557" s="2" t="str">
        <x:v>2025-03-31</x:v>
      </x:c>
      <x:c r="D557" s="2" t="str">
        <x:v>One month</x:v>
      </x:c>
      <x:c r="E557" s="2" t="str">
        <x:v>2025-02-28</x:v>
      </x:c>
      <x:c r="F557" s="2" t="str">
        <x:v>2025-02-01</x:v>
      </x:c>
      <x:c r="G557" s="2" t="str">
        <x:v>YoY carry</x:v>
      </x:c>
      <x:c r="H557" s="7" t="n">
        <x:v>3423.9046655524985</x:v>
      </x:c>
      <x:c r="I557" s="7" t="n">
        <x:v>3461.1</x:v>
      </x:c>
      <x:c r="J557" s="2" t="str">
        <x:v>2025-03-28</x:v>
      </x:c>
      <x:c r="K557" s="7" t="n">
        <x:f>100*(H557/I557-1)</x:f>
        <x:v>-1.0746680086533567</x:v>
      </x:c>
      <x:c r="L557" s="7" t="n">
        <x:f>ABS(K557)</x:f>
        <x:v>1.0746680086533567</x:v>
      </x:c>
      <x:c r="M557" s="2" t="str">
        <x:v>Yes</x:v>
      </x:c>
    </x:row>
    <x:row r="558" ht="27" customHeight="1">
      <x:c r="A558" s="2"/>
      <x:c r="B558" s="2" t="str">
        <x:v>PCENDC96</x:v>
      </x:c>
      <x:c r="C558" s="2" t="str">
        <x:v>2025-03-31</x:v>
      </x:c>
      <x:c r="D558" s="2" t="str">
        <x:v>One month</x:v>
      </x:c>
      <x:c r="E558" s="2" t="str">
        <x:v>2025-02-28</x:v>
      </x:c>
      <x:c r="F558" s="2" t="str">
        <x:v>2025-03-01</x:v>
      </x:c>
      <x:c r="G558" s="2" t="str">
        <x:v>YoY carry</x:v>
      </x:c>
      <x:c r="H558" s="7" t="n">
        <x:v>3460.837129465788</x:v>
      </x:c>
      <x:c r="I558" s="7" t="n">
        <x:v>3488.7</x:v>
      </x:c>
      <x:c r="J558" s="2" t="str">
        <x:v>2025-04-30</x:v>
      </x:c>
      <x:c r="K558" s="7" t="n">
        <x:f>100*(H558/I558-1)</x:f>
        <x:v>-0.7986605478892295</x:v>
      </x:c>
      <x:c r="L558" s="7" t="n">
        <x:f>ABS(K558)</x:f>
        <x:v>0.7986605478892295</x:v>
      </x:c>
      <x:c r="M558" s="2" t="str">
        <x:v>Yes</x:v>
      </x:c>
    </x:row>
    <x:row r="559" ht="27" customHeight="1">
      <x:c r="A559" s="2"/>
      <x:c r="B559" s="2" t="str">
        <x:v>PCENDC96</x:v>
      </x:c>
      <x:c r="C559" s="2" t="str">
        <x:v>2025-03-31</x:v>
      </x:c>
      <x:c r="D559" s="2" t="str">
        <x:v>One month</x:v>
      </x:c>
      <x:c r="E559" s="2" t="str">
        <x:v>2025-02-28</x:v>
      </x:c>
      <x:c r="F559" s="2" t="str">
        <x:v>2025-02-01</x:v>
      </x:c>
      <x:c r="G559" s="2" t="str">
        <x:v>Flat level</x:v>
      </x:c>
      <x:c r="H559" s="7" t="n">
        <x:v>3442.8</x:v>
      </x:c>
      <x:c r="I559" s="7" t="n">
        <x:v>3461.1</x:v>
      </x:c>
      <x:c r="J559" s="2" t="str">
        <x:v>2025-03-28</x:v>
      </x:c>
      <x:c r="K559" s="7" t="n">
        <x:f>100*(H559/I559-1)</x:f>
        <x:v>-0.5287336395943365</x:v>
      </x:c>
      <x:c r="L559" s="7" t="n">
        <x:f>ABS(K559)</x:f>
        <x:v>0.5287336395943365</x:v>
      </x:c>
      <x:c r="M559" s="2" t="str">
        <x:v>Yes</x:v>
      </x:c>
    </x:row>
    <x:row r="560" ht="27" customHeight="1">
      <x:c r="A560" s="2"/>
      <x:c r="B560" s="2" t="str">
        <x:v>PCENDC96</x:v>
      </x:c>
      <x:c r="C560" s="2" t="str">
        <x:v>2025-03-31</x:v>
      </x:c>
      <x:c r="D560" s="2" t="str">
        <x:v>One month</x:v>
      </x:c>
      <x:c r="E560" s="2" t="str">
        <x:v>2025-02-28</x:v>
      </x:c>
      <x:c r="F560" s="2" t="str">
        <x:v>2025-03-01</x:v>
      </x:c>
      <x:c r="G560" s="2" t="str">
        <x:v>Flat level</x:v>
      </x:c>
      <x:c r="H560" s="7" t="n">
        <x:v>3442.8</x:v>
      </x:c>
      <x:c r="I560" s="7" t="n">
        <x:v>3488.7</x:v>
      </x:c>
      <x:c r="J560" s="2" t="str">
        <x:v>2025-04-30</x:v>
      </x:c>
      <x:c r="K560" s="7" t="n">
        <x:f>100*(H560/I560-1)</x:f>
        <x:v>-1.315676326425308</x:v>
      </x:c>
      <x:c r="L560" s="7" t="n">
        <x:f>ABS(K560)</x:f>
        <x:v>1.315676326425308</x:v>
      </x:c>
      <x:c r="M560" s="2" t="str">
        <x:v>Yes</x:v>
      </x:c>
    </x:row>
    <x:row r="561" ht="27" customHeight="1">
      <x:c r="A561" s="2"/>
      <x:c r="B561" s="2" t="str">
        <x:v>PCENDC96</x:v>
      </x:c>
      <x:c r="C561" s="2" t="str">
        <x:v>2025-03-31</x:v>
      </x:c>
      <x:c r="D561" s="2" t="str">
        <x:v>One month</x:v>
      </x:c>
      <x:c r="E561" s="2" t="str">
        <x:v>2025-02-28</x:v>
      </x:c>
      <x:c r="F561" s="2" t="str">
        <x:v>2025-02-01</x:v>
      </x:c>
      <x:c r="G561" s="2" t="str">
        <x:v>Recent trend</x:v>
      </x:c>
      <x:c r="H561" s="7" t="n">
        <x:v>3442.3</x:v>
      </x:c>
      <x:c r="I561" s="7" t="n">
        <x:v>3461.1</x:v>
      </x:c>
      <x:c r="J561" s="2" t="str">
        <x:v>2025-03-28</x:v>
      </x:c>
      <x:c r="K561" s="7" t="n">
        <x:f>100*(H561/I561-1)</x:f>
        <x:v>-0.5431799139001936</x:v>
      </x:c>
      <x:c r="L561" s="7" t="n">
        <x:f>ABS(K561)</x:f>
        <x:v>0.5431799139001936</x:v>
      </x:c>
      <x:c r="M561" s="2" t="str">
        <x:v>Yes</x:v>
      </x:c>
    </x:row>
    <x:row r="562" ht="27" customHeight="1">
      <x:c r="A562" s="2"/>
      <x:c r="B562" s="2" t="str">
        <x:v>PCENDC96</x:v>
      </x:c>
      <x:c r="C562" s="2" t="str">
        <x:v>2025-03-31</x:v>
      </x:c>
      <x:c r="D562" s="2" t="str">
        <x:v>One month</x:v>
      </x:c>
      <x:c r="E562" s="2" t="str">
        <x:v>2025-02-28</x:v>
      </x:c>
      <x:c r="F562" s="2" t="str">
        <x:v>2025-03-01</x:v>
      </x:c>
      <x:c r="G562" s="2" t="str">
        <x:v>Recent trend</x:v>
      </x:c>
      <x:c r="H562" s="7" t="n">
        <x:v>3441.8</x:v>
      </x:c>
      <x:c r="I562" s="7" t="n">
        <x:v>3488.7</x:v>
      </x:c>
      <x:c r="J562" s="2" t="str">
        <x:v>2025-04-30</x:v>
      </x:c>
      <x:c r="K562" s="7" t="n">
        <x:f>100*(H562/I562-1)</x:f>
        <x:v>-1.3443402986785813</x:v>
      </x:c>
      <x:c r="L562" s="7" t="n">
        <x:f>ABS(K562)</x:f>
        <x:v>1.3443402986785813</x:v>
      </x:c>
      <x:c r="M562" s="2" t="str">
        <x:v>Yes</x:v>
      </x:c>
    </x:row>
    <x:row r="563" ht="27" customHeight="1">
      <x:c r="A563" s="2"/>
      <x:c r="B563" s="2" t="str">
        <x:v>PCENDC96</x:v>
      </x:c>
      <x:c r="C563" s="2" t="str">
        <x:v>2025-03-31</x:v>
      </x:c>
      <x:c r="D563" s="2" t="str">
        <x:v>Two months</x:v>
      </x:c>
      <x:c r="E563" s="2" t="str">
        <x:v>2025-03-28</x:v>
      </x:c>
      <x:c r="F563" s="2" t="str">
        <x:v>2025-03-01</x:v>
      </x:c>
      <x:c r="G563" s="2" t="str">
        <x:v>YoY carry</x:v>
      </x:c>
      <x:c r="H563" s="7" t="n">
        <x:v>3474.50501949861</x:v>
      </x:c>
      <x:c r="I563" s="7" t="n">
        <x:v>3488.7</x:v>
      </x:c>
      <x:c r="J563" s="2" t="str">
        <x:v>2025-04-30</x:v>
      </x:c>
      <x:c r="K563" s="7" t="n">
        <x:f>100*(H563/I563-1)</x:f>
        <x:v>-0.40688452722761337</x:v>
      </x:c>
      <x:c r="L563" s="7" t="n">
        <x:f>ABS(K563)</x:f>
        <x:v>0.40688452722761337</x:v>
      </x:c>
      <x:c r="M563" s="2" t="str">
        <x:v>Yes</x:v>
      </x:c>
    </x:row>
    <x:row r="564" ht="27" customHeight="1">
      <x:c r="A564" s="2"/>
      <x:c r="B564" s="2" t="str">
        <x:v>PCENDC96</x:v>
      </x:c>
      <x:c r="C564" s="2" t="str">
        <x:v>2025-03-31</x:v>
      </x:c>
      <x:c r="D564" s="2" t="str">
        <x:v>Two months</x:v>
      </x:c>
      <x:c r="E564" s="2" t="str">
        <x:v>2025-03-28</x:v>
      </x:c>
      <x:c r="F564" s="2" t="str">
        <x:v>2025-03-01</x:v>
      </x:c>
      <x:c r="G564" s="2" t="str">
        <x:v>Flat level</x:v>
      </x:c>
      <x:c r="H564" s="7" t="n">
        <x:v>3461.1</x:v>
      </x:c>
      <x:c r="I564" s="7" t="n">
        <x:v>3488.7</x:v>
      </x:c>
      <x:c r="J564" s="2" t="str">
        <x:v>2025-04-30</x:v>
      </x:c>
      <x:c r="K564" s="7" t="n">
        <x:f>100*(H564/I564-1)</x:f>
        <x:v>-0.7911256341903816</x:v>
      </x:c>
      <x:c r="L564" s="7" t="n">
        <x:f>ABS(K564)</x:f>
        <x:v>0.7911256341903816</x:v>
      </x:c>
      <x:c r="M564" s="2" t="str">
        <x:v>Yes</x:v>
      </x:c>
    </x:row>
    <x:row r="565" ht="27" customHeight="1">
      <x:c r="A565" s="2"/>
      <x:c r="B565" s="2" t="str">
        <x:v>PCENDC96</x:v>
      </x:c>
      <x:c r="C565" s="2" t="str">
        <x:v>2025-03-31</x:v>
      </x:c>
      <x:c r="D565" s="2" t="str">
        <x:v>Two months</x:v>
      </x:c>
      <x:c r="E565" s="2" t="str">
        <x:v>2025-03-28</x:v>
      </x:c>
      <x:c r="F565" s="2" t="str">
        <x:v>2025-03-01</x:v>
      </x:c>
      <x:c r="G565" s="2" t="str">
        <x:v>Recent trend</x:v>
      </x:c>
      <x:c r="H565" s="7" t="n">
        <x:v>3455.75</x:v>
      </x:c>
      <x:c r="I565" s="7" t="n">
        <x:v>3488.7</x:v>
      </x:c>
      <x:c r="J565" s="2" t="str">
        <x:v>2025-04-30</x:v>
      </x:c>
      <x:c r="K565" s="7" t="n">
        <x:f>100*(H565/I565-1)</x:f>
        <x:v>-0.9444778857453984</x:v>
      </x:c>
      <x:c r="L565" s="7" t="n">
        <x:f>ABS(K565)</x:f>
        <x:v>0.9444778857453984</x:v>
      </x:c>
      <x:c r="M565" s="2" t="str">
        <x:v>Yes</x:v>
      </x:c>
    </x:row>
    <x:row r="566" ht="27" customHeight="1">
      <x:c r="A566" s="2"/>
      <x:c r="B566" s="2" t="str">
        <x:v>PCENDC96</x:v>
      </x:c>
      <x:c r="C566" s="2" t="str">
        <x:v>2025-03-31</x:v>
      </x:c>
      <x:c r="D566" s="2" t="str">
        <x:v>Pre-earnings</x:v>
      </x:c>
      <x:c r="E566" s="2" t="str">
        <x:v>2025-04-23</x:v>
      </x:c>
      <x:c r="F566" s="2" t="str">
        <x:v>2025-03-01</x:v>
      </x:c>
      <x:c r="G566" s="2" t="str">
        <x:v>YoY carry</x:v>
      </x:c>
      <x:c r="H566" s="7" t="n">
        <x:v>3474.50501949861</x:v>
      </x:c>
      <x:c r="I566" s="7" t="n">
        <x:v>3488.7</x:v>
      </x:c>
      <x:c r="J566" s="2" t="str">
        <x:v>2025-04-30</x:v>
      </x:c>
      <x:c r="K566" s="7" t="n">
        <x:f>100*(H566/I566-1)</x:f>
        <x:v>-0.40688452722761337</x:v>
      </x:c>
      <x:c r="L566" s="7" t="n">
        <x:f>ABS(K566)</x:f>
        <x:v>0.40688452722761337</x:v>
      </x:c>
      <x:c r="M566" s="2" t="str">
        <x:v>Yes</x:v>
      </x:c>
    </x:row>
    <x:row r="567" ht="27" customHeight="1">
      <x:c r="A567" s="2"/>
      <x:c r="B567" s="2" t="str">
        <x:v>PCENDC96</x:v>
      </x:c>
      <x:c r="C567" s="2" t="str">
        <x:v>2025-03-31</x:v>
      </x:c>
      <x:c r="D567" s="2" t="str">
        <x:v>Pre-earnings</x:v>
      </x:c>
      <x:c r="E567" s="2" t="str">
        <x:v>2025-04-23</x:v>
      </x:c>
      <x:c r="F567" s="2" t="str">
        <x:v>2025-03-01</x:v>
      </x:c>
      <x:c r="G567" s="2" t="str">
        <x:v>Flat level</x:v>
      </x:c>
      <x:c r="H567" s="7" t="n">
        <x:v>3461.1</x:v>
      </x:c>
      <x:c r="I567" s="7" t="n">
        <x:v>3488.7</x:v>
      </x:c>
      <x:c r="J567" s="2" t="str">
        <x:v>2025-04-30</x:v>
      </x:c>
      <x:c r="K567" s="7" t="n">
        <x:f>100*(H567/I567-1)</x:f>
        <x:v>-0.7911256341903816</x:v>
      </x:c>
      <x:c r="L567" s="7" t="n">
        <x:f>ABS(K567)</x:f>
        <x:v>0.7911256341903816</x:v>
      </x:c>
      <x:c r="M567" s="2" t="str">
        <x:v>Yes</x:v>
      </x:c>
    </x:row>
    <x:row r="568" ht="27" customHeight="1">
      <x:c r="A568" s="2"/>
      <x:c r="B568" s="2" t="str">
        <x:v>PCENDC96</x:v>
      </x:c>
      <x:c r="C568" s="2" t="str">
        <x:v>2025-03-31</x:v>
      </x:c>
      <x:c r="D568" s="2" t="str">
        <x:v>Pre-earnings</x:v>
      </x:c>
      <x:c r="E568" s="2" t="str">
        <x:v>2025-04-23</x:v>
      </x:c>
      <x:c r="F568" s="2" t="str">
        <x:v>2025-03-01</x:v>
      </x:c>
      <x:c r="G568" s="2" t="str">
        <x:v>Recent trend</x:v>
      </x:c>
      <x:c r="H568" s="7" t="n">
        <x:v>3455.75</x:v>
      </x:c>
      <x:c r="I568" s="7" t="n">
        <x:v>3488.7</x:v>
      </x:c>
      <x:c r="J568" s="2" t="str">
        <x:v>2025-04-30</x:v>
      </x:c>
      <x:c r="K568" s="7" t="n">
        <x:f>100*(H568/I568-1)</x:f>
        <x:v>-0.9444778857453984</x:v>
      </x:c>
      <x:c r="L568" s="7" t="n">
        <x:f>ABS(K568)</x:f>
        <x:v>0.9444778857453984</x:v>
      </x:c>
      <x:c r="M568" s="2" t="str">
        <x:v>Yes</x:v>
      </x:c>
    </x:row>
    <x:row r="569" ht="27" customHeight="1">
      <x:c r="A569" s="2"/>
      <x:c r="B569" s="2" t="str">
        <x:v>PCENDC96</x:v>
      </x:c>
      <x:c r="C569" s="2" t="str">
        <x:v>2025-06-30</x:v>
      </x:c>
      <x:c r="D569" s="2" t="str">
        <x:v>Origin</x:v>
      </x:c>
      <x:c r="E569" s="2" t="str">
        <x:v>2025-04-01</x:v>
      </x:c>
      <x:c r="F569" s="2" t="str">
        <x:v>2025-04-01</x:v>
      </x:c>
      <x:c r="G569" s="2" t="str">
        <x:v>YoY carry</x:v>
      </x:c>
      <x:c r="H569" s="7" t="n">
        <x:v>3459.038647883013</x:v>
      </x:c>
      <x:c r="I569" s="7" t="n">
        <x:v>3486</x:v>
      </x:c>
      <x:c r="J569" s="2" t="str">
        <x:v>2025-05-30</x:v>
      </x:c>
      <x:c r="K569" s="7" t="n">
        <x:f>100*(H569/I569-1)</x:f>
        <x:v>-0.7734180182727202</x:v>
      </x:c>
      <x:c r="L569" s="7" t="n">
        <x:f>ABS(K569)</x:f>
        <x:v>0.7734180182727202</x:v>
      </x:c>
      <x:c r="M569" s="2" t="str">
        <x:v>Yes</x:v>
      </x:c>
    </x:row>
    <x:row r="570" ht="27" customHeight="1">
      <x:c r="A570" s="2"/>
      <x:c r="B570" s="2" t="str">
        <x:v>PCENDC96</x:v>
      </x:c>
      <x:c r="C570" s="2" t="str">
        <x:v>2025-06-30</x:v>
      </x:c>
      <x:c r="D570" s="2" t="str">
        <x:v>Origin</x:v>
      </x:c>
      <x:c r="E570" s="2" t="str">
        <x:v>2025-04-01</x:v>
      </x:c>
      <x:c r="F570" s="2" t="str">
        <x:v>2025-05-01</x:v>
      </x:c>
      <x:c r="G570" s="2" t="str">
        <x:v>YoY carry</x:v>
      </x:c>
      <x:c r="H570" s="7" t="n">
        <x:v>3473.17347757144</x:v>
      </x:c>
      <x:c r="I570" s="7" t="n">
        <x:v>3476.4</x:v>
      </x:c>
      <x:c r="J570" s="2" t="str">
        <x:v>2025-06-27</x:v>
      </x:c>
      <x:c r="K570" s="7" t="n">
        <x:f>100*(H570/I570-1)</x:f>
        <x:v>-0.09281217433437794</x:v>
      </x:c>
      <x:c r="L570" s="7" t="n">
        <x:f>ABS(K570)</x:f>
        <x:v>0.09281217433437794</x:v>
      </x:c>
      <x:c r="M570" s="2" t="str">
        <x:v>Yes</x:v>
      </x:c>
    </x:row>
    <x:row r="571" ht="27" customHeight="1">
      <x:c r="A571" s="2"/>
      <x:c r="B571" s="2" t="str">
        <x:v>PCENDC96</x:v>
      </x:c>
      <x:c r="C571" s="2" t="str">
        <x:v>2025-06-30</x:v>
      </x:c>
      <x:c r="D571" s="2" t="str">
        <x:v>Origin</x:v>
      </x:c>
      <x:c r="E571" s="2" t="str">
        <x:v>2025-04-01</x:v>
      </x:c>
      <x:c r="F571" s="2" t="str">
        <x:v>2025-06-01</x:v>
      </x:c>
      <x:c r="G571" s="2" t="str">
        <x:v>YoY carry</x:v>
      </x:c>
      <x:c r="H571" s="7" t="n">
        <x:v>3480.1384661135626</x:v>
      </x:c>
      <x:c r="I571" s="7" t="n">
        <x:v>3487.9</x:v>
      </x:c>
      <x:c r="J571" s="2" t="str">
        <x:v>2025-07-31</x:v>
      </x:c>
      <x:c r="K571" s="7" t="n">
        <x:f>100*(H571/I571-1)</x:f>
        <x:v>-0.22252742012206506</x:v>
      </x:c>
      <x:c r="L571" s="7" t="n">
        <x:f>ABS(K571)</x:f>
        <x:v>0.22252742012206506</x:v>
      </x:c>
      <x:c r="M571" s="2" t="str">
        <x:v>Yes</x:v>
      </x:c>
    </x:row>
    <x:row r="572" ht="27" customHeight="1">
      <x:c r="A572" s="2"/>
      <x:c r="B572" s="2" t="str">
        <x:v>PCENDC96</x:v>
      </x:c>
      <x:c r="C572" s="2" t="str">
        <x:v>2025-06-30</x:v>
      </x:c>
      <x:c r="D572" s="2" t="str">
        <x:v>Origin</x:v>
      </x:c>
      <x:c r="E572" s="2" t="str">
        <x:v>2025-04-01</x:v>
      </x:c>
      <x:c r="F572" s="2" t="str">
        <x:v>2025-04-01</x:v>
      </x:c>
      <x:c r="G572" s="2" t="str">
        <x:v>Flat level</x:v>
      </x:c>
      <x:c r="H572" s="7" t="n">
        <x:v>3461.1</x:v>
      </x:c>
      <x:c r="I572" s="7" t="n">
        <x:v>3486</x:v>
      </x:c>
      <x:c r="J572" s="2" t="str">
        <x:v>2025-05-30</x:v>
      </x:c>
      <x:c r="K572" s="7" t="n">
        <x:f>100*(H572/I572-1)</x:f>
        <x:v>-0.7142857142857117</x:v>
      </x:c>
      <x:c r="L572" s="7" t="n">
        <x:f>ABS(K572)</x:f>
        <x:v>0.7142857142857117</x:v>
      </x:c>
      <x:c r="M572" s="2" t="str">
        <x:v>Yes</x:v>
      </x:c>
    </x:row>
    <x:row r="573" ht="27" customHeight="1">
      <x:c r="A573" s="2"/>
      <x:c r="B573" s="2" t="str">
        <x:v>PCENDC96</x:v>
      </x:c>
      <x:c r="C573" s="2" t="str">
        <x:v>2025-06-30</x:v>
      </x:c>
      <x:c r="D573" s="2" t="str">
        <x:v>Origin</x:v>
      </x:c>
      <x:c r="E573" s="2" t="str">
        <x:v>2025-04-01</x:v>
      </x:c>
      <x:c r="F573" s="2" t="str">
        <x:v>2025-05-01</x:v>
      </x:c>
      <x:c r="G573" s="2" t="str">
        <x:v>Flat level</x:v>
      </x:c>
      <x:c r="H573" s="7" t="n">
        <x:v>3461.1</x:v>
      </x:c>
      <x:c r="I573" s="7" t="n">
        <x:v>3476.4</x:v>
      </x:c>
      <x:c r="J573" s="2" t="str">
        <x:v>2025-06-27</x:v>
      </x:c>
      <x:c r="K573" s="7" t="n">
        <x:f>100*(H573/I573-1)</x:f>
        <x:v>-0.44011045909562174</x:v>
      </x:c>
      <x:c r="L573" s="7" t="n">
        <x:f>ABS(K573)</x:f>
        <x:v>0.44011045909562174</x:v>
      </x:c>
      <x:c r="M573" s="2" t="str">
        <x:v>Yes</x:v>
      </x:c>
    </x:row>
    <x:row r="574" ht="27" customHeight="1">
      <x:c r="A574" s="2"/>
      <x:c r="B574" s="2" t="str">
        <x:v>PCENDC96</x:v>
      </x:c>
      <x:c r="C574" s="2" t="str">
        <x:v>2025-06-30</x:v>
      </x:c>
      <x:c r="D574" s="2" t="str">
        <x:v>Origin</x:v>
      </x:c>
      <x:c r="E574" s="2" t="str">
        <x:v>2025-04-01</x:v>
      </x:c>
      <x:c r="F574" s="2" t="str">
        <x:v>2025-06-01</x:v>
      </x:c>
      <x:c r="G574" s="2" t="str">
        <x:v>Flat level</x:v>
      </x:c>
      <x:c r="H574" s="7" t="n">
        <x:v>3461.1</x:v>
      </x:c>
      <x:c r="I574" s="7" t="n">
        <x:v>3487.9</x:v>
      </x:c>
      <x:c r="J574" s="2" t="str">
        <x:v>2025-07-31</x:v>
      </x:c>
      <x:c r="K574" s="7" t="n">
        <x:f>100*(H574/I574-1)</x:f>
        <x:v>-0.768370652828354</x:v>
      </x:c>
      <x:c r="L574" s="7" t="n">
        <x:f>ABS(K574)</x:f>
        <x:v>0.768370652828354</x:v>
      </x:c>
      <x:c r="M574" s="2" t="str">
        <x:v>Yes</x:v>
      </x:c>
    </x:row>
    <x:row r="575" ht="27" customHeight="1">
      <x:c r="A575" s="2"/>
      <x:c r="B575" s="2" t="str">
        <x:v>PCENDC96</x:v>
      </x:c>
      <x:c r="C575" s="2" t="str">
        <x:v>2025-06-30</x:v>
      </x:c>
      <x:c r="D575" s="2" t="str">
        <x:v>Origin</x:v>
      </x:c>
      <x:c r="E575" s="2" t="str">
        <x:v>2025-04-01</x:v>
      </x:c>
      <x:c r="F575" s="2" t="str">
        <x:v>2025-04-01</x:v>
      </x:c>
      <x:c r="G575" s="2" t="str">
        <x:v>Recent trend</x:v>
      </x:c>
      <x:c r="H575" s="7" t="n">
        <x:v>3450.3999999999996</x:v>
      </x:c>
      <x:c r="I575" s="7" t="n">
        <x:v>3486</x:v>
      </x:c>
      <x:c r="J575" s="2" t="str">
        <x:v>2025-05-30</x:v>
      </x:c>
      <x:c r="K575" s="7" t="n">
        <x:f>100*(H575/I575-1)</x:f>
        <x:v>-1.0212277682157267</x:v>
      </x:c>
      <x:c r="L575" s="7" t="n">
        <x:f>ABS(K575)</x:f>
        <x:v>1.0212277682157267</x:v>
      </x:c>
      <x:c r="M575" s="2" t="str">
        <x:v>Yes</x:v>
      </x:c>
    </x:row>
    <x:row r="576" ht="27" customHeight="1">
      <x:c r="A576" s="2"/>
      <x:c r="B576" s="2" t="str">
        <x:v>PCENDC96</x:v>
      </x:c>
      <x:c r="C576" s="2" t="str">
        <x:v>2025-06-30</x:v>
      </x:c>
      <x:c r="D576" s="2" t="str">
        <x:v>Origin</x:v>
      </x:c>
      <x:c r="E576" s="2" t="str">
        <x:v>2025-04-01</x:v>
      </x:c>
      <x:c r="F576" s="2" t="str">
        <x:v>2025-05-01</x:v>
      </x:c>
      <x:c r="G576" s="2" t="str">
        <x:v>Recent trend</x:v>
      </x:c>
      <x:c r="H576" s="7" t="n">
        <x:v>3445.0499999999993</x:v>
      </x:c>
      <x:c r="I576" s="7" t="n">
        <x:v>3476.4</x:v>
      </x:c>
      <x:c r="J576" s="2" t="str">
        <x:v>2025-06-27</x:v>
      </x:c>
      <x:c r="K576" s="7" t="n">
        <x:f>100*(H576/I576-1)</x:f>
        <x:v>-0.9017949603037811</x:v>
      </x:c>
      <x:c r="L576" s="7" t="n">
        <x:f>ABS(K576)</x:f>
        <x:v>0.9017949603037811</x:v>
      </x:c>
      <x:c r="M576" s="2" t="str">
        <x:v>Yes</x:v>
      </x:c>
    </x:row>
    <x:row r="577" ht="27" customHeight="1">
      <x:c r="A577" s="2"/>
      <x:c r="B577" s="2" t="str">
        <x:v>PCENDC96</x:v>
      </x:c>
      <x:c r="C577" s="2" t="str">
        <x:v>2025-06-30</x:v>
      </x:c>
      <x:c r="D577" s="2" t="str">
        <x:v>Origin</x:v>
      </x:c>
      <x:c r="E577" s="2" t="str">
        <x:v>2025-04-01</x:v>
      </x:c>
      <x:c r="F577" s="2" t="str">
        <x:v>2025-06-01</x:v>
      </x:c>
      <x:c r="G577" s="2" t="str">
        <x:v>Recent trend</x:v>
      </x:c>
      <x:c r="H577" s="7" t="n">
        <x:v>3439.6999999999994</x:v>
      </x:c>
      <x:c r="I577" s="7" t="n">
        <x:v>3487.9</x:v>
      </x:c>
      <x:c r="J577" s="2" t="str">
        <x:v>2025-07-31</x:v>
      </x:c>
      <x:c r="K577" s="7" t="n">
        <x:f>100*(H577/I577-1)</x:f>
        <x:v>-1.3819203532211555</x:v>
      </x:c>
      <x:c r="L577" s="7" t="n">
        <x:f>ABS(K577)</x:f>
        <x:v>1.3819203532211555</x:v>
      </x:c>
      <x:c r="M577" s="2" t="str">
        <x:v>Yes</x:v>
      </x:c>
    </x:row>
    <x:row r="578" ht="27" customHeight="1">
      <x:c r="A578" s="2"/>
      <x:c r="B578" s="2" t="str">
        <x:v>PCENDC96</x:v>
      </x:c>
      <x:c r="C578" s="2" t="str">
        <x:v>2025-06-30</x:v>
      </x:c>
      <x:c r="D578" s="2" t="str">
        <x:v>One month</x:v>
      </x:c>
      <x:c r="E578" s="2" t="str">
        <x:v>2025-05-30</x:v>
      </x:c>
      <x:c r="F578" s="2" t="str">
        <x:v>2025-05-01</x:v>
      </x:c>
      <x:c r="G578" s="2" t="str">
        <x:v>YoY carry</x:v>
      </x:c>
      <x:c r="H578" s="7" t="n">
        <x:v>3497.1734202784414</x:v>
      </x:c>
      <x:c r="I578" s="7" t="n">
        <x:v>3476.4</x:v>
      </x:c>
      <x:c r="J578" s="2" t="str">
        <x:v>2025-06-27</x:v>
      </x:c>
      <x:c r="K578" s="7" t="n">
        <x:f>100*(H578/I578-1)</x:f>
        <x:v>0.5975555252111686</x:v>
      </x:c>
      <x:c r="L578" s="7" t="n">
        <x:f>ABS(K578)</x:f>
        <x:v>0.5975555252111686</x:v>
      </x:c>
      <x:c r="M578" s="2" t="str">
        <x:v>Yes</x:v>
      </x:c>
    </x:row>
    <x:row r="579" ht="27" customHeight="1">
      <x:c r="A579" s="2"/>
      <x:c r="B579" s="2" t="str">
        <x:v>PCENDC96</x:v>
      </x:c>
      <x:c r="C579" s="2" t="str">
        <x:v>2025-06-30</x:v>
      </x:c>
      <x:c r="D579" s="2" t="str">
        <x:v>One month</x:v>
      </x:c>
      <x:c r="E579" s="2" t="str">
        <x:v>2025-05-30</x:v>
      </x:c>
      <x:c r="F579" s="2" t="str">
        <x:v>2025-06-01</x:v>
      </x:c>
      <x:c r="G579" s="2" t="str">
        <x:v>YoY carry</x:v>
      </x:c>
      <x:c r="H579" s="7" t="n">
        <x:v>3504.1865375210295</x:v>
      </x:c>
      <x:c r="I579" s="7" t="n">
        <x:v>3487.9</x:v>
      </x:c>
      <x:c r="J579" s="2" t="str">
        <x:v>2025-07-31</x:v>
      </x:c>
      <x:c r="K579" s="7" t="n">
        <x:f>100*(H579/I579-1)</x:f>
        <x:v>0.46694393534876255</x:v>
      </x:c>
      <x:c r="L579" s="7" t="n">
        <x:f>ABS(K579)</x:f>
        <x:v>0.46694393534876255</x:v>
      </x:c>
      <x:c r="M579" s="2" t="str">
        <x:v>Yes</x:v>
      </x:c>
    </x:row>
    <x:row r="580" ht="27" customHeight="1">
      <x:c r="A580" s="2"/>
      <x:c r="B580" s="2" t="str">
        <x:v>PCENDC96</x:v>
      </x:c>
      <x:c r="C580" s="2" t="str">
        <x:v>2025-06-30</x:v>
      </x:c>
      <x:c r="D580" s="2" t="str">
        <x:v>One month</x:v>
      </x:c>
      <x:c r="E580" s="2" t="str">
        <x:v>2025-05-30</x:v>
      </x:c>
      <x:c r="F580" s="2" t="str">
        <x:v>2025-05-01</x:v>
      </x:c>
      <x:c r="G580" s="2" t="str">
        <x:v>Flat level</x:v>
      </x:c>
      <x:c r="H580" s="7" t="n">
        <x:v>3486</x:v>
      </x:c>
      <x:c r="I580" s="7" t="n">
        <x:v>3476.4</x:v>
      </x:c>
      <x:c r="J580" s="2" t="str">
        <x:v>2025-06-27</x:v>
      </x:c>
      <x:c r="K580" s="7" t="n">
        <x:f>100*(H580/I580-1)</x:f>
        <x:v>0.2761477390403888</x:v>
      </x:c>
      <x:c r="L580" s="7" t="n">
        <x:f>ABS(K580)</x:f>
        <x:v>0.2761477390403888</x:v>
      </x:c>
      <x:c r="M580" s="2" t="str">
        <x:v>Yes</x:v>
      </x:c>
    </x:row>
    <x:row r="581" ht="27" customHeight="1">
      <x:c r="A581" s="2"/>
      <x:c r="B581" s="2" t="str">
        <x:v>PCENDC96</x:v>
      </x:c>
      <x:c r="C581" s="2" t="str">
        <x:v>2025-06-30</x:v>
      </x:c>
      <x:c r="D581" s="2" t="str">
        <x:v>One month</x:v>
      </x:c>
      <x:c r="E581" s="2" t="str">
        <x:v>2025-05-30</x:v>
      </x:c>
      <x:c r="F581" s="2" t="str">
        <x:v>2025-06-01</x:v>
      </x:c>
      <x:c r="G581" s="2" t="str">
        <x:v>Flat level</x:v>
      </x:c>
      <x:c r="H581" s="7" t="n">
        <x:v>3486</x:v>
      </x:c>
      <x:c r="I581" s="7" t="n">
        <x:v>3487.9</x:v>
      </x:c>
      <x:c r="J581" s="2" t="str">
        <x:v>2025-07-31</x:v>
      </x:c>
      <x:c r="K581" s="7" t="n">
        <x:f>100*(H581/I581-1)</x:f>
        <x:v>-0.0544740388199183</x:v>
      </x:c>
      <x:c r="L581" s="7" t="n">
        <x:f>ABS(K581)</x:f>
        <x:v>0.0544740388199183</x:v>
      </x:c>
      <x:c r="M581" s="2" t="str">
        <x:v>Yes</x:v>
      </x:c>
    </x:row>
    <x:row r="582" ht="27" customHeight="1">
      <x:c r="A582" s="2"/>
      <x:c r="B582" s="2" t="str">
        <x:v>PCENDC96</x:v>
      </x:c>
      <x:c r="C582" s="2" t="str">
        <x:v>2025-06-30</x:v>
      </x:c>
      <x:c r="D582" s="2" t="str">
        <x:v>One month</x:v>
      </x:c>
      <x:c r="E582" s="2" t="str">
        <x:v>2025-05-30</x:v>
      </x:c>
      <x:c r="F582" s="2" t="str">
        <x:v>2025-05-01</x:v>
      </x:c>
      <x:c r="G582" s="2" t="str">
        <x:v>Recent trend</x:v>
      </x:c>
      <x:c r="H582" s="7" t="n">
        <x:v>3492.8</x:v>
      </x:c>
      <x:c r="I582" s="7" t="n">
        <x:v>3476.4</x:v>
      </x:c>
      <x:c r="J582" s="2" t="str">
        <x:v>2025-06-27</x:v>
      </x:c>
      <x:c r="K582" s="7" t="n">
        <x:f>100*(H582/I582-1)</x:f>
        <x:v>0.4717523875273244</x:v>
      </x:c>
      <x:c r="L582" s="7" t="n">
        <x:f>ABS(K582)</x:f>
        <x:v>0.4717523875273244</x:v>
      </x:c>
      <x:c r="M582" s="2" t="str">
        <x:v>Yes</x:v>
      </x:c>
    </x:row>
    <x:row r="583" ht="27" customHeight="1">
      <x:c r="A583" s="2"/>
      <x:c r="B583" s="2" t="str">
        <x:v>PCENDC96</x:v>
      </x:c>
      <x:c r="C583" s="2" t="str">
        <x:v>2025-06-30</x:v>
      </x:c>
      <x:c r="D583" s="2" t="str">
        <x:v>One month</x:v>
      </x:c>
      <x:c r="E583" s="2" t="str">
        <x:v>2025-05-30</x:v>
      </x:c>
      <x:c r="F583" s="2" t="str">
        <x:v>2025-06-01</x:v>
      </x:c>
      <x:c r="G583" s="2" t="str">
        <x:v>Recent trend</x:v>
      </x:c>
      <x:c r="H583" s="7" t="n">
        <x:v>3499.6</x:v>
      </x:c>
      <x:c r="I583" s="7" t="n">
        <x:v>3487.9</x:v>
      </x:c>
      <x:c r="J583" s="2" t="str">
        <x:v>2025-07-31</x:v>
      </x:c>
      <x:c r="K583" s="7" t="n">
        <x:f>100*(H583/I583-1)</x:f>
        <x:v>0.3354453969437232</x:v>
      </x:c>
      <x:c r="L583" s="7" t="n">
        <x:f>ABS(K583)</x:f>
        <x:v>0.3354453969437232</x:v>
      </x:c>
      <x:c r="M583" s="2" t="str">
        <x:v>Yes</x:v>
      </x:c>
    </x:row>
    <x:row r="584" ht="27" customHeight="1">
      <x:c r="A584" s="2"/>
      <x:c r="B584" s="2" t="str">
        <x:v>PCENDC96</x:v>
      </x:c>
      <x:c r="C584" s="2" t="str">
        <x:v>2025-06-30</x:v>
      </x:c>
      <x:c r="D584" s="2" t="str">
        <x:v>Two months</x:v>
      </x:c>
      <x:c r="E584" s="2" t="str">
        <x:v>2025-06-27</x:v>
      </x:c>
      <x:c r="F584" s="2" t="str">
        <x:v>2025-06-01</x:v>
      </x:c>
      <x:c r="G584" s="2" t="str">
        <x:v>YoY carry</x:v>
      </x:c>
      <x:c r="H584" s="7" t="n">
        <x:v>3493.2281677521323</x:v>
      </x:c>
      <x:c r="I584" s="7" t="n">
        <x:v>3487.9</x:v>
      </x:c>
      <x:c r="J584" s="2" t="str">
        <x:v>2025-07-31</x:v>
      </x:c>
      <x:c r="K584" s="7" t="n">
        <x:f>100*(H584/I584-1)</x:f>
        <x:v>0.1527614826150936</x:v>
      </x:c>
      <x:c r="L584" s="7" t="n">
        <x:f>ABS(K584)</x:f>
        <x:v>0.1527614826150936</x:v>
      </x:c>
      <x:c r="M584" s="2" t="str">
        <x:v>Yes</x:v>
      </x:c>
    </x:row>
    <x:row r="585" ht="27" customHeight="1">
      <x:c r="A585" s="2"/>
      <x:c r="B585" s="2" t="str">
        <x:v>PCENDC96</x:v>
      </x:c>
      <x:c r="C585" s="2" t="str">
        <x:v>2025-06-30</x:v>
      </x:c>
      <x:c r="D585" s="2" t="str">
        <x:v>Two months</x:v>
      </x:c>
      <x:c r="E585" s="2" t="str">
        <x:v>2025-06-27</x:v>
      </x:c>
      <x:c r="F585" s="2" t="str">
        <x:v>2025-06-01</x:v>
      </x:c>
      <x:c r="G585" s="2" t="str">
        <x:v>Flat level</x:v>
      </x:c>
      <x:c r="H585" s="7" t="n">
        <x:v>3476.4</x:v>
      </x:c>
      <x:c r="I585" s="7" t="n">
        <x:v>3487.9</x:v>
      </x:c>
      <x:c r="J585" s="2" t="str">
        <x:v>2025-07-31</x:v>
      </x:c>
      <x:c r="K585" s="7" t="n">
        <x:f>100*(H585/I585-1)</x:f>
        <x:v>-0.3297112875942587</x:v>
      </x:c>
      <x:c r="L585" s="7" t="n">
        <x:f>ABS(K585)</x:f>
        <x:v>0.3297112875942587</x:v>
      </x:c>
      <x:c r="M585" s="2" t="str">
        <x:v>Yes</x:v>
      </x:c>
    </x:row>
    <x:row r="586" ht="27" customHeight="1">
      <x:c r="A586" s="2"/>
      <x:c r="B586" s="2" t="str">
        <x:v>PCENDC96</x:v>
      </x:c>
      <x:c r="C586" s="2" t="str">
        <x:v>2025-06-30</x:v>
      </x:c>
      <x:c r="D586" s="2" t="str">
        <x:v>Two months</x:v>
      </x:c>
      <x:c r="E586" s="2" t="str">
        <x:v>2025-06-27</x:v>
      </x:c>
      <x:c r="F586" s="2" t="str">
        <x:v>2025-06-01</x:v>
      </x:c>
      <x:c r="G586" s="2" t="str">
        <x:v>Recent trend</x:v>
      </x:c>
      <x:c r="H586" s="7" t="n">
        <x:v>3473</x:v>
      </x:c>
      <x:c r="I586" s="7" t="n">
        <x:v>3487.9</x:v>
      </x:c>
      <x:c r="J586" s="2" t="str">
        <x:v>2025-07-31</x:v>
      </x:c>
      <x:c r="K586" s="7" t="n">
        <x:f>100*(H586/I586-1)</x:f>
        <x:v>-0.4271911465351663</x:v>
      </x:c>
      <x:c r="L586" s="7" t="n">
        <x:f>ABS(K586)</x:f>
        <x:v>0.4271911465351663</x:v>
      </x:c>
      <x:c r="M586" s="2" t="str">
        <x:v>Yes</x:v>
      </x:c>
    </x:row>
    <x:row r="587" ht="27" customHeight="1">
      <x:c r="A587" s="2"/>
      <x:c r="B587" s="2" t="str">
        <x:v>PCENDC96</x:v>
      </x:c>
      <x:c r="C587" s="2" t="str">
        <x:v>2025-06-30</x:v>
      </x:c>
      <x:c r="D587" s="2" t="str">
        <x:v>Pre-earnings</x:v>
      </x:c>
      <x:c r="E587" s="2" t="str">
        <x:v>2025-07-28</x:v>
      </x:c>
      <x:c r="F587" s="2" t="str">
        <x:v>2025-06-01</x:v>
      </x:c>
      <x:c r="G587" s="2" t="str">
        <x:v>YoY carry</x:v>
      </x:c>
      <x:c r="H587" s="7" t="n">
        <x:v>3493.2281677521323</x:v>
      </x:c>
      <x:c r="I587" s="7" t="n">
        <x:v>3487.9</x:v>
      </x:c>
      <x:c r="J587" s="2" t="str">
        <x:v>2025-07-31</x:v>
      </x:c>
      <x:c r="K587" s="7" t="n">
        <x:f>100*(H587/I587-1)</x:f>
        <x:v>0.1527614826150936</x:v>
      </x:c>
      <x:c r="L587" s="7" t="n">
        <x:f>ABS(K587)</x:f>
        <x:v>0.1527614826150936</x:v>
      </x:c>
      <x:c r="M587" s="2" t="str">
        <x:v>Yes</x:v>
      </x:c>
    </x:row>
    <x:row r="588" ht="27" customHeight="1">
      <x:c r="A588" s="2"/>
      <x:c r="B588" s="2" t="str">
        <x:v>PCENDC96</x:v>
      </x:c>
      <x:c r="C588" s="2" t="str">
        <x:v>2025-06-30</x:v>
      </x:c>
      <x:c r="D588" s="2" t="str">
        <x:v>Pre-earnings</x:v>
      </x:c>
      <x:c r="E588" s="2" t="str">
        <x:v>2025-07-28</x:v>
      </x:c>
      <x:c r="F588" s="2" t="str">
        <x:v>2025-06-01</x:v>
      </x:c>
      <x:c r="G588" s="2" t="str">
        <x:v>Flat level</x:v>
      </x:c>
      <x:c r="H588" s="7" t="n">
        <x:v>3476.4</x:v>
      </x:c>
      <x:c r="I588" s="7" t="n">
        <x:v>3487.9</x:v>
      </x:c>
      <x:c r="J588" s="2" t="str">
        <x:v>2025-07-31</x:v>
      </x:c>
      <x:c r="K588" s="7" t="n">
        <x:f>100*(H588/I588-1)</x:f>
        <x:v>-0.3297112875942587</x:v>
      </x:c>
      <x:c r="L588" s="7" t="n">
        <x:f>ABS(K588)</x:f>
        <x:v>0.3297112875942587</x:v>
      </x:c>
      <x:c r="M588" s="2" t="str">
        <x:v>Yes</x:v>
      </x:c>
    </x:row>
    <x:row r="589" ht="27" customHeight="1">
      <x:c r="A589" s="2"/>
      <x:c r="B589" s="2" t="str">
        <x:v>PCENDC96</x:v>
      </x:c>
      <x:c r="C589" s="2" t="str">
        <x:v>2025-06-30</x:v>
      </x:c>
      <x:c r="D589" s="2" t="str">
        <x:v>Pre-earnings</x:v>
      </x:c>
      <x:c r="E589" s="2" t="str">
        <x:v>2025-07-28</x:v>
      </x:c>
      <x:c r="F589" s="2" t="str">
        <x:v>2025-06-01</x:v>
      </x:c>
      <x:c r="G589" s="2" t="str">
        <x:v>Recent trend</x:v>
      </x:c>
      <x:c r="H589" s="7" t="n">
        <x:v>3473</x:v>
      </x:c>
      <x:c r="I589" s="7" t="n">
        <x:v>3487.9</x:v>
      </x:c>
      <x:c r="J589" s="2" t="str">
        <x:v>2025-07-31</x:v>
      </x:c>
      <x:c r="K589" s="7" t="n">
        <x:f>100*(H589/I589-1)</x:f>
        <x:v>-0.4271911465351663</x:v>
      </x:c>
      <x:c r="L589" s="7" t="n">
        <x:f>ABS(K589)</x:f>
        <x:v>0.4271911465351663</x:v>
      </x:c>
      <x:c r="M589" s="2" t="str">
        <x:v>Yes</x:v>
      </x:c>
    </x:row>
    <x:row r="590" ht="27" customHeight="1">
      <x:c r="A590" s="2"/>
      <x:c r="B590" s="2" t="str">
        <x:v>PCENDC96</x:v>
      </x:c>
      <x:c r="C590" s="2" t="str">
        <x:v>2025-09-30</x:v>
      </x:c>
      <x:c r="D590" s="2" t="str">
        <x:v>Origin</x:v>
      </x:c>
      <x:c r="E590" s="2" t="str">
        <x:v>2025-07-01</x:v>
      </x:c>
      <x:c r="F590" s="2" t="str">
        <x:v>2025-07-01</x:v>
      </x:c>
      <x:c r="G590" s="2" t="str">
        <x:v>YoY carry</x:v>
      </x:c>
      <x:c r="H590" s="7" t="n">
        <x:v>3516.257955831612</x:v>
      </x:c>
      <x:c r="I590" s="7" t="n">
        <x:v>3513.6</x:v>
      </x:c>
      <x:c r="J590" s="2" t="str">
        <x:v>2025-08-29</x:v>
      </x:c>
      <x:c r="K590" s="7" t="n">
        <x:f>100*(H590/I590-1)</x:f>
        <x:v>0.07564765003449381</x:v>
      </x:c>
      <x:c r="L590" s="7" t="n">
        <x:f>ABS(K590)</x:f>
        <x:v>0.07564765003449381</x:v>
      </x:c>
      <x:c r="M590" s="2" t="str">
        <x:v>Yes</x:v>
      </x:c>
    </x:row>
    <x:row r="591" ht="27" customHeight="1">
      <x:c r="A591" s="2"/>
      <x:c r="B591" s="2" t="str">
        <x:v>PCENDC96</x:v>
      </x:c>
      <x:c r="C591" s="2" t="str">
        <x:v>2025-09-30</x:v>
      </x:c>
      <x:c r="D591" s="2" t="str">
        <x:v>Origin</x:v>
      </x:c>
      <x:c r="E591" s="2" t="str">
        <x:v>2025-07-01</x:v>
      </x:c>
      <x:c r="F591" s="2" t="str">
        <x:v>2025-08-01</x:v>
      </x:c>
      <x:c r="G591" s="2" t="str">
        <x:v>YoY carry</x:v>
      </x:c>
      <x:c r="H591" s="7" t="n">
        <x:v>3506.285235100766</x:v>
      </x:c>
      <x:c r="I591" s="7" t="n">
        <x:v>3547.1</x:v>
      </x:c>
      <x:c r="J591" s="2" t="str">
        <x:v>2025-09-26</x:v>
      </x:c>
      <x:c r="K591" s="7" t="n">
        <x:f>100*(H591/I591-1)</x:f>
        <x:v>-1.1506516562610036</x:v>
      </x:c>
      <x:c r="L591" s="7" t="n">
        <x:f>ABS(K591)</x:f>
        <x:v>1.1506516562610036</x:v>
      </x:c>
      <x:c r="M591" s="2" t="str">
        <x:v>Yes</x:v>
      </x:c>
    </x:row>
    <x:row r="592" ht="27" customHeight="1">
      <x:c r="A592" s="2"/>
      <x:c r="B592" s="2" t="str">
        <x:v>PCENDC96</x:v>
      </x:c>
      <x:c r="C592" s="2" t="str">
        <x:v>2025-09-30</x:v>
      </x:c>
      <x:c r="D592" s="2" t="str">
        <x:v>Origin</x:v>
      </x:c>
      <x:c r="E592" s="2" t="str">
        <x:v>2025-07-01</x:v>
      </x:c>
      <x:c r="F592" s="2" t="str">
        <x:v>2025-09-01</x:v>
      </x:c>
      <x:c r="G592" s="2" t="str">
        <x:v>YoY carry</x:v>
      </x:c>
      <x:c r="H592" s="7" t="n">
        <x:v>3547.3070451173394</x:v>
      </x:c>
      <x:c r="I592" s="7" t="n">
        <x:v>3537.3</x:v>
      </x:c>
      <x:c r="J592" s="2" t="str">
        <x:v>2025-12-05</x:v>
      </x:c>
      <x:c r="K592" s="7" t="n">
        <x:f>100*(H592/I592-1)</x:f>
        <x:v>0.28290066201168695</x:v>
      </x:c>
      <x:c r="L592" s="7" t="n">
        <x:f>ABS(K592)</x:f>
        <x:v>0.28290066201168695</x:v>
      </x:c>
      <x:c r="M592" s="2" t="str">
        <x:v>Yes</x:v>
      </x:c>
    </x:row>
    <x:row r="593" ht="27" customHeight="1">
      <x:c r="A593" s="2"/>
      <x:c r="B593" s="2" t="str">
        <x:v>PCENDC96</x:v>
      </x:c>
      <x:c r="C593" s="2" t="str">
        <x:v>2025-09-30</x:v>
      </x:c>
      <x:c r="D593" s="2" t="str">
        <x:v>Origin</x:v>
      </x:c>
      <x:c r="E593" s="2" t="str">
        <x:v>2025-07-01</x:v>
      </x:c>
      <x:c r="F593" s="2" t="str">
        <x:v>2025-07-01</x:v>
      </x:c>
      <x:c r="G593" s="2" t="str">
        <x:v>Flat level</x:v>
      </x:c>
      <x:c r="H593" s="7" t="n">
        <x:v>3476.4</x:v>
      </x:c>
      <x:c r="I593" s="7" t="n">
        <x:v>3513.6</x:v>
      </x:c>
      <x:c r="J593" s="2" t="str">
        <x:v>2025-08-29</x:v>
      </x:c>
      <x:c r="K593" s="7" t="n">
        <x:f>100*(H593/I593-1)</x:f>
        <x:v>-1.0587431693989013</x:v>
      </x:c>
      <x:c r="L593" s="7" t="n">
        <x:f>ABS(K593)</x:f>
        <x:v>1.0587431693989013</x:v>
      </x:c>
      <x:c r="M593" s="2" t="str">
        <x:v>Yes</x:v>
      </x:c>
    </x:row>
    <x:row r="594" ht="27" customHeight="1">
      <x:c r="A594" s="2"/>
      <x:c r="B594" s="2" t="str">
        <x:v>PCENDC96</x:v>
      </x:c>
      <x:c r="C594" s="2" t="str">
        <x:v>2025-09-30</x:v>
      </x:c>
      <x:c r="D594" s="2" t="str">
        <x:v>Origin</x:v>
      </x:c>
      <x:c r="E594" s="2" t="str">
        <x:v>2025-07-01</x:v>
      </x:c>
      <x:c r="F594" s="2" t="str">
        <x:v>2025-08-01</x:v>
      </x:c>
      <x:c r="G594" s="2" t="str">
        <x:v>Flat level</x:v>
      </x:c>
      <x:c r="H594" s="7" t="n">
        <x:v>3476.4</x:v>
      </x:c>
      <x:c r="I594" s="7" t="n">
        <x:v>3547.1</x:v>
      </x:c>
      <x:c r="J594" s="2" t="str">
        <x:v>2025-09-26</x:v>
      </x:c>
      <x:c r="K594" s="7" t="n">
        <x:f>100*(H594/I594-1)</x:f>
        <x:v>-1.9931775253023587</x:v>
      </x:c>
      <x:c r="L594" s="7" t="n">
        <x:f>ABS(K594)</x:f>
        <x:v>1.9931775253023587</x:v>
      </x:c>
      <x:c r="M594" s="2" t="str">
        <x:v>Yes</x:v>
      </x:c>
    </x:row>
    <x:row r="595" ht="27" customHeight="1">
      <x:c r="A595" s="2"/>
      <x:c r="B595" s="2" t="str">
        <x:v>PCENDC96</x:v>
      </x:c>
      <x:c r="C595" s="2" t="str">
        <x:v>2025-09-30</x:v>
      </x:c>
      <x:c r="D595" s="2" t="str">
        <x:v>Origin</x:v>
      </x:c>
      <x:c r="E595" s="2" t="str">
        <x:v>2025-07-01</x:v>
      </x:c>
      <x:c r="F595" s="2" t="str">
        <x:v>2025-09-01</x:v>
      </x:c>
      <x:c r="G595" s="2" t="str">
        <x:v>Flat level</x:v>
      </x:c>
      <x:c r="H595" s="7" t="n">
        <x:v>3476.4</x:v>
      </x:c>
      <x:c r="I595" s="7" t="n">
        <x:v>3537.3</x:v>
      </x:c>
      <x:c r="J595" s="2" t="str">
        <x:v>2025-12-05</x:v>
      </x:c>
      <x:c r="K595" s="7" t="n">
        <x:f>100*(H595/I595-1)</x:f>
        <x:v>-1.7216521075396507</x:v>
      </x:c>
      <x:c r="L595" s="7" t="n">
        <x:f>ABS(K595)</x:f>
        <x:v>1.7216521075396507</x:v>
      </x:c>
      <x:c r="M595" s="2" t="str">
        <x:v>Yes</x:v>
      </x:c>
    </x:row>
    <x:row r="596" ht="27" customHeight="1">
      <x:c r="A596" s="2"/>
      <x:c r="B596" s="2" t="str">
        <x:v>PCENDC96</x:v>
      </x:c>
      <x:c r="C596" s="2" t="str">
        <x:v>2025-09-30</x:v>
      </x:c>
      <x:c r="D596" s="2" t="str">
        <x:v>Origin</x:v>
      </x:c>
      <x:c r="E596" s="2" t="str">
        <x:v>2025-07-01</x:v>
      </x:c>
      <x:c r="F596" s="2" t="str">
        <x:v>2025-07-01</x:v>
      </x:c>
      <x:c r="G596" s="2" t="str">
        <x:v>Recent trend</x:v>
      </x:c>
      <x:c r="H596" s="7" t="n">
        <x:v>3469.6000000000004</x:v>
      </x:c>
      <x:c r="I596" s="7" t="n">
        <x:v>3513.6</x:v>
      </x:c>
      <x:c r="J596" s="2" t="str">
        <x:v>2025-08-29</x:v>
      </x:c>
      <x:c r="K596" s="7" t="n">
        <x:f>100*(H596/I596-1)</x:f>
        <x:v>-1.2522768670309548</x:v>
      </x:c>
      <x:c r="L596" s="7" t="n">
        <x:f>ABS(K596)</x:f>
        <x:v>1.2522768670309548</x:v>
      </x:c>
      <x:c r="M596" s="2" t="str">
        <x:v>Yes</x:v>
      </x:c>
    </x:row>
    <x:row r="597" ht="27" customHeight="1">
      <x:c r="A597" s="2"/>
      <x:c r="B597" s="2" t="str">
        <x:v>PCENDC96</x:v>
      </x:c>
      <x:c r="C597" s="2" t="str">
        <x:v>2025-09-30</x:v>
      </x:c>
      <x:c r="D597" s="2" t="str">
        <x:v>Origin</x:v>
      </x:c>
      <x:c r="E597" s="2" t="str">
        <x:v>2025-07-01</x:v>
      </x:c>
      <x:c r="F597" s="2" t="str">
        <x:v>2025-08-01</x:v>
      </x:c>
      <x:c r="G597" s="2" t="str">
        <x:v>Recent trend</x:v>
      </x:c>
      <x:c r="H597" s="7" t="n">
        <x:v>3466.2000000000007</x:v>
      </x:c>
      <x:c r="I597" s="7" t="n">
        <x:v>3547.1</x:v>
      </x:c>
      <x:c r="J597" s="2" t="str">
        <x:v>2025-09-26</x:v>
      </x:c>
      <x:c r="K597" s="7" t="n">
        <x:f>100*(H597/I597-1)</x:f>
        <x:v>-2.2807363761946142</x:v>
      </x:c>
      <x:c r="L597" s="7" t="n">
        <x:f>ABS(K597)</x:f>
        <x:v>2.2807363761946142</x:v>
      </x:c>
      <x:c r="M597" s="2" t="str">
        <x:v>Yes</x:v>
      </x:c>
    </x:row>
    <x:row r="598" ht="27" customHeight="1">
      <x:c r="A598" s="2"/>
      <x:c r="B598" s="2" t="str">
        <x:v>PCENDC96</x:v>
      </x:c>
      <x:c r="C598" s="2" t="str">
        <x:v>2025-09-30</x:v>
      </x:c>
      <x:c r="D598" s="2" t="str">
        <x:v>Origin</x:v>
      </x:c>
      <x:c r="E598" s="2" t="str">
        <x:v>2025-07-01</x:v>
      </x:c>
      <x:c r="F598" s="2" t="str">
        <x:v>2025-09-01</x:v>
      </x:c>
      <x:c r="G598" s="2" t="str">
        <x:v>Recent trend</x:v>
      </x:c>
      <x:c r="H598" s="7" t="n">
        <x:v>3462.8000000000006</x:v>
      </x:c>
      <x:c r="I598" s="7" t="n">
        <x:v>3537.3</x:v>
      </x:c>
      <x:c r="J598" s="2" t="str">
        <x:v>2025-12-05</x:v>
      </x:c>
      <x:c r="K598" s="7" t="n">
        <x:f>100*(H598/I598-1)</x:f>
        <x:v>-2.106126141407272</x:v>
      </x:c>
      <x:c r="L598" s="7" t="n">
        <x:f>ABS(K598)</x:f>
        <x:v>2.106126141407272</x:v>
      </x:c>
      <x:c r="M598" s="2" t="str">
        <x:v>Yes</x:v>
      </x:c>
    </x:row>
    <x:row r="599" ht="27" customHeight="1">
      <x:c r="A599" s="2"/>
      <x:c r="B599" s="2" t="str">
        <x:v>PCENDC96</x:v>
      </x:c>
      <x:c r="C599" s="2" t="str">
        <x:v>2025-09-30</x:v>
      </x:c>
      <x:c r="D599" s="2" t="str">
        <x:v>One month</x:v>
      </x:c>
      <x:c r="E599" s="2" t="str">
        <x:v>2025-08-29</x:v>
      </x:c>
      <x:c r="F599" s="2" t="str">
        <x:v>2025-08-01</x:v>
      </x:c>
      <x:c r="G599" s="2" t="str">
        <x:v>YoY carry</x:v>
      </x:c>
      <x:c r="H599" s="7" t="n">
        <x:v>3507.954321773053</x:v>
      </x:c>
      <x:c r="I599" s="7" t="n">
        <x:v>3547.1</x:v>
      </x:c>
      <x:c r="J599" s="2" t="str">
        <x:v>2025-09-26</x:v>
      </x:c>
      <x:c r="K599" s="7" t="n">
        <x:f>100*(H599/I599-1)</x:f>
        <x:v>-1.1035966910136974</x:v>
      </x:c>
      <x:c r="L599" s="7" t="n">
        <x:f>ABS(K599)</x:f>
        <x:v>1.1035966910136974</x:v>
      </x:c>
      <x:c r="M599" s="2" t="str">
        <x:v>Yes</x:v>
      </x:c>
    </x:row>
    <x:row r="600" ht="27" customHeight="1">
      <x:c r="A600" s="2"/>
      <x:c r="B600" s="2" t="str">
        <x:v>PCENDC96</x:v>
      </x:c>
      <x:c r="C600" s="2" t="str">
        <x:v>2025-09-30</x:v>
      </x:c>
      <x:c r="D600" s="2" t="str">
        <x:v>One month</x:v>
      </x:c>
      <x:c r="E600" s="2" t="str">
        <x:v>2025-08-29</x:v>
      </x:c>
      <x:c r="F600" s="2" t="str">
        <x:v>2025-09-01</x:v>
      </x:c>
      <x:c r="G600" s="2" t="str">
        <x:v>YoY carry</x:v>
      </x:c>
      <x:c r="H600" s="7" t="n">
        <x:v>3548.9956592814815</x:v>
      </x:c>
      <x:c r="I600" s="7" t="n">
        <x:v>3537.3</x:v>
      </x:c>
      <x:c r="J600" s="2" t="str">
        <x:v>2025-12-05</x:v>
      </x:c>
      <x:c r="K600" s="7" t="n">
        <x:f>100*(H600/I600-1)</x:f>
        <x:v>0.3306380369626938</x:v>
      </x:c>
      <x:c r="L600" s="7" t="n">
        <x:f>ABS(K600)</x:f>
        <x:v>0.3306380369626938</x:v>
      </x:c>
      <x:c r="M600" s="2" t="str">
        <x:v>Yes</x:v>
      </x:c>
    </x:row>
    <x:row r="601" ht="27" customHeight="1">
      <x:c r="A601" s="2"/>
      <x:c r="B601" s="2" t="str">
        <x:v>PCENDC96</x:v>
      </x:c>
      <x:c r="C601" s="2" t="str">
        <x:v>2025-09-30</x:v>
      </x:c>
      <x:c r="D601" s="2" t="str">
        <x:v>One month</x:v>
      </x:c>
      <x:c r="E601" s="2" t="str">
        <x:v>2025-08-29</x:v>
      </x:c>
      <x:c r="F601" s="2" t="str">
        <x:v>2025-08-01</x:v>
      </x:c>
      <x:c r="G601" s="2" t="str">
        <x:v>Flat level</x:v>
      </x:c>
      <x:c r="H601" s="7" t="n">
        <x:v>3513.6</x:v>
      </x:c>
      <x:c r="I601" s="7" t="n">
        <x:v>3547.1</x:v>
      </x:c>
      <x:c r="J601" s="2" t="str">
        <x:v>2025-09-26</x:v>
      </x:c>
      <x:c r="K601" s="7" t="n">
        <x:f>100*(H601/I601-1)</x:f>
        <x:v>-0.9444334808716981</x:v>
      </x:c>
      <x:c r="L601" s="7" t="n">
        <x:f>ABS(K601)</x:f>
        <x:v>0.9444334808716981</x:v>
      </x:c>
      <x:c r="M601" s="2" t="str">
        <x:v>Yes</x:v>
      </x:c>
    </x:row>
    <x:row r="602" ht="27" customHeight="1">
      <x:c r="A602" s="2"/>
      <x:c r="B602" s="2" t="str">
        <x:v>PCENDC96</x:v>
      </x:c>
      <x:c r="C602" s="2" t="str">
        <x:v>2025-09-30</x:v>
      </x:c>
      <x:c r="D602" s="2" t="str">
        <x:v>One month</x:v>
      </x:c>
      <x:c r="E602" s="2" t="str">
        <x:v>2025-08-29</x:v>
      </x:c>
      <x:c r="F602" s="2" t="str">
        <x:v>2025-09-01</x:v>
      </x:c>
      <x:c r="G602" s="2" t="str">
        <x:v>Flat level</x:v>
      </x:c>
      <x:c r="H602" s="7" t="n">
        <x:v>3513.6</x:v>
      </x:c>
      <x:c r="I602" s="7" t="n">
        <x:v>3537.3</x:v>
      </x:c>
      <x:c r="J602" s="2" t="str">
        <x:v>2025-12-05</x:v>
      </x:c>
      <x:c r="K602" s="7" t="n">
        <x:f>100*(H602/I602-1)</x:f>
        <x:v>-0.6700025443134638</x:v>
      </x:c>
      <x:c r="L602" s="7" t="n">
        <x:f>ABS(K602)</x:f>
        <x:v>0.6700025443134638</x:v>
      </x:c>
      <x:c r="M602" s="2" t="str">
        <x:v>Yes</x:v>
      </x:c>
    </x:row>
    <x:row r="603" ht="27" customHeight="1">
      <x:c r="A603" s="2"/>
      <x:c r="B603" s="2" t="str">
        <x:v>PCENDC96</x:v>
      </x:c>
      <x:c r="C603" s="2" t="str">
        <x:v>2025-09-30</x:v>
      </x:c>
      <x:c r="D603" s="2" t="str">
        <x:v>One month</x:v>
      </x:c>
      <x:c r="E603" s="2" t="str">
        <x:v>2025-08-29</x:v>
      </x:c>
      <x:c r="F603" s="2" t="str">
        <x:v>2025-08-01</x:v>
      </x:c>
      <x:c r="G603" s="2" t="str">
        <x:v>Recent trend</x:v>
      </x:c>
      <x:c r="H603" s="7" t="n">
        <x:v>3528.7</x:v>
      </x:c>
      <x:c r="I603" s="7" t="n">
        <x:v>3547.1</x:v>
      </x:c>
      <x:c r="J603" s="2" t="str">
        <x:v>2025-09-26</x:v>
      </x:c>
      <x:c r="K603" s="7" t="n">
        <x:f>100*(H603/I603-1)</x:f>
        <x:v>-0.5187336133743115</x:v>
      </x:c>
      <x:c r="L603" s="7" t="n">
        <x:f>ABS(K603)</x:f>
        <x:v>0.5187336133743115</x:v>
      </x:c>
      <x:c r="M603" s="2" t="str">
        <x:v>Yes</x:v>
      </x:c>
    </x:row>
    <x:row r="604" ht="27" customHeight="1">
      <x:c r="A604" s="2"/>
      <x:c r="B604" s="2" t="str">
        <x:v>PCENDC96</x:v>
      </x:c>
      <x:c r="C604" s="2" t="str">
        <x:v>2025-09-30</x:v>
      </x:c>
      <x:c r="D604" s="2" t="str">
        <x:v>One month</x:v>
      </x:c>
      <x:c r="E604" s="2" t="str">
        <x:v>2025-08-29</x:v>
      </x:c>
      <x:c r="F604" s="2" t="str">
        <x:v>2025-09-01</x:v>
      </x:c>
      <x:c r="G604" s="2" t="str">
        <x:v>Recent trend</x:v>
      </x:c>
      <x:c r="H604" s="7" t="n">
        <x:v>3543.7999999999997</x:v>
      </x:c>
      <x:c r="I604" s="7" t="n">
        <x:v>3537.3</x:v>
      </x:c>
      <x:c r="J604" s="2" t="str">
        <x:v>2025-12-05</x:v>
      </x:c>
      <x:c r="K604" s="7" t="n">
        <x:f>100*(H604/I604-1)</x:f>
        <x:v>0.18375597206907734</x:v>
      </x:c>
      <x:c r="L604" s="7" t="n">
        <x:f>ABS(K604)</x:f>
        <x:v>0.18375597206907734</x:v>
      </x:c>
      <x:c r="M604" s="2" t="str">
        <x:v>Yes</x:v>
      </x:c>
    </x:row>
    <x:row r="605" ht="27" customHeight="1">
      <x:c r="A605" s="2"/>
      <x:c r="B605" s="2" t="str">
        <x:v>PCENDC96</x:v>
      </x:c>
      <x:c r="C605" s="2" t="str">
        <x:v>2025-09-30</x:v>
      </x:c>
      <x:c r="D605" s="2" t="str">
        <x:v>Two months</x:v>
      </x:c>
      <x:c r="E605" s="2" t="str">
        <x:v>2025-09-26</x:v>
      </x:c>
      <x:c r="F605" s="2" t="str">
        <x:v>2025-09-01</x:v>
      </x:c>
      <x:c r="G605" s="2" t="str">
        <x:v>YoY carry</x:v>
      </x:c>
      <x:c r="H605" s="7" t="n">
        <x:v>3578.610767800194</x:v>
      </x:c>
      <x:c r="I605" s="7" t="n">
        <x:v>3537.3</x:v>
      </x:c>
      <x:c r="J605" s="2" t="str">
        <x:v>2025-12-05</x:v>
      </x:c>
      <x:c r="K605" s="7" t="n">
        <x:f>100*(H605/I605-1)</x:f>
        <x:v>1.167861583699259</x:v>
      </x:c>
      <x:c r="L605" s="7" t="n">
        <x:f>ABS(K605)</x:f>
        <x:v>1.167861583699259</x:v>
      </x:c>
      <x:c r="M605" s="2" t="str">
        <x:v>Yes</x:v>
      </x:c>
    </x:row>
    <x:row r="606" ht="27" customHeight="1">
      <x:c r="A606" s="2"/>
      <x:c r="B606" s="2" t="str">
        <x:v>PCENDC96</x:v>
      </x:c>
      <x:c r="C606" s="2" t="str">
        <x:v>2025-09-30</x:v>
      </x:c>
      <x:c r="D606" s="2" t="str">
        <x:v>Two months</x:v>
      </x:c>
      <x:c r="E606" s="2" t="str">
        <x:v>2025-09-26</x:v>
      </x:c>
      <x:c r="F606" s="2" t="str">
        <x:v>2025-09-01</x:v>
      </x:c>
      <x:c r="G606" s="2" t="str">
        <x:v>Flat level</x:v>
      </x:c>
      <x:c r="H606" s="7" t="n">
        <x:v>3547.1</x:v>
      </x:c>
      <x:c r="I606" s="7" t="n">
        <x:v>3537.3</x:v>
      </x:c>
      <x:c r="J606" s="2" t="str">
        <x:v>2025-12-05</x:v>
      </x:c>
      <x:c r="K606" s="7" t="n">
        <x:f>100*(H606/I606-1)</x:f>
        <x:v>0.27704746558108173</x:v>
      </x:c>
      <x:c r="L606" s="7" t="n">
        <x:f>ABS(K606)</x:f>
        <x:v>0.27704746558108173</x:v>
      </x:c>
      <x:c r="M606" s="2" t="str">
        <x:v>Yes</x:v>
      </x:c>
    </x:row>
    <x:row r="607" ht="27" customHeight="1">
      <x:c r="A607" s="2"/>
      <x:c r="B607" s="2" t="str">
        <x:v>PCENDC96</x:v>
      </x:c>
      <x:c r="C607" s="2" t="str">
        <x:v>2025-09-30</x:v>
      </x:c>
      <x:c r="D607" s="2" t="str">
        <x:v>Two months</x:v>
      </x:c>
      <x:c r="E607" s="2" t="str">
        <x:v>2025-09-26</x:v>
      </x:c>
      <x:c r="F607" s="2" t="str">
        <x:v>2025-09-01</x:v>
      </x:c>
      <x:c r="G607" s="2" t="str">
        <x:v>Recent trend</x:v>
      </x:c>
      <x:c r="H607" s="7" t="n">
        <x:v>3559.25</x:v>
      </x:c>
      <x:c r="I607" s="7" t="n">
        <x:v>3537.3</x:v>
      </x:c>
      <x:c r="J607" s="2" t="str">
        <x:v>2025-12-05</x:v>
      </x:c>
      <x:c r="K607" s="7" t="n">
        <x:f>100*(H607/I607-1)</x:f>
        <x:v>0.6205297826025413</x:v>
      </x:c>
      <x:c r="L607" s="7" t="n">
        <x:f>ABS(K607)</x:f>
        <x:v>0.6205297826025413</x:v>
      </x:c>
      <x:c r="M607" s="2" t="str">
        <x:v>Yes</x:v>
      </x:c>
    </x:row>
    <x:row r="608" ht="27" customHeight="1">
      <x:c r="A608" s="2"/>
      <x:c r="B608" s="2" t="str">
        <x:v>PCENDC96</x:v>
      </x:c>
      <x:c r="C608" s="2" t="str">
        <x:v>2025-09-30</x:v>
      </x:c>
      <x:c r="D608" s="2" t="str">
        <x:v>Pre-earnings</x:v>
      </x:c>
      <x:c r="E608" s="2" t="str">
        <x:v>2025-10-23</x:v>
      </x:c>
      <x:c r="F608" s="2" t="str">
        <x:v>2025-09-01</x:v>
      </x:c>
      <x:c r="G608" s="2" t="str">
        <x:v>YoY carry</x:v>
      </x:c>
      <x:c r="H608" s="7" t="n">
        <x:v>3578.610767800194</x:v>
      </x:c>
      <x:c r="I608" s="7" t="n">
        <x:v>3537.3</x:v>
      </x:c>
      <x:c r="J608" s="2" t="str">
        <x:v>2025-12-05</x:v>
      </x:c>
      <x:c r="K608" s="7" t="n">
        <x:f>100*(H608/I608-1)</x:f>
        <x:v>1.167861583699259</x:v>
      </x:c>
      <x:c r="L608" s="7" t="n">
        <x:f>ABS(K608)</x:f>
        <x:v>1.167861583699259</x:v>
      </x:c>
      <x:c r="M608" s="2" t="str">
        <x:v>Yes</x:v>
      </x:c>
    </x:row>
    <x:row r="609" ht="27" customHeight="1">
      <x:c r="A609" s="2"/>
      <x:c r="B609" s="2" t="str">
        <x:v>PCENDC96</x:v>
      </x:c>
      <x:c r="C609" s="2" t="str">
        <x:v>2025-09-30</x:v>
      </x:c>
      <x:c r="D609" s="2" t="str">
        <x:v>Pre-earnings</x:v>
      </x:c>
      <x:c r="E609" s="2" t="str">
        <x:v>2025-10-23</x:v>
      </x:c>
      <x:c r="F609" s="2" t="str">
        <x:v>2025-09-01</x:v>
      </x:c>
      <x:c r="G609" s="2" t="str">
        <x:v>Flat level</x:v>
      </x:c>
      <x:c r="H609" s="7" t="n">
        <x:v>3547.1</x:v>
      </x:c>
      <x:c r="I609" s="7" t="n">
        <x:v>3537.3</x:v>
      </x:c>
      <x:c r="J609" s="2" t="str">
        <x:v>2025-12-05</x:v>
      </x:c>
      <x:c r="K609" s="7" t="n">
        <x:f>100*(H609/I609-1)</x:f>
        <x:v>0.27704746558108173</x:v>
      </x:c>
      <x:c r="L609" s="7" t="n">
        <x:f>ABS(K609)</x:f>
        <x:v>0.27704746558108173</x:v>
      </x:c>
      <x:c r="M609" s="2" t="str">
        <x:v>Yes</x:v>
      </x:c>
    </x:row>
    <x:row r="610" ht="27" customHeight="1">
      <x:c r="A610" s="2"/>
      <x:c r="B610" s="2" t="str">
        <x:v>PCENDC96</x:v>
      </x:c>
      <x:c r="C610" s="2" t="str">
        <x:v>2025-09-30</x:v>
      </x:c>
      <x:c r="D610" s="2" t="str">
        <x:v>Pre-earnings</x:v>
      </x:c>
      <x:c r="E610" s="2" t="str">
        <x:v>2025-10-23</x:v>
      </x:c>
      <x:c r="F610" s="2" t="str">
        <x:v>2025-09-01</x:v>
      </x:c>
      <x:c r="G610" s="2" t="str">
        <x:v>Recent trend</x:v>
      </x:c>
      <x:c r="H610" s="7" t="n">
        <x:v>3559.25</x:v>
      </x:c>
      <x:c r="I610" s="7" t="n">
        <x:v>3537.3</x:v>
      </x:c>
      <x:c r="J610" s="2" t="str">
        <x:v>2025-12-05</x:v>
      </x:c>
      <x:c r="K610" s="7" t="n">
        <x:f>100*(H610/I610-1)</x:f>
        <x:v>0.6205297826025413</x:v>
      </x:c>
      <x:c r="L610" s="7" t="n">
        <x:f>ABS(K610)</x:f>
        <x:v>0.6205297826025413</x:v>
      </x:c>
      <x:c r="M610" s="2" t="str">
        <x:v>Yes</x:v>
      </x:c>
    </x:row>
    <x:row r="611" ht="27" customHeight="1">
      <x:c r="A611" s="2"/>
      <x:c r="B611" s="2" t="str">
        <x:v>PCENDC96</x:v>
      </x:c>
      <x:c r="C611" s="2" t="str">
        <x:v>2025-12-31</x:v>
      </x:c>
      <x:c r="D611" s="2" t="str">
        <x:v>Origin</x:v>
      </x:c>
      <x:c r="E611" s="2" t="str">
        <x:v>2025-10-01</x:v>
      </x:c>
      <x:c r="F611" s="2" t="str">
        <x:v>2025-10-01</x:v>
      </x:c>
      <x:c r="G611" s="2" t="str">
        <x:v>YoY carry</x:v>
      </x:c>
      <x:c r="H611" s="7" t="n">
        <x:v>3573.6523832245393</x:v>
      </x:c>
      <x:c r="I611" s="7" t="n">
        <x:v>3554.4</x:v>
      </x:c>
      <x:c r="J611" s="2" t="str">
        <x:v>2026-01-22</x:v>
      </x:c>
      <x:c r="K611" s="7" t="n">
        <x:f>100*(H611/I611-1)</x:f>
        <x:v>0.5416493142172962</x:v>
      </x:c>
      <x:c r="L611" s="7" t="n">
        <x:f>ABS(K611)</x:f>
        <x:v>0.5416493142172962</x:v>
      </x:c>
      <x:c r="M611" s="2" t="str">
        <x:v>Yes</x:v>
      </x:c>
    </x:row>
    <x:row r="612" ht="27" customHeight="1">
      <x:c r="A612" s="2"/>
      <x:c r="B612" s="2" t="str">
        <x:v>PCENDC96</x:v>
      </x:c>
      <x:c r="C612" s="2" t="str">
        <x:v>2025-12-31</x:v>
      </x:c>
      <x:c r="D612" s="2" t="str">
        <x:v>Origin</x:v>
      </x:c>
      <x:c r="E612" s="2" t="str">
        <x:v>2025-10-01</x:v>
      </x:c>
      <x:c r="F612" s="2" t="str">
        <x:v>2025-11-01</x:v>
      </x:c>
      <x:c r="G612" s="2" t="str">
        <x:v>YoY carry</x:v>
      </x:c>
      <x:c r="H612" s="7" t="n">
        <x:v>3573.0325851525827</x:v>
      </x:c>
      <x:c r="I612" s="7" t="n">
        <x:v>3572.6</x:v>
      </x:c>
      <x:c r="J612" s="2" t="str">
        <x:v>2026-01-22</x:v>
      </x:c>
      <x:c r="K612" s="7" t="n">
        <x:f>100*(H612/I612-1)</x:f>
        <x:v>0.012108412712952266</x:v>
      </x:c>
      <x:c r="L612" s="7" t="n">
        <x:f>ABS(K612)</x:f>
        <x:v>0.012108412712952266</x:v>
      </x:c>
      <x:c r="M612" s="2" t="str">
        <x:v>Yes</x:v>
      </x:c>
    </x:row>
    <x:row r="613" ht="27" customHeight="1">
      <x:c r="A613" s="2"/>
      <x:c r="B613" s="2" t="str">
        <x:v>PCENDC96</x:v>
      </x:c>
      <x:c r="C613" s="2" t="str">
        <x:v>2025-12-31</x:v>
      </x:c>
      <x:c r="D613" s="2" t="str">
        <x:v>Origin</x:v>
      </x:c>
      <x:c r="E613" s="2" t="str">
        <x:v>2025-10-01</x:v>
      </x:c>
      <x:c r="F613" s="2" t="str">
        <x:v>2025-12-01</x:v>
      </x:c>
      <x:c r="G613" s="2" t="str">
        <x:v>YoY carry</x:v>
      </x:c>
      <x:c r="H613" s="7" t="n">
        <x:v>3607.4313781461874</x:v>
      </x:c>
      <x:c r="I613" s="7" t="n">
        <x:v>3539.6</x:v>
      </x:c>
      <x:c r="J613" s="2" t="str">
        <x:v>2026-02-20</x:v>
      </x:c>
      <x:c r="K613" s="7" t="n">
        <x:f>100*(H613/I613-1)</x:f>
        <x:v>1.9163571631310772</x:v>
      </x:c>
      <x:c r="L613" s="7" t="n">
        <x:f>ABS(K613)</x:f>
        <x:v>1.9163571631310772</x:v>
      </x:c>
      <x:c r="M613" s="2" t="str">
        <x:v>Yes</x:v>
      </x:c>
    </x:row>
    <x:row r="614" ht="27" customHeight="1">
      <x:c r="A614" s="2"/>
      <x:c r="B614" s="2" t="str">
        <x:v>PCENDC96</x:v>
      </x:c>
      <x:c r="C614" s="2" t="str">
        <x:v>2025-12-31</x:v>
      </x:c>
      <x:c r="D614" s="2" t="str">
        <x:v>Origin</x:v>
      </x:c>
      <x:c r="E614" s="2" t="str">
        <x:v>2025-10-01</x:v>
      </x:c>
      <x:c r="F614" s="2" t="str">
        <x:v>2025-10-01</x:v>
      </x:c>
      <x:c r="G614" s="2" t="str">
        <x:v>Flat level</x:v>
      </x:c>
      <x:c r="H614" s="7" t="n">
        <x:v>3547.1</x:v>
      </x:c>
      <x:c r="I614" s="7" t="n">
        <x:v>3554.4</x:v>
      </x:c>
      <x:c r="J614" s="2" t="str">
        <x:v>2026-01-22</x:v>
      </x:c>
      <x:c r="K614" s="7" t="n">
        <x:f>100*(H614/I614-1)</x:f>
        <x:v>-0.2053792482556882</x:v>
      </x:c>
      <x:c r="L614" s="7" t="n">
        <x:f>ABS(K614)</x:f>
        <x:v>0.2053792482556882</x:v>
      </x:c>
      <x:c r="M614" s="2" t="str">
        <x:v>Yes</x:v>
      </x:c>
    </x:row>
    <x:row r="615" ht="27" customHeight="1">
      <x:c r="A615" s="2"/>
      <x:c r="B615" s="2" t="str">
        <x:v>PCENDC96</x:v>
      </x:c>
      <x:c r="C615" s="2" t="str">
        <x:v>2025-12-31</x:v>
      </x:c>
      <x:c r="D615" s="2" t="str">
        <x:v>Origin</x:v>
      </x:c>
      <x:c r="E615" s="2" t="str">
        <x:v>2025-10-01</x:v>
      </x:c>
      <x:c r="F615" s="2" t="str">
        <x:v>2025-11-01</x:v>
      </x:c>
      <x:c r="G615" s="2" t="str">
        <x:v>Flat level</x:v>
      </x:c>
      <x:c r="H615" s="7" t="n">
        <x:v>3547.1</x:v>
      </x:c>
      <x:c r="I615" s="7" t="n">
        <x:v>3572.6</x:v>
      </x:c>
      <x:c r="J615" s="2" t="str">
        <x:v>2026-01-22</x:v>
      </x:c>
      <x:c r="K615" s="7" t="n">
        <x:f>100*(H615/I615-1)</x:f>
        <x:v>-0.7137658847897854</x:v>
      </x:c>
      <x:c r="L615" s="7" t="n">
        <x:f>ABS(K615)</x:f>
        <x:v>0.7137658847897854</x:v>
      </x:c>
      <x:c r="M615" s="2" t="str">
        <x:v>Yes</x:v>
      </x:c>
    </x:row>
    <x:row r="616" ht="27" customHeight="1">
      <x:c r="A616" s="2"/>
      <x:c r="B616" s="2" t="str">
        <x:v>PCENDC96</x:v>
      </x:c>
      <x:c r="C616" s="2" t="str">
        <x:v>2025-12-31</x:v>
      </x:c>
      <x:c r="D616" s="2" t="str">
        <x:v>Origin</x:v>
      </x:c>
      <x:c r="E616" s="2" t="str">
        <x:v>2025-10-01</x:v>
      </x:c>
      <x:c r="F616" s="2" t="str">
        <x:v>2025-12-01</x:v>
      </x:c>
      <x:c r="G616" s="2" t="str">
        <x:v>Flat level</x:v>
      </x:c>
      <x:c r="H616" s="7" t="n">
        <x:v>3547.1</x:v>
      </x:c>
      <x:c r="I616" s="7" t="n">
        <x:v>3539.6</x:v>
      </x:c>
      <x:c r="J616" s="2" t="str">
        <x:v>2026-02-20</x:v>
      </x:c>
      <x:c r="K616" s="7" t="n">
        <x:f>100*(H616/I616-1)</x:f>
        <x:v>0.21188834896599396</x:v>
      </x:c>
      <x:c r="L616" s="7" t="n">
        <x:f>ABS(K616)</x:f>
        <x:v>0.21188834896599396</x:v>
      </x:c>
      <x:c r="M616" s="2" t="str">
        <x:v>Yes</x:v>
      </x:c>
    </x:row>
    <x:row r="617" ht="27" customHeight="1">
      <x:c r="A617" s="2"/>
      <x:c r="B617" s="2" t="str">
        <x:v>PCENDC96</x:v>
      </x:c>
      <x:c r="C617" s="2" t="str">
        <x:v>2025-12-31</x:v>
      </x:c>
      <x:c r="D617" s="2" t="str">
        <x:v>Origin</x:v>
      </x:c>
      <x:c r="E617" s="2" t="str">
        <x:v>2025-10-01</x:v>
      </x:c>
      <x:c r="F617" s="2" t="str">
        <x:v>2025-10-01</x:v>
      </x:c>
      <x:c r="G617" s="2" t="str">
        <x:v>Recent trend</x:v>
      </x:c>
      <x:c r="H617" s="7" t="n">
        <x:v>3571.3999999999996</x:v>
      </x:c>
      <x:c r="I617" s="7" t="n">
        <x:v>3554.4</x:v>
      </x:c>
      <x:c r="J617" s="2" t="str">
        <x:v>2026-01-22</x:v>
      </x:c>
      <x:c r="K617" s="7" t="n">
        <x:f>100*(H617/I617-1)</x:f>
        <x:v>0.4782804411433528</x:v>
      </x:c>
      <x:c r="L617" s="7" t="n">
        <x:f>ABS(K617)</x:f>
        <x:v>0.4782804411433528</x:v>
      </x:c>
      <x:c r="M617" s="2" t="str">
        <x:v>Yes</x:v>
      </x:c>
    </x:row>
    <x:row r="618" ht="27" customHeight="1">
      <x:c r="A618" s="2"/>
      <x:c r="B618" s="2" t="str">
        <x:v>PCENDC96</x:v>
      </x:c>
      <x:c r="C618" s="2" t="str">
        <x:v>2025-12-31</x:v>
      </x:c>
      <x:c r="D618" s="2" t="str">
        <x:v>Origin</x:v>
      </x:c>
      <x:c r="E618" s="2" t="str">
        <x:v>2025-10-01</x:v>
      </x:c>
      <x:c r="F618" s="2" t="str">
        <x:v>2025-11-01</x:v>
      </x:c>
      <x:c r="G618" s="2" t="str">
        <x:v>Recent trend</x:v>
      </x:c>
      <x:c r="H618" s="7" t="n">
        <x:v>3583.5499999999993</x:v>
      </x:c>
      <x:c r="I618" s="7" t="n">
        <x:v>3572.6</x:v>
      </x:c>
      <x:c r="J618" s="2" t="str">
        <x:v>2026-01-22</x:v>
      </x:c>
      <x:c r="K618" s="7" t="n">
        <x:f>100*(H618/I618-1)</x:f>
        <x:v>0.30649946817442597</x:v>
      </x:c>
      <x:c r="L618" s="7" t="n">
        <x:f>ABS(K618)</x:f>
        <x:v>0.30649946817442597</x:v>
      </x:c>
      <x:c r="M618" s="2" t="str">
        <x:v>Yes</x:v>
      </x:c>
    </x:row>
    <x:row r="619" ht="27" customHeight="1">
      <x:c r="A619" s="2"/>
      <x:c r="B619" s="2" t="str">
        <x:v>PCENDC96</x:v>
      </x:c>
      <x:c r="C619" s="2" t="str">
        <x:v>2025-12-31</x:v>
      </x:c>
      <x:c r="D619" s="2" t="str">
        <x:v>Origin</x:v>
      </x:c>
      <x:c r="E619" s="2" t="str">
        <x:v>2025-10-01</x:v>
      </x:c>
      <x:c r="F619" s="2" t="str">
        <x:v>2025-12-01</x:v>
      </x:c>
      <x:c r="G619" s="2" t="str">
        <x:v>Recent trend</x:v>
      </x:c>
      <x:c r="H619" s="7" t="n">
        <x:v>3595.6999999999994</x:v>
      </x:c>
      <x:c r="I619" s="7" t="n">
        <x:v>3539.6</x:v>
      </x:c>
      <x:c r="J619" s="2" t="str">
        <x:v>2026-02-20</x:v>
      </x:c>
      <x:c r="K619" s="7" t="n">
        <x:f>100*(H619/I619-1)</x:f>
        <x:v>1.5849248502655566</x:v>
      </x:c>
      <x:c r="L619" s="7" t="n">
        <x:f>ABS(K619)</x:f>
        <x:v>1.5849248502655566</x:v>
      </x:c>
      <x:c r="M619" s="2" t="str">
        <x:v>Yes</x:v>
      </x:c>
    </x:row>
    <x:row r="620" ht="27" customHeight="1">
      <x:c r="A620" s="2"/>
      <x:c r="B620" s="2" t="str">
        <x:v>PCENDC96</x:v>
      </x:c>
      <x:c r="C620" s="2" t="str">
        <x:v>2025-12-31</x:v>
      </x:c>
      <x:c r="D620" s="2" t="str">
        <x:v>Pre-earnings</x:v>
      </x:c>
      <x:c r="E620" s="2" t="str">
        <x:v>2026-01-22</x:v>
      </x:c>
      <x:c r="F620" s="2" t="str">
        <x:v>2025-12-01</x:v>
      </x:c>
      <x:c r="G620" s="2" t="str">
        <x:v>YoY carry</x:v>
      </x:c>
      <x:c r="H620" s="7" t="n">
        <x:v>3587.464147319252</x:v>
      </x:c>
      <x:c r="I620" s="7" t="n">
        <x:v>3539.6</x:v>
      </x:c>
      <x:c r="J620" s="2" t="str">
        <x:v>2026-02-20</x:v>
      </x:c>
      <x:c r="K620" s="7" t="n">
        <x:f>100*(H620/I620-1)</x:f>
        <x:v>1.3522473533521318</x:v>
      </x:c>
      <x:c r="L620" s="7" t="n">
        <x:f>ABS(K620)</x:f>
        <x:v>1.3522473533521318</x:v>
      </x:c>
      <x:c r="M620" s="2" t="str">
        <x:v>Yes</x:v>
      </x:c>
    </x:row>
    <x:row r="621" ht="27" customHeight="1">
      <x:c r="A621" s="2"/>
      <x:c r="B621" s="2" t="str">
        <x:v>PCENDC96</x:v>
      </x:c>
      <x:c r="C621" s="2" t="str">
        <x:v>2025-12-31</x:v>
      </x:c>
      <x:c r="D621" s="2" t="str">
        <x:v>Pre-earnings</x:v>
      </x:c>
      <x:c r="E621" s="2" t="str">
        <x:v>2026-01-22</x:v>
      </x:c>
      <x:c r="F621" s="2" t="str">
        <x:v>2025-12-01</x:v>
      </x:c>
      <x:c r="G621" s="2" t="str">
        <x:v>Flat level</x:v>
      </x:c>
      <x:c r="H621" s="7" t="n">
        <x:v>3572.6</x:v>
      </x:c>
      <x:c r="I621" s="7" t="n">
        <x:v>3539.6</x:v>
      </x:c>
      <x:c r="J621" s="2" t="str">
        <x:v>2026-02-20</x:v>
      </x:c>
      <x:c r="K621" s="7" t="n">
        <x:f>100*(H621/I621-1)</x:f>
        <x:v>0.9323087354503379</x:v>
      </x:c>
      <x:c r="L621" s="7" t="n">
        <x:f>ABS(K621)</x:f>
        <x:v>0.9323087354503379</x:v>
      </x:c>
      <x:c r="M621" s="2" t="str">
        <x:v>Yes</x:v>
      </x:c>
    </x:row>
    <x:row r="622" ht="27" customHeight="1">
      <x:c r="A622" s="2"/>
      <x:c r="B622" s="2" t="str">
        <x:v>PCENDC96</x:v>
      </x:c>
      <x:c r="C622" s="2" t="str">
        <x:v>2025-12-31</x:v>
      </x:c>
      <x:c r="D622" s="2" t="str">
        <x:v>Pre-earnings</x:v>
      </x:c>
      <x:c r="E622" s="2" t="str">
        <x:v>2026-01-22</x:v>
      </x:c>
      <x:c r="F622" s="2" t="str">
        <x:v>2025-12-01</x:v>
      </x:c>
      <x:c r="G622" s="2" t="str">
        <x:v>Recent trend</x:v>
      </x:c>
      <x:c r="H622" s="7" t="n">
        <x:v>3589.45</x:v>
      </x:c>
      <x:c r="I622" s="7" t="n">
        <x:v>3539.6</x:v>
      </x:c>
      <x:c r="J622" s="2" t="str">
        <x:v>2026-02-20</x:v>
      </x:c>
      <x:c r="K622" s="7" t="n">
        <x:f>100*(H622/I622-1)</x:f>
        <x:v>1.4083512261272357</x:v>
      </x:c>
      <x:c r="L622" s="7" t="n">
        <x:f>ABS(K622)</x:f>
        <x:v>1.4083512261272357</x:v>
      </x:c>
      <x:c r="M622" s="2" t="str">
        <x:v>Yes</x:v>
      </x:c>
    </x:row>
    <x:row r="623" ht="27" customHeight="1">
      <x:c r="A623" s="2"/>
      <x:c r="B623" s="2" t="str">
        <x:v>PCENDC96</x:v>
      </x:c>
      <x:c r="C623" s="2" t="str">
        <x:v>2025-12-31</x:v>
      </x:c>
      <x:c r="D623" s="2" t="str">
        <x:v>Two months</x:v>
      </x:c>
      <x:c r="E623" s="2" t="str">
        <x:v>2026-01-22</x:v>
      </x:c>
      <x:c r="F623" s="2" t="str">
        <x:v>2025-12-01</x:v>
      </x:c>
      <x:c r="G623" s="2" t="str">
        <x:v>YoY carry</x:v>
      </x:c>
      <x:c r="H623" s="7" t="n">
        <x:v>3587.464147319252</x:v>
      </x:c>
      <x:c r="I623" s="7" t="n">
        <x:v>3539.6</x:v>
      </x:c>
      <x:c r="J623" s="2" t="str">
        <x:v>2026-02-20</x:v>
      </x:c>
      <x:c r="K623" s="7" t="n">
        <x:f>100*(H623/I623-1)</x:f>
        <x:v>1.3522473533521318</x:v>
      </x:c>
      <x:c r="L623" s="7" t="n">
        <x:f>ABS(K623)</x:f>
        <x:v>1.3522473533521318</x:v>
      </x:c>
      <x:c r="M623" s="2" t="str">
        <x:v>Yes</x:v>
      </x:c>
    </x:row>
    <x:row r="624" ht="27" customHeight="1">
      <x:c r="A624" s="2"/>
      <x:c r="B624" s="2" t="str">
        <x:v>PCENDC96</x:v>
      </x:c>
      <x:c r="C624" s="2" t="str">
        <x:v>2025-12-31</x:v>
      </x:c>
      <x:c r="D624" s="2" t="str">
        <x:v>Two months</x:v>
      </x:c>
      <x:c r="E624" s="2" t="str">
        <x:v>2026-01-22</x:v>
      </x:c>
      <x:c r="F624" s="2" t="str">
        <x:v>2025-12-01</x:v>
      </x:c>
      <x:c r="G624" s="2" t="str">
        <x:v>Flat level</x:v>
      </x:c>
      <x:c r="H624" s="7" t="n">
        <x:v>3572.6</x:v>
      </x:c>
      <x:c r="I624" s="7" t="n">
        <x:v>3539.6</x:v>
      </x:c>
      <x:c r="J624" s="2" t="str">
        <x:v>2026-02-20</x:v>
      </x:c>
      <x:c r="K624" s="7" t="n">
        <x:f>100*(H624/I624-1)</x:f>
        <x:v>0.9323087354503379</x:v>
      </x:c>
      <x:c r="L624" s="7" t="n">
        <x:f>ABS(K624)</x:f>
        <x:v>0.9323087354503379</x:v>
      </x:c>
      <x:c r="M624" s="2" t="str">
        <x:v>Yes</x:v>
      </x:c>
    </x:row>
    <x:row r="625" ht="27" customHeight="1">
      <x:c r="A625" s="2"/>
      <x:c r="B625" s="2" t="str">
        <x:v>PCENDC96</x:v>
      </x:c>
      <x:c r="C625" s="2" t="str">
        <x:v>2025-12-31</x:v>
      </x:c>
      <x:c r="D625" s="2" t="str">
        <x:v>Two months</x:v>
      </x:c>
      <x:c r="E625" s="2" t="str">
        <x:v>2026-01-22</x:v>
      </x:c>
      <x:c r="F625" s="2" t="str">
        <x:v>2025-12-01</x:v>
      </x:c>
      <x:c r="G625" s="2" t="str">
        <x:v>Recent trend</x:v>
      </x:c>
      <x:c r="H625" s="7" t="n">
        <x:v>3589.45</x:v>
      </x:c>
      <x:c r="I625" s="7" t="n">
        <x:v>3539.6</x:v>
      </x:c>
      <x:c r="J625" s="2" t="str">
        <x:v>2026-02-20</x:v>
      </x:c>
      <x:c r="K625" s="7" t="n">
        <x:f>100*(H625/I625-1)</x:f>
        <x:v>1.4083512261272357</x:v>
      </x:c>
      <x:c r="L625" s="7" t="n">
        <x:f>ABS(K625)</x:f>
        <x:v>1.4083512261272357</x:v>
      </x:c>
      <x:c r="M625" s="2" t="str">
        <x:v>Yes</x:v>
      </x:c>
    </x:row>
    <x:row r="626" ht="27" customHeight="1">
      <x:c r="A626" s="2"/>
      <x:c r="B626" s="2" t="str">
        <x:v>PCENDC96</x:v>
      </x:c>
      <x:c r="C626" s="2" t="str">
        <x:v>2026-03-31</x:v>
      </x:c>
      <x:c r="D626" s="2" t="str">
        <x:v>Origin</x:v>
      </x:c>
      <x:c r="E626" s="2" t="str">
        <x:v>2026-01-01</x:v>
      </x:c>
      <x:c r="F626" s="2" t="str">
        <x:v>2026-01-01</x:v>
      </x:c>
      <x:c r="G626" s="2" t="str">
        <x:v>YoY carry</x:v>
      </x:c>
      <x:c r="H626" s="7" t="n">
        <x:v>3579.0346392610672</x:v>
      </x:c>
      <x:c r="I626" s="7" t="n">
        <x:v>3544.3</x:v>
      </x:c>
      <x:c r="J626" s="2" t="str">
        <x:v>2026-03-13</x:v>
      </x:c>
      <x:c r="K626" s="7" t="n">
        <x:f>100*(H626/I626-1)</x:f>
        <x:v>0.9800140863094775</x:v>
      </x:c>
      <x:c r="L626" s="7" t="n">
        <x:f>ABS(K626)</x:f>
        <x:v>0.9800140863094775</x:v>
      </x:c>
      <x:c r="M626" s="2" t="str">
        <x:v>Yes</x:v>
      </x:c>
    </x:row>
    <x:row r="627" ht="27" customHeight="1">
      <x:c r="A627" s="2"/>
      <x:c r="B627" s="2" t="str">
        <x:v>PCENDC96</x:v>
      </x:c>
      <x:c r="C627" s="2" t="str">
        <x:v>2026-03-31</x:v>
      </x:c>
      <x:c r="D627" s="2" t="str">
        <x:v>Origin</x:v>
      </x:c>
      <x:c r="E627" s="2" t="str">
        <x:v>2026-01-01</x:v>
      </x:c>
      <x:c r="F627" s="2" t="str">
        <x:v>2026-02-01</x:v>
      </x:c>
      <x:c r="G627" s="2" t="str">
        <x:v>YoY carry</x:v>
      </x:c>
      <x:c r="H627" s="7" t="n">
        <x:v>3594.796319642362</x:v>
      </x:c>
      <x:c r="I627" s="7" t="n">
        <x:v>3521.4</x:v>
      </x:c>
      <x:c r="J627" s="2" t="str">
        <x:v>2026-04-09</x:v>
      </x:c>
      <x:c r="K627" s="7" t="n">
        <x:f>100*(H627/I627-1)</x:f>
        <x:v>2.084293736649112</x:v>
      </x:c>
      <x:c r="L627" s="7" t="n">
        <x:f>ABS(K627)</x:f>
        <x:v>2.084293736649112</x:v>
      </x:c>
      <x:c r="M627" s="2" t="str">
        <x:v>Yes</x:v>
      </x:c>
    </x:row>
    <x:row r="628" ht="27" customHeight="1">
      <x:c r="A628" s="2"/>
      <x:c r="B628" s="2" t="str">
        <x:v>PCENDC96</x:v>
      </x:c>
      <x:c r="C628" s="2" t="str">
        <x:v>2026-03-31</x:v>
      </x:c>
      <x:c r="D628" s="2" t="str">
        <x:v>Origin</x:v>
      </x:c>
      <x:c r="E628" s="2" t="str">
        <x:v>2026-01-01</x:v>
      </x:c>
      <x:c r="F628" s="2" t="str">
        <x:v>2026-03-01</x:v>
      </x:c>
      <x:c r="G628" s="2" t="str">
        <x:v>YoY carry</x:v>
      </x:c>
      <x:c r="H628" s="7" t="n">
        <x:v>3608.7036846846813</x:v>
      </x:c>
      <x:c r="I628" s="7" t="n">
        <x:v>3551.1</x:v>
      </x:c>
      <x:c r="J628" s="2" t="str">
        <x:v>2026-04-30</x:v>
      </x:c>
      <x:c r="K628" s="7" t="n">
        <x:f>100*(H628/I628-1)</x:f>
        <x:v>1.622136371397076</x:v>
      </x:c>
      <x:c r="L628" s="7" t="n">
        <x:f>ABS(K628)</x:f>
        <x:v>1.622136371397076</x:v>
      </x:c>
      <x:c r="M628" s="2" t="str">
        <x:v>Yes</x:v>
      </x:c>
    </x:row>
    <x:row r="629" ht="27" customHeight="1">
      <x:c r="A629" s="2"/>
      <x:c r="B629" s="2" t="str">
        <x:v>PCENDC96</x:v>
      </x:c>
      <x:c r="C629" s="2" t="str">
        <x:v>2026-03-31</x:v>
      </x:c>
      <x:c r="D629" s="2" t="str">
        <x:v>Origin</x:v>
      </x:c>
      <x:c r="E629" s="2" t="str">
        <x:v>2026-01-01</x:v>
      </x:c>
      <x:c r="F629" s="2" t="str">
        <x:v>2026-01-01</x:v>
      </x:c>
      <x:c r="G629" s="2" t="str">
        <x:v>Flat level</x:v>
      </x:c>
      <x:c r="H629" s="7" t="n">
        <x:v>3540.5</x:v>
      </x:c>
      <x:c r="I629" s="7" t="n">
        <x:v>3544.3</x:v>
      </x:c>
      <x:c r="J629" s="2" t="str">
        <x:v>2026-03-13</x:v>
      </x:c>
      <x:c r="K629" s="7" t="n">
        <x:f>100*(H629/I629-1)</x:f>
        <x:v>-0.1072144005868636</x:v>
      </x:c>
      <x:c r="L629" s="7" t="n">
        <x:f>ABS(K629)</x:f>
        <x:v>0.1072144005868636</x:v>
      </x:c>
      <x:c r="M629" s="2" t="str">
        <x:v>Yes</x:v>
      </x:c>
    </x:row>
    <x:row r="630" ht="27" customHeight="1">
      <x:c r="A630" s="2"/>
      <x:c r="B630" s="2" t="str">
        <x:v>PCENDC96</x:v>
      </x:c>
      <x:c r="C630" s="2" t="str">
        <x:v>2026-03-31</x:v>
      </x:c>
      <x:c r="D630" s="2" t="str">
        <x:v>Origin</x:v>
      </x:c>
      <x:c r="E630" s="2" t="str">
        <x:v>2026-01-01</x:v>
      </x:c>
      <x:c r="F630" s="2" t="str">
        <x:v>2026-02-01</x:v>
      </x:c>
      <x:c r="G630" s="2" t="str">
        <x:v>Flat level</x:v>
      </x:c>
      <x:c r="H630" s="7" t="n">
        <x:v>3540.5</x:v>
      </x:c>
      <x:c r="I630" s="7" t="n">
        <x:v>3521.4</x:v>
      </x:c>
      <x:c r="J630" s="2" t="str">
        <x:v>2026-04-09</x:v>
      </x:c>
      <x:c r="K630" s="7" t="n">
        <x:f>100*(H630/I630-1)</x:f>
        <x:v>0.5423979099221876</x:v>
      </x:c>
      <x:c r="L630" s="7" t="n">
        <x:f>ABS(K630)</x:f>
        <x:v>0.5423979099221876</x:v>
      </x:c>
      <x:c r="M630" s="2" t="str">
        <x:v>Yes</x:v>
      </x:c>
    </x:row>
    <x:row r="631" ht="27" customHeight="1">
      <x:c r="A631" s="2"/>
      <x:c r="B631" s="2" t="str">
        <x:v>PCENDC96</x:v>
      </x:c>
      <x:c r="C631" s="2" t="str">
        <x:v>2026-03-31</x:v>
      </x:c>
      <x:c r="D631" s="2" t="str">
        <x:v>Origin</x:v>
      </x:c>
      <x:c r="E631" s="2" t="str">
        <x:v>2026-01-01</x:v>
      </x:c>
      <x:c r="F631" s="2" t="str">
        <x:v>2026-03-01</x:v>
      </x:c>
      <x:c r="G631" s="2" t="str">
        <x:v>Flat level</x:v>
      </x:c>
      <x:c r="H631" s="7" t="n">
        <x:v>3540.5</x:v>
      </x:c>
      <x:c r="I631" s="7" t="n">
        <x:v>3551.1</x:v>
      </x:c>
      <x:c r="J631" s="2" t="str">
        <x:v>2026-04-30</x:v>
      </x:c>
      <x:c r="K631" s="7" t="n">
        <x:f>100*(H631/I631-1)</x:f>
        <x:v>-0.2984990566303414</x:v>
      </x:c>
      <x:c r="L631" s="7" t="n">
        <x:f>ABS(K631)</x:f>
        <x:v>0.2984990566303414</x:v>
      </x:c>
      <x:c r="M631" s="2" t="str">
        <x:v>Yes</x:v>
      </x:c>
    </x:row>
    <x:row r="632" ht="27" customHeight="1">
      <x:c r="A632" s="2"/>
      <x:c r="B632" s="2" t="str">
        <x:v>PCENDC96</x:v>
      </x:c>
      <x:c r="C632" s="2" t="str">
        <x:v>2026-03-31</x:v>
      </x:c>
      <x:c r="D632" s="2" t="str">
        <x:v>Origin</x:v>
      </x:c>
      <x:c r="E632" s="2" t="str">
        <x:v>2026-01-01</x:v>
      </x:c>
      <x:c r="F632" s="2" t="str">
        <x:v>2026-01-01</x:v>
      </x:c>
      <x:c r="G632" s="2" t="str">
        <x:v>Recent trend</x:v>
      </x:c>
      <x:c r="H632" s="7" t="n">
        <x:v>3554.8999999999996</x:v>
      </x:c>
      <x:c r="I632" s="7" t="n">
        <x:v>3544.3</x:v>
      </x:c>
      <x:c r="J632" s="2" t="str">
        <x:v>2026-03-13</x:v>
      </x:c>
      <x:c r="K632" s="7" t="n">
        <x:f>100*(H632/I632-1)</x:f>
        <x:v>0.29907174900543065</x:v>
      </x:c>
      <x:c r="L632" s="7" t="n">
        <x:f>ABS(K632)</x:f>
        <x:v>0.29907174900543065</x:v>
      </x:c>
      <x:c r="M632" s="2" t="str">
        <x:v>Yes</x:v>
      </x:c>
    </x:row>
    <x:row r="633" ht="27" customHeight="1">
      <x:c r="A633" s="2"/>
      <x:c r="B633" s="2" t="str">
        <x:v>PCENDC96</x:v>
      </x:c>
      <x:c r="C633" s="2" t="str">
        <x:v>2026-03-31</x:v>
      </x:c>
      <x:c r="D633" s="2" t="str">
        <x:v>Origin</x:v>
      </x:c>
      <x:c r="E633" s="2" t="str">
        <x:v>2026-01-01</x:v>
      </x:c>
      <x:c r="F633" s="2" t="str">
        <x:v>2026-02-01</x:v>
      </x:c>
      <x:c r="G633" s="2" t="str">
        <x:v>Recent trend</x:v>
      </x:c>
      <x:c r="H633" s="7" t="n">
        <x:v>3558.4999999999995</x:v>
      </x:c>
      <x:c r="I633" s="7" t="n">
        <x:v>3521.4</x:v>
      </x:c>
      <x:c r="J633" s="2" t="str">
        <x:v>2026-04-09</x:v>
      </x:c>
      <x:c r="K633" s="7" t="n">
        <x:f>100*(H633/I633-1)</x:f>
        <x:v>1.0535582438802704</x:v>
      </x:c>
      <x:c r="L633" s="7" t="n">
        <x:f>ABS(K633)</x:f>
        <x:v>1.0535582438802704</x:v>
      </x:c>
      <x:c r="M633" s="2" t="str">
        <x:v>Yes</x:v>
      </x:c>
    </x:row>
    <x:row r="634" ht="27" customHeight="1">
      <x:c r="A634" s="2"/>
      <x:c r="B634" s="2" t="str">
        <x:v>PCENDC96</x:v>
      </x:c>
      <x:c r="C634" s="2" t="str">
        <x:v>2026-03-31</x:v>
      </x:c>
      <x:c r="D634" s="2" t="str">
        <x:v>Origin</x:v>
      </x:c>
      <x:c r="E634" s="2" t="str">
        <x:v>2026-01-01</x:v>
      </x:c>
      <x:c r="F634" s="2" t="str">
        <x:v>2026-03-01</x:v>
      </x:c>
      <x:c r="G634" s="2" t="str">
        <x:v>Recent trend</x:v>
      </x:c>
      <x:c r="H634" s="7" t="n">
        <x:v>3562.0999999999995</x:v>
      </x:c>
      <x:c r="I634" s="7" t="n">
        <x:v>3551.1</x:v>
      </x:c>
      <x:c r="J634" s="2" t="str">
        <x:v>2026-04-30</x:v>
      </x:c>
      <x:c r="K634" s="7" t="n">
        <x:f>100*(H634/I634-1)</x:f>
        <x:v>0.3097631719748639</x:v>
      </x:c>
      <x:c r="L634" s="7" t="n">
        <x:f>ABS(K634)</x:f>
        <x:v>0.3097631719748639</x:v>
      </x:c>
      <x:c r="M634" s="2" t="str">
        <x:v>Yes</x:v>
      </x:c>
    </x:row>
    <x:row r="635" ht="27" customHeight="1">
      <x:c r="A635" s="2"/>
      <x:c r="B635" s="2" t="str">
        <x:v>PCENDC96</x:v>
      </x:c>
      <x:c r="C635" s="2" t="str">
        <x:v>2026-03-31</x:v>
      </x:c>
      <x:c r="D635" s="2" t="str">
        <x:v>One month</x:v>
      </x:c>
      <x:c r="E635" s="2" t="str">
        <x:v>2026-03-13</x:v>
      </x:c>
      <x:c r="F635" s="2" t="str">
        <x:v>2026-02-01</x:v>
      </x:c>
      <x:c r="G635" s="2" t="str">
        <x:v>YoY carry</x:v>
      </x:c>
      <x:c r="H635" s="7" t="n">
        <x:v>3560.9549166694665</x:v>
      </x:c>
      <x:c r="I635" s="7" t="n">
        <x:v>3521.4</x:v>
      </x:c>
      <x:c r="J635" s="2" t="str">
        <x:v>2026-04-09</x:v>
      </x:c>
      <x:c r="K635" s="7" t="n">
        <x:f>100*(H635/I635-1)</x:f>
        <x:v>1.1232724674693717</x:v>
      </x:c>
      <x:c r="L635" s="7" t="n">
        <x:f>ABS(K635)</x:f>
        <x:v>1.1232724674693717</x:v>
      </x:c>
      <x:c r="M635" s="2" t="str">
        <x:v>Yes</x:v>
      </x:c>
    </x:row>
    <x:row r="636" ht="27" customHeight="1">
      <x:c r="A636" s="2"/>
      <x:c r="B636" s="2" t="str">
        <x:v>PCENDC96</x:v>
      </x:c>
      <x:c r="C636" s="2" t="str">
        <x:v>2026-03-31</x:v>
      </x:c>
      <x:c r="D636" s="2" t="str">
        <x:v>One month</x:v>
      </x:c>
      <x:c r="E636" s="2" t="str">
        <x:v>2026-03-13</x:v>
      </x:c>
      <x:c r="F636" s="2" t="str">
        <x:v>2026-03-01</x:v>
      </x:c>
      <x:c r="G636" s="2" t="str">
        <x:v>YoY carry</x:v>
      </x:c>
      <x:c r="H636" s="7" t="n">
        <x:v>3574.7313578143403</x:v>
      </x:c>
      <x:c r="I636" s="7" t="n">
        <x:v>3551.1</x:v>
      </x:c>
      <x:c r="J636" s="2" t="str">
        <x:v>2026-04-30</x:v>
      </x:c>
      <x:c r="K636" s="7" t="n">
        <x:f>100*(H636/I636-1)</x:f>
        <x:v>0.6654658504221311</x:v>
      </x:c>
      <x:c r="L636" s="7" t="n">
        <x:f>ABS(K636)</x:f>
        <x:v>0.6654658504221311</x:v>
      </x:c>
      <x:c r="M636" s="2" t="str">
        <x:v>Yes</x:v>
      </x:c>
    </x:row>
    <x:row r="637" ht="27" customHeight="1">
      <x:c r="A637" s="2"/>
      <x:c r="B637" s="2" t="str">
        <x:v>PCENDC96</x:v>
      </x:c>
      <x:c r="C637" s="2" t="str">
        <x:v>2026-03-31</x:v>
      </x:c>
      <x:c r="D637" s="2" t="str">
        <x:v>One month</x:v>
      </x:c>
      <x:c r="E637" s="2" t="str">
        <x:v>2026-03-13</x:v>
      </x:c>
      <x:c r="F637" s="2" t="str">
        <x:v>2026-02-01</x:v>
      </x:c>
      <x:c r="G637" s="2" t="str">
        <x:v>Flat level</x:v>
      </x:c>
      <x:c r="H637" s="7" t="n">
        <x:v>3544.3</x:v>
      </x:c>
      <x:c r="I637" s="7" t="n">
        <x:v>3521.4</x:v>
      </x:c>
      <x:c r="J637" s="2" t="str">
        <x:v>2026-04-09</x:v>
      </x:c>
      <x:c r="K637" s="7" t="n">
        <x:f>100*(H637/I637-1)</x:f>
        <x:v>0.6503095359800204</x:v>
      </x:c>
      <x:c r="L637" s="7" t="n">
        <x:f>ABS(K637)</x:f>
        <x:v>0.6503095359800204</x:v>
      </x:c>
      <x:c r="M637" s="2" t="str">
        <x:v>Yes</x:v>
      </x:c>
    </x:row>
    <x:row r="638" ht="27" customHeight="1">
      <x:c r="A638" s="2"/>
      <x:c r="B638" s="2" t="str">
        <x:v>PCENDC96</x:v>
      </x:c>
      <x:c r="C638" s="2" t="str">
        <x:v>2026-03-31</x:v>
      </x:c>
      <x:c r="D638" s="2" t="str">
        <x:v>One month</x:v>
      </x:c>
      <x:c r="E638" s="2" t="str">
        <x:v>2026-03-13</x:v>
      </x:c>
      <x:c r="F638" s="2" t="str">
        <x:v>2026-03-01</x:v>
      </x:c>
      <x:c r="G638" s="2" t="str">
        <x:v>Flat level</x:v>
      </x:c>
      <x:c r="H638" s="7" t="n">
        <x:v>3544.3</x:v>
      </x:c>
      <x:c r="I638" s="7" t="n">
        <x:v>3551.1</x:v>
      </x:c>
      <x:c r="J638" s="2" t="str">
        <x:v>2026-04-30</x:v>
      </x:c>
      <x:c r="K638" s="7" t="n">
        <x:f>100*(H638/I638-1)</x:f>
        <x:v>-0.19148996085719405</x:v>
      </x:c>
      <x:c r="L638" s="7" t="n">
        <x:f>ABS(K638)</x:f>
        <x:v>0.19148996085719405</x:v>
      </x:c>
      <x:c r="M638" s="2" t="str">
        <x:v>Yes</x:v>
      </x:c>
    </x:row>
    <x:row r="639" ht="27" customHeight="1">
      <x:c r="A639" s="2"/>
      <x:c r="B639" s="2" t="str">
        <x:v>PCENDC96</x:v>
      </x:c>
      <x:c r="C639" s="2" t="str">
        <x:v>2026-03-31</x:v>
      </x:c>
      <x:c r="D639" s="2" t="str">
        <x:v>One month</x:v>
      </x:c>
      <x:c r="E639" s="2" t="str">
        <x:v>2026-03-13</x:v>
      </x:c>
      <x:c r="F639" s="2" t="str">
        <x:v>2026-02-01</x:v>
      </x:c>
      <x:c r="G639" s="2" t="str">
        <x:v>Recent trend</x:v>
      </x:c>
      <x:c r="H639" s="7" t="n">
        <x:v>3541.9500000000003</x:v>
      </x:c>
      <x:c r="I639" s="7" t="n">
        <x:v>3521.4</x:v>
      </x:c>
      <x:c r="J639" s="2" t="str">
        <x:v>2026-04-09</x:v>
      </x:c>
      <x:c r="K639" s="7" t="n">
        <x:f>100*(H639/I639-1)</x:f>
        <x:v>0.583574714602153</x:v>
      </x:c>
      <x:c r="L639" s="7" t="n">
        <x:f>ABS(K639)</x:f>
        <x:v>0.583574714602153</x:v>
      </x:c>
      <x:c r="M639" s="2" t="str">
        <x:v>Yes</x:v>
      </x:c>
    </x:row>
    <x:row r="640" ht="27" customHeight="1">
      <x:c r="A640" s="2"/>
      <x:c r="B640" s="2" t="str">
        <x:v>PCENDC96</x:v>
      </x:c>
      <x:c r="C640" s="2" t="str">
        <x:v>2026-03-31</x:v>
      </x:c>
      <x:c r="D640" s="2" t="str">
        <x:v>One month</x:v>
      </x:c>
      <x:c r="E640" s="2" t="str">
        <x:v>2026-03-13</x:v>
      </x:c>
      <x:c r="F640" s="2" t="str">
        <x:v>2026-03-01</x:v>
      </x:c>
      <x:c r="G640" s="2" t="str">
        <x:v>Recent trend</x:v>
      </x:c>
      <x:c r="H640" s="7" t="n">
        <x:v>3539.6000000000004</x:v>
      </x:c>
      <x:c r="I640" s="7" t="n">
        <x:v>3551.1</x:v>
      </x:c>
      <x:c r="J640" s="2" t="str">
        <x:v>2026-04-30</x:v>
      </x:c>
      <x:c r="K640" s="7" t="n">
        <x:f>100*(H640/I640-1)</x:f>
        <x:v>-0.3238433161555476</x:v>
      </x:c>
      <x:c r="L640" s="7" t="n">
        <x:f>ABS(K640)</x:f>
        <x:v>0.3238433161555476</x:v>
      </x:c>
      <x:c r="M640" s="2" t="str">
        <x:v>Yes</x:v>
      </x:c>
    </x:row>
    <x:row r="641" ht="27" customHeight="1">
      <x:c r="A641" s="2"/>
      <x:c r="B641" s="2" t="str">
        <x:v>PCENDC96</x:v>
      </x:c>
      <x:c r="C641" s="2" t="str">
        <x:v>2026-03-31</x:v>
      </x:c>
      <x:c r="D641" s="2" t="str">
        <x:v>Two months</x:v>
      </x:c>
      <x:c r="E641" s="2" t="str">
        <x:v>2026-04-09</x:v>
      </x:c>
      <x:c r="F641" s="2" t="str">
        <x:v>2026-03-01</x:v>
      </x:c>
      <x:c r="G641" s="2" t="str">
        <x:v>YoY carry</x:v>
      </x:c>
      <x:c r="H641" s="7" t="n">
        <x:v>3548.6782395628243</x:v>
      </x:c>
      <x:c r="I641" s="7" t="n">
        <x:v>3551.1</x:v>
      </x:c>
      <x:c r="J641" s="2" t="str">
        <x:v>2026-04-30</x:v>
      </x:c>
      <x:c r="K641" s="7" t="n">
        <x:f>100*(H641/I641-1)</x:f>
        <x:v>-0.06819747225298434</x:v>
      </x:c>
      <x:c r="L641" s="7" t="n">
        <x:f>ABS(K641)</x:f>
        <x:v>0.06819747225298434</x:v>
      </x:c>
      <x:c r="M641" s="2" t="str">
        <x:v>Yes</x:v>
      </x:c>
    </x:row>
    <x:row r="642" ht="27" customHeight="1">
      <x:c r="A642" s="2"/>
      <x:c r="B642" s="2" t="str">
        <x:v>PCENDC96</x:v>
      </x:c>
      <x:c r="C642" s="2" t="str">
        <x:v>2026-03-31</x:v>
      </x:c>
      <x:c r="D642" s="2" t="str">
        <x:v>Two months</x:v>
      </x:c>
      <x:c r="E642" s="2" t="str">
        <x:v>2026-04-09</x:v>
      </x:c>
      <x:c r="F642" s="2" t="str">
        <x:v>2026-03-01</x:v>
      </x:c>
      <x:c r="G642" s="2" t="str">
        <x:v>Flat level</x:v>
      </x:c>
      <x:c r="H642" s="7" t="n">
        <x:v>3521.4</x:v>
      </x:c>
      <x:c r="I642" s="7" t="n">
        <x:v>3551.1</x:v>
      </x:c>
      <x:c r="J642" s="2" t="str">
        <x:v>2026-04-30</x:v>
      </x:c>
      <x:c r="K642" s="7" t="n">
        <x:f>100*(H642/I642-1)</x:f>
        <x:v>-0.8363605643321725</x:v>
      </x:c>
      <x:c r="L642" s="7" t="n">
        <x:f>ABS(K642)</x:f>
        <x:v>0.8363605643321725</x:v>
      </x:c>
      <x:c r="M642" s="2" t="str">
        <x:v>Yes</x:v>
      </x:c>
    </x:row>
    <x:row r="643" ht="27" customHeight="1">
      <x:c r="A643" s="2"/>
      <x:c r="B643" s="2" t="str">
        <x:v>PCENDC96</x:v>
      </x:c>
      <x:c r="C643" s="2" t="str">
        <x:v>2026-03-31</x:v>
      </x:c>
      <x:c r="D643" s="2" t="str">
        <x:v>Two months</x:v>
      </x:c>
      <x:c r="E643" s="2" t="str">
        <x:v>2026-04-09</x:v>
      </x:c>
      <x:c r="F643" s="2" t="str">
        <x:v>2026-03-01</x:v>
      </x:c>
      <x:c r="G643" s="2" t="str">
        <x:v>Recent trend</x:v>
      </x:c>
      <x:c r="H643" s="7" t="n">
        <x:v>3511.55</x:v>
      </x:c>
      <x:c r="I643" s="7" t="n">
        <x:v>3551.1</x:v>
      </x:c>
      <x:c r="J643" s="2" t="str">
        <x:v>2026-04-30</x:v>
      </x:c>
      <x:c r="K643" s="7" t="n">
        <x:f>100*(H643/I643-1)</x:f>
        <x:v>-1.113739404691494</x:v>
      </x:c>
      <x:c r="L643" s="7" t="n">
        <x:f>ABS(K643)</x:f>
        <x:v>1.113739404691494</x:v>
      </x:c>
      <x:c r="M643" s="2" t="str">
        <x:v>Yes</x:v>
      </x:c>
    </x:row>
    <x:row r="644" ht="27" customHeight="1">
      <x:c r="A644" s="2"/>
      <x:c r="B644" s="2" t="str">
        <x:v>PCENDC96</x:v>
      </x:c>
      <x:c r="C644" s="2" t="str">
        <x:v>2026-03-31</x:v>
      </x:c>
      <x:c r="D644" s="2" t="str">
        <x:v>Pre-earnings</x:v>
      </x:c>
      <x:c r="E644" s="2" t="str">
        <x:v>2026-04-23</x:v>
      </x:c>
      <x:c r="F644" s="2" t="str">
        <x:v>2026-03-01</x:v>
      </x:c>
      <x:c r="G644" s="2" t="str">
        <x:v>YoY carry</x:v>
      </x:c>
      <x:c r="H644" s="7" t="n">
        <x:v>3548.6782395628243</x:v>
      </x:c>
      <x:c r="I644" s="7" t="n">
        <x:v>3551.1</x:v>
      </x:c>
      <x:c r="J644" s="2" t="str">
        <x:v>2026-04-30</x:v>
      </x:c>
      <x:c r="K644" s="7" t="n">
        <x:f>100*(H644/I644-1)</x:f>
        <x:v>-0.06819747225298434</x:v>
      </x:c>
      <x:c r="L644" s="7" t="n">
        <x:f>ABS(K644)</x:f>
        <x:v>0.06819747225298434</x:v>
      </x:c>
      <x:c r="M644" s="2" t="str">
        <x:v>Yes</x:v>
      </x:c>
    </x:row>
    <x:row r="645" ht="27" customHeight="1">
      <x:c r="A645" s="2"/>
      <x:c r="B645" s="2" t="str">
        <x:v>PCENDC96</x:v>
      </x:c>
      <x:c r="C645" s="2" t="str">
        <x:v>2026-03-31</x:v>
      </x:c>
      <x:c r="D645" s="2" t="str">
        <x:v>Pre-earnings</x:v>
      </x:c>
      <x:c r="E645" s="2" t="str">
        <x:v>2026-04-23</x:v>
      </x:c>
      <x:c r="F645" s="2" t="str">
        <x:v>2026-03-01</x:v>
      </x:c>
      <x:c r="G645" s="2" t="str">
        <x:v>Flat level</x:v>
      </x:c>
      <x:c r="H645" s="7" t="n">
        <x:v>3521.4</x:v>
      </x:c>
      <x:c r="I645" s="7" t="n">
        <x:v>3551.1</x:v>
      </x:c>
      <x:c r="J645" s="2" t="str">
        <x:v>2026-04-30</x:v>
      </x:c>
      <x:c r="K645" s="7" t="n">
        <x:f>100*(H645/I645-1)</x:f>
        <x:v>-0.8363605643321725</x:v>
      </x:c>
      <x:c r="L645" s="7" t="n">
        <x:f>ABS(K645)</x:f>
        <x:v>0.8363605643321725</x:v>
      </x:c>
      <x:c r="M645" s="2" t="str">
        <x:v>Yes</x:v>
      </x:c>
    </x:row>
    <x:row r="646" ht="27" customHeight="1">
      <x:c r="A646" s="2"/>
      <x:c r="B646" s="2" t="str">
        <x:v>PCENDC96</x:v>
      </x:c>
      <x:c r="C646" s="2" t="str">
        <x:v>2026-03-31</x:v>
      </x:c>
      <x:c r="D646" s="2" t="str">
        <x:v>Pre-earnings</x:v>
      </x:c>
      <x:c r="E646" s="2" t="str">
        <x:v>2026-04-23</x:v>
      </x:c>
      <x:c r="F646" s="2" t="str">
        <x:v>2026-03-01</x:v>
      </x:c>
      <x:c r="G646" s="2" t="str">
        <x:v>Recent trend</x:v>
      </x:c>
      <x:c r="H646" s="7" t="n">
        <x:v>3511.55</x:v>
      </x:c>
      <x:c r="I646" s="7" t="n">
        <x:v>3551.1</x:v>
      </x:c>
      <x:c r="J646" s="2" t="str">
        <x:v>2026-04-30</x:v>
      </x:c>
      <x:c r="K646" s="7" t="n">
        <x:f>100*(H646/I646-1)</x:f>
        <x:v>-1.113739404691494</x:v>
      </x:c>
      <x:c r="L646" s="7" t="n">
        <x:f>ABS(K646)</x:f>
        <x:v>1.113739404691494</x:v>
      </x:c>
      <x:c r="M646" s="2" t="str">
        <x:v>Yes</x:v>
      </x:c>
    </x:row>
    <x:row r="647" ht="27" customHeight="1">
      <x:c r="A647" s="2"/>
      <x:c r="B647" s="2" t="str">
        <x:v>RSHPCS</x:v>
      </x:c>
      <x:c r="C647" s="2" t="str">
        <x:v>2023-06-30</x:v>
      </x:c>
      <x:c r="D647" s="2" t="str">
        <x:v>Origin</x:v>
      </x:c>
      <x:c r="E647" s="2" t="str">
        <x:v>2023-04-01</x:v>
      </x:c>
      <x:c r="F647" s="2" t="str">
        <x:v>2023-04-01</x:v>
      </x:c>
      <x:c r="G647" s="2" t="str">
        <x:v>YoY carry</x:v>
      </x:c>
      <x:c r="H647" s="7" t="n">
        <x:v>34597.72755786001</x:v>
      </x:c>
      <x:c r="I647" s="7" t="n">
        <x:v>35525</x:v>
      </x:c>
      <x:c r="J647" s="2" t="str">
        <x:v>2023-07-01</x:v>
      </x:c>
      <x:c r="K647" s="7" t="n">
        <x:f>100*(H647/I647-1)</x:f>
        <x:v>-2.6101968814637333</x:v>
      </x:c>
      <x:c r="L647" s="7" t="n">
        <x:f>ABS(K647)</x:f>
        <x:v>2.6101968814637333</x:v>
      </x:c>
      <x:c r="M647" s="2" t="str">
        <x:v>Calibration</x:v>
      </x:c>
    </x:row>
    <x:row r="648" ht="27" customHeight="1">
      <x:c r="A648" s="2"/>
      <x:c r="B648" s="2" t="str">
        <x:v>RSHPCS</x:v>
      </x:c>
      <x:c r="C648" s="2" t="str">
        <x:v>2023-06-30</x:v>
      </x:c>
      <x:c r="D648" s="2" t="str">
        <x:v>Origin</x:v>
      </x:c>
      <x:c r="E648" s="2" t="str">
        <x:v>2023-04-01</x:v>
      </x:c>
      <x:c r="F648" s="2" t="str">
        <x:v>2023-05-01</x:v>
      </x:c>
      <x:c r="G648" s="2" t="str">
        <x:v>YoY carry</x:v>
      </x:c>
      <x:c r="H648" s="7" t="n">
        <x:v>34621.86892470155</x:v>
      </x:c>
      <x:c r="I648" s="7" t="n">
        <x:v>35530</x:v>
      </x:c>
      <x:c r="J648" s="2" t="str">
        <x:v>2023-07-01</x:v>
      </x:c>
      <x:c r="K648" s="7" t="n">
        <x:f>100*(H648/I648-1)</x:f>
        <x:v>-2.5559557424667867</x:v>
      </x:c>
      <x:c r="L648" s="7" t="n">
        <x:f>ABS(K648)</x:f>
        <x:v>2.5559557424667867</x:v>
      </x:c>
      <x:c r="M648" s="2" t="str">
        <x:v>Calibration</x:v>
      </x:c>
    </x:row>
    <x:row r="649" ht="27" customHeight="1">
      <x:c r="A649" s="2"/>
      <x:c r="B649" s="2" t="str">
        <x:v>RSHPCS</x:v>
      </x:c>
      <x:c r="C649" s="2" t="str">
        <x:v>2023-06-30</x:v>
      </x:c>
      <x:c r="D649" s="2" t="str">
        <x:v>Origin</x:v>
      </x:c>
      <x:c r="E649" s="2" t="str">
        <x:v>2023-04-01</x:v>
      </x:c>
      <x:c r="F649" s="2" t="str">
        <x:v>2023-06-01</x:v>
      </x:c>
      <x:c r="G649" s="2" t="str">
        <x:v>YoY carry</x:v>
      </x:c>
      <x:c r="H649" s="7" t="n">
        <x:v>35084.75339327191</x:v>
      </x:c>
      <x:c r="I649" s="7" t="n">
        <x:v>35561</x:v>
      </x:c>
      <x:c r="J649" s="2" t="str">
        <x:v>2023-07-27</x:v>
      </x:c>
      <x:c r="K649" s="7" t="n">
        <x:f>100*(H649/I649-1)</x:f>
        <x:v>-1.3392385105258309</x:v>
      </x:c>
      <x:c r="L649" s="7" t="n">
        <x:f>ABS(K649)</x:f>
        <x:v>1.3392385105258309</x:v>
      </x:c>
      <x:c r="M649" s="2" t="str">
        <x:v>Calibration</x:v>
      </x:c>
    </x:row>
    <x:row r="650" ht="27" customHeight="1">
      <x:c r="A650" s="2"/>
      <x:c r="B650" s="2" t="str">
        <x:v>RSHPCS</x:v>
      </x:c>
      <x:c r="C650" s="2" t="str">
        <x:v>2023-06-30</x:v>
      </x:c>
      <x:c r="D650" s="2" t="str">
        <x:v>Origin</x:v>
      </x:c>
      <x:c r="E650" s="2" t="str">
        <x:v>2023-04-01</x:v>
      </x:c>
      <x:c r="F650" s="2" t="str">
        <x:v>2023-04-01</x:v>
      </x:c>
      <x:c r="G650" s="2" t="str">
        <x:v>Flat level</x:v>
      </x:c>
      <x:c r="H650" s="7" t="n">
        <x:v>34799</x:v>
      </x:c>
      <x:c r="I650" s="7" t="n">
        <x:v>35525</x:v>
      </x:c>
      <x:c r="J650" s="2" t="str">
        <x:v>2023-07-01</x:v>
      </x:c>
      <x:c r="K650" s="7" t="n">
        <x:f>100*(H650/I650-1)</x:f>
        <x:v>-2.0436312456016847</x:v>
      </x:c>
      <x:c r="L650" s="7" t="n">
        <x:f>ABS(K650)</x:f>
        <x:v>2.0436312456016847</x:v>
      </x:c>
      <x:c r="M650" s="2" t="str">
        <x:v>Calibration</x:v>
      </x:c>
    </x:row>
    <x:row r="651" ht="27" customHeight="1">
      <x:c r="A651" s="2"/>
      <x:c r="B651" s="2" t="str">
        <x:v>RSHPCS</x:v>
      </x:c>
      <x:c r="C651" s="2" t="str">
        <x:v>2023-06-30</x:v>
      </x:c>
      <x:c r="D651" s="2" t="str">
        <x:v>Origin</x:v>
      </x:c>
      <x:c r="E651" s="2" t="str">
        <x:v>2023-04-01</x:v>
      </x:c>
      <x:c r="F651" s="2" t="str">
        <x:v>2023-05-01</x:v>
      </x:c>
      <x:c r="G651" s="2" t="str">
        <x:v>Flat level</x:v>
      </x:c>
      <x:c r="H651" s="7" t="n">
        <x:v>34799</x:v>
      </x:c>
      <x:c r="I651" s="7" t="n">
        <x:v>35530</x:v>
      </x:c>
      <x:c r="J651" s="2" t="str">
        <x:v>2023-07-01</x:v>
      </x:c>
      <x:c r="K651" s="7" t="n">
        <x:f>100*(H651/I651-1)</x:f>
        <x:v>-2.05741626794258</x:v>
      </x:c>
      <x:c r="L651" s="7" t="n">
        <x:f>ABS(K651)</x:f>
        <x:v>2.05741626794258</x:v>
      </x:c>
      <x:c r="M651" s="2" t="str">
        <x:v>Calibration</x:v>
      </x:c>
    </x:row>
    <x:row r="652" ht="27" customHeight="1">
      <x:c r="A652" s="2"/>
      <x:c r="B652" s="2" t="str">
        <x:v>RSHPCS</x:v>
      </x:c>
      <x:c r="C652" s="2" t="str">
        <x:v>2023-06-30</x:v>
      </x:c>
      <x:c r="D652" s="2" t="str">
        <x:v>Origin</x:v>
      </x:c>
      <x:c r="E652" s="2" t="str">
        <x:v>2023-04-01</x:v>
      </x:c>
      <x:c r="F652" s="2" t="str">
        <x:v>2023-06-01</x:v>
      </x:c>
      <x:c r="G652" s="2" t="str">
        <x:v>Flat level</x:v>
      </x:c>
      <x:c r="H652" s="7" t="n">
        <x:v>34799</x:v>
      </x:c>
      <x:c r="I652" s="7" t="n">
        <x:v>35561</x:v>
      </x:c>
      <x:c r="J652" s="2" t="str">
        <x:v>2023-07-27</x:v>
      </x:c>
      <x:c r="K652" s="7" t="n">
        <x:f>100*(H652/I652-1)</x:f>
        <x:v>-2.142796884227105</x:v>
      </x:c>
      <x:c r="L652" s="7" t="n">
        <x:f>ABS(K652)</x:f>
        <x:v>2.142796884227105</x:v>
      </x:c>
      <x:c r="M652" s="2" t="str">
        <x:v>Calibration</x:v>
      </x:c>
    </x:row>
    <x:row r="653" ht="27" customHeight="1">
      <x:c r="A653" s="2"/>
      <x:c r="B653" s="2" t="str">
        <x:v>RSHPCS</x:v>
      </x:c>
      <x:c r="C653" s="2" t="str">
        <x:v>2023-06-30</x:v>
      </x:c>
      <x:c r="D653" s="2" t="str">
        <x:v>Origin</x:v>
      </x:c>
      <x:c r="E653" s="2" t="str">
        <x:v>2023-04-01</x:v>
      </x:c>
      <x:c r="F653" s="2" t="str">
        <x:v>2023-04-01</x:v>
      </x:c>
      <x:c r="G653" s="2" t="str">
        <x:v>Recent trend</x:v>
      </x:c>
      <x:c r="H653" s="7" t="n">
        <x:v>36138</x:v>
      </x:c>
      <x:c r="I653" s="7" t="n">
        <x:v>35525</x:v>
      </x:c>
      <x:c r="J653" s="2" t="str">
        <x:v>2023-07-01</x:v>
      </x:c>
      <x:c r="K653" s="7" t="n">
        <x:f>100*(H653/I653-1)</x:f>
        <x:v>1.7255453905700158</x:v>
      </x:c>
      <x:c r="L653" s="7" t="n">
        <x:f>ABS(K653)</x:f>
        <x:v>1.7255453905700158</x:v>
      </x:c>
      <x:c r="M653" s="2" t="str">
        <x:v>Calibration</x:v>
      </x:c>
    </x:row>
    <x:row r="654" ht="27" customHeight="1">
      <x:c r="A654" s="2"/>
      <x:c r="B654" s="2" t="str">
        <x:v>RSHPCS</x:v>
      </x:c>
      <x:c r="C654" s="2" t="str">
        <x:v>2023-06-30</x:v>
      </x:c>
      <x:c r="D654" s="2" t="str">
        <x:v>Origin</x:v>
      </x:c>
      <x:c r="E654" s="2" t="str">
        <x:v>2023-04-01</x:v>
      </x:c>
      <x:c r="F654" s="2" t="str">
        <x:v>2023-05-01</x:v>
      </x:c>
      <x:c r="G654" s="2" t="str">
        <x:v>Recent trend</x:v>
      </x:c>
      <x:c r="H654" s="7" t="n">
        <x:v>36807.5</x:v>
      </x:c>
      <x:c r="I654" s="7" t="n">
        <x:v>35530</x:v>
      </x:c>
      <x:c r="J654" s="2" t="str">
        <x:v>2023-07-01</x:v>
      </x:c>
      <x:c r="K654" s="7" t="n">
        <x:f>100*(H654/I654-1)</x:f>
        <x:v>3.595553053757383</x:v>
      </x:c>
      <x:c r="L654" s="7" t="n">
        <x:f>ABS(K654)</x:f>
        <x:v>3.595553053757383</x:v>
      </x:c>
      <x:c r="M654" s="2" t="str">
        <x:v>Calibration</x:v>
      </x:c>
    </x:row>
    <x:row r="655" ht="27" customHeight="1">
      <x:c r="A655" s="2"/>
      <x:c r="B655" s="2" t="str">
        <x:v>RSHPCS</x:v>
      </x:c>
      <x:c r="C655" s="2" t="str">
        <x:v>2023-06-30</x:v>
      </x:c>
      <x:c r="D655" s="2" t="str">
        <x:v>Origin</x:v>
      </x:c>
      <x:c r="E655" s="2" t="str">
        <x:v>2023-04-01</x:v>
      </x:c>
      <x:c r="F655" s="2" t="str">
        <x:v>2023-06-01</x:v>
      </x:c>
      <x:c r="G655" s="2" t="str">
        <x:v>Recent trend</x:v>
      </x:c>
      <x:c r="H655" s="7" t="n">
        <x:v>37477</x:v>
      </x:c>
      <x:c r="I655" s="7" t="n">
        <x:v>35561</x:v>
      </x:c>
      <x:c r="J655" s="2" t="str">
        <x:v>2023-07-27</x:v>
      </x:c>
      <x:c r="K655" s="7" t="n">
        <x:f>100*(H655/I655-1)</x:f>
        <x:v>5.387924973988367</x:v>
      </x:c>
      <x:c r="L655" s="7" t="n">
        <x:f>ABS(K655)</x:f>
        <x:v>5.387924973988367</x:v>
      </x:c>
      <x:c r="M655" s="2" t="str">
        <x:v>Calibration</x:v>
      </x:c>
    </x:row>
    <x:row r="656" ht="27" customHeight="1">
      <x:c r="A656" s="2"/>
      <x:c r="B656" s="2" t="str">
        <x:v>RSHPCS</x:v>
      </x:c>
      <x:c r="C656" s="2" t="str">
        <x:v>2023-06-30</x:v>
      </x:c>
      <x:c r="D656" s="2" t="str">
        <x:v>Two months</x:v>
      </x:c>
      <x:c r="E656" s="2" t="str">
        <x:v>2023-07-01</x:v>
      </x:c>
      <x:c r="F656" s="2" t="str">
        <x:v>2023-06-01</x:v>
      </x:c>
      <x:c r="G656" s="2" t="str">
        <x:v>YoY carry</x:v>
      </x:c>
      <x:c r="H656" s="7" t="n">
        <x:v>36051.93274062414</x:v>
      </x:c>
      <x:c r="I656" s="7" t="n">
        <x:v>35561</x:v>
      </x:c>
      <x:c r="J656" s="2" t="str">
        <x:v>2023-07-27</x:v>
      </x:c>
      <x:c r="K656" s="7" t="n">
        <x:f>100*(H656/I656-1)</x:f>
        <x:v>1.380536938286725</x:v>
      </x:c>
      <x:c r="L656" s="7" t="n">
        <x:f>ABS(K656)</x:f>
        <x:v>1.380536938286725</x:v>
      </x:c>
      <x:c r="M656" s="2" t="str">
        <x:v>Calibration</x:v>
      </x:c>
    </x:row>
    <x:row r="657" ht="27" customHeight="1">
      <x:c r="A657" s="2"/>
      <x:c r="B657" s="2" t="str">
        <x:v>RSHPCS</x:v>
      </x:c>
      <x:c r="C657" s="2" t="str">
        <x:v>2023-06-30</x:v>
      </x:c>
      <x:c r="D657" s="2" t="str">
        <x:v>Two months</x:v>
      </x:c>
      <x:c r="E657" s="2" t="str">
        <x:v>2023-07-01</x:v>
      </x:c>
      <x:c r="F657" s="2" t="str">
        <x:v>2023-06-01</x:v>
      </x:c>
      <x:c r="G657" s="2" t="str">
        <x:v>Flat level</x:v>
      </x:c>
      <x:c r="H657" s="7" t="n">
        <x:v>35530</x:v>
      </x:c>
      <x:c r="I657" s="7" t="n">
        <x:v>35561</x:v>
      </x:c>
      <x:c r="J657" s="2" t="str">
        <x:v>2023-07-27</x:v>
      </x:c>
      <x:c r="K657" s="7" t="n">
        <x:f>100*(H657/I657-1)</x:f>
        <x:v>-0.08717415145805818</x:v>
      </x:c>
      <x:c r="L657" s="7" t="n">
        <x:f>ABS(K657)</x:f>
        <x:v>0.08717415145805818</x:v>
      </x:c>
      <x:c r="M657" s="2" t="str">
        <x:v>Calibration</x:v>
      </x:c>
    </x:row>
    <x:row r="658" ht="27" customHeight="1">
      <x:c r="A658" s="2"/>
      <x:c r="B658" s="2" t="str">
        <x:v>RSHPCS</x:v>
      </x:c>
      <x:c r="C658" s="2" t="str">
        <x:v>2023-06-30</x:v>
      </x:c>
      <x:c r="D658" s="2" t="str">
        <x:v>Two months</x:v>
      </x:c>
      <x:c r="E658" s="2" t="str">
        <x:v>2023-07-01</x:v>
      </x:c>
      <x:c r="F658" s="2" t="str">
        <x:v>2023-06-01</x:v>
      </x:c>
      <x:c r="G658" s="2" t="str">
        <x:v>Recent trend</x:v>
      </x:c>
      <x:c r="H658" s="7" t="n">
        <x:v>35669.5</x:v>
      </x:c>
      <x:c r="I658" s="7" t="n">
        <x:v>35561</x:v>
      </x:c>
      <x:c r="J658" s="2" t="str">
        <x:v>2023-07-27</x:v>
      </x:c>
      <x:c r="K658" s="7" t="n">
        <x:f>100*(H658/I658-1)</x:f>
        <x:v>0.3051095301032092</x:v>
      </x:c>
      <x:c r="L658" s="7" t="n">
        <x:f>ABS(K658)</x:f>
        <x:v>0.3051095301032092</x:v>
      </x:c>
      <x:c r="M658" s="2" t="str">
        <x:v>Calibration</x:v>
      </x:c>
    </x:row>
    <x:row r="659" ht="27" customHeight="1">
      <x:c r="A659" s="2"/>
      <x:c r="B659" s="2" t="str">
        <x:v>RSHPCS</x:v>
      </x:c>
      <x:c r="C659" s="2" t="str">
        <x:v>2023-09-30</x:v>
      </x:c>
      <x:c r="D659" s="2" t="str">
        <x:v>Origin</x:v>
      </x:c>
      <x:c r="E659" s="2" t="str">
        <x:v>2023-07-01</x:v>
      </x:c>
      <x:c r="F659" s="2" t="str">
        <x:v>2023-07-01</x:v>
      </x:c>
      <x:c r="G659" s="2" t="str">
        <x:v>YoY carry</x:v>
      </x:c>
      <x:c r="H659" s="7" t="n">
        <x:v>36187.689099529096</x:v>
      </x:c>
      <x:c r="I659" s="7" t="n">
        <x:v>36060</x:v>
      </x:c>
      <x:c r="J659" s="2" t="str">
        <x:v>2023-10-01</x:v>
      </x:c>
      <x:c r="K659" s="7" t="n">
        <x:f>100*(H659/I659-1)</x:f>
        <x:v>0.35410177351384853</x:v>
      </x:c>
      <x:c r="L659" s="7" t="n">
        <x:f>ABS(K659)</x:f>
        <x:v>0.35410177351384853</x:v>
      </x:c>
      <x:c r="M659" s="2" t="str">
        <x:v>Calibration</x:v>
      </x:c>
    </x:row>
    <x:row r="660" ht="27" customHeight="1">
      <x:c r="A660" s="2"/>
      <x:c r="B660" s="2" t="str">
        <x:v>RSHPCS</x:v>
      </x:c>
      <x:c r="C660" s="2" t="str">
        <x:v>2023-09-30</x:v>
      </x:c>
      <x:c r="D660" s="2" t="str">
        <x:v>Origin</x:v>
      </x:c>
      <x:c r="E660" s="2" t="str">
        <x:v>2023-07-01</x:v>
      </x:c>
      <x:c r="F660" s="2" t="str">
        <x:v>2023-08-01</x:v>
      </x:c>
      <x:c r="G660" s="2" t="str">
        <x:v>YoY carry</x:v>
      </x:c>
      <x:c r="H660" s="7" t="n">
        <x:v>36266.341593180376</x:v>
      </x:c>
      <x:c r="I660" s="7" t="n">
        <x:v>36240</x:v>
      </x:c>
      <x:c r="J660" s="2" t="str">
        <x:v>2023-10-01</x:v>
      </x:c>
      <x:c r="K660" s="7" t="n">
        <x:f>100*(H660/I660-1)</x:f>
        <x:v>0.07268651539837911</x:v>
      </x:c>
      <x:c r="L660" s="7" t="n">
        <x:f>ABS(K660)</x:f>
        <x:v>0.07268651539837911</x:v>
      </x:c>
      <x:c r="M660" s="2" t="str">
        <x:v>Calibration</x:v>
      </x:c>
    </x:row>
    <x:row r="661" ht="27" customHeight="1">
      <x:c r="A661" s="2"/>
      <x:c r="B661" s="2" t="str">
        <x:v>RSHPCS</x:v>
      </x:c>
      <x:c r="C661" s="2" t="str">
        <x:v>2023-09-30</x:v>
      </x:c>
      <x:c r="D661" s="2" t="str">
        <x:v>Origin</x:v>
      </x:c>
      <x:c r="E661" s="2" t="str">
        <x:v>2023-07-01</x:v>
      </x:c>
      <x:c r="F661" s="2" t="str">
        <x:v>2023-09-01</x:v>
      </x:c>
      <x:c r="G661" s="2" t="str">
        <x:v>YoY carry</x:v>
      </x:c>
      <x:c r="H661" s="7" t="n">
        <x:v>36594.958176243956</x:v>
      </x:c>
      <x:c r="I661" s="7" t="n">
        <x:v>36726</x:v>
      </x:c>
      <x:c r="J661" s="2" t="str">
        <x:v>2023-10-17</x:v>
      </x:c>
      <x:c r="K661" s="7" t="n">
        <x:f>100*(H661/I661-1)</x:f>
        <x:v>-0.35680940956283047</x:v>
      </x:c>
      <x:c r="L661" s="7" t="n">
        <x:f>ABS(K661)</x:f>
        <x:v>0.35680940956283047</x:v>
      </x:c>
      <x:c r="M661" s="2" t="str">
        <x:v>Calibration</x:v>
      </x:c>
    </x:row>
    <x:row r="662" ht="27" customHeight="1">
      <x:c r="A662" s="2"/>
      <x:c r="B662" s="2" t="str">
        <x:v>RSHPCS</x:v>
      </x:c>
      <x:c r="C662" s="2" t="str">
        <x:v>2023-09-30</x:v>
      </x:c>
      <x:c r="D662" s="2" t="str">
        <x:v>Origin</x:v>
      </x:c>
      <x:c r="E662" s="2" t="str">
        <x:v>2023-07-01</x:v>
      </x:c>
      <x:c r="F662" s="2" t="str">
        <x:v>2023-07-01</x:v>
      </x:c>
      <x:c r="G662" s="2" t="str">
        <x:v>Flat level</x:v>
      </x:c>
      <x:c r="H662" s="7" t="n">
        <x:v>35530</x:v>
      </x:c>
      <x:c r="I662" s="7" t="n">
        <x:v>36060</x:v>
      </x:c>
      <x:c r="J662" s="2" t="str">
        <x:v>2023-10-01</x:v>
      </x:c>
      <x:c r="K662" s="7" t="n">
        <x:f>100*(H662/I662-1)</x:f>
        <x:v>-1.4697726012201873</x:v>
      </x:c>
      <x:c r="L662" s="7" t="n">
        <x:f>ABS(K662)</x:f>
        <x:v>1.4697726012201873</x:v>
      </x:c>
      <x:c r="M662" s="2" t="str">
        <x:v>Calibration</x:v>
      </x:c>
    </x:row>
    <x:row r="663" ht="27" customHeight="1">
      <x:c r="A663" s="2"/>
      <x:c r="B663" s="2" t="str">
        <x:v>RSHPCS</x:v>
      </x:c>
      <x:c r="C663" s="2" t="str">
        <x:v>2023-09-30</x:v>
      </x:c>
      <x:c r="D663" s="2" t="str">
        <x:v>Origin</x:v>
      </x:c>
      <x:c r="E663" s="2" t="str">
        <x:v>2023-07-01</x:v>
      </x:c>
      <x:c r="F663" s="2" t="str">
        <x:v>2023-08-01</x:v>
      </x:c>
      <x:c r="G663" s="2" t="str">
        <x:v>Flat level</x:v>
      </x:c>
      <x:c r="H663" s="7" t="n">
        <x:v>35530</x:v>
      </x:c>
      <x:c r="I663" s="7" t="n">
        <x:v>36240</x:v>
      </x:c>
      <x:c r="J663" s="2" t="str">
        <x:v>2023-10-01</x:v>
      </x:c>
      <x:c r="K663" s="7" t="n">
        <x:f>100*(H663/I663-1)</x:f>
        <x:v>-1.9591611479028659</x:v>
      </x:c>
      <x:c r="L663" s="7" t="n">
        <x:f>ABS(K663)</x:f>
        <x:v>1.9591611479028659</x:v>
      </x:c>
      <x:c r="M663" s="2" t="str">
        <x:v>Calibration</x:v>
      </x:c>
    </x:row>
    <x:row r="664" ht="27" customHeight="1">
      <x:c r="A664" s="2"/>
      <x:c r="B664" s="2" t="str">
        <x:v>RSHPCS</x:v>
      </x:c>
      <x:c r="C664" s="2" t="str">
        <x:v>2023-09-30</x:v>
      </x:c>
      <x:c r="D664" s="2" t="str">
        <x:v>Origin</x:v>
      </x:c>
      <x:c r="E664" s="2" t="str">
        <x:v>2023-07-01</x:v>
      </x:c>
      <x:c r="F664" s="2" t="str">
        <x:v>2023-09-01</x:v>
      </x:c>
      <x:c r="G664" s="2" t="str">
        <x:v>Flat level</x:v>
      </x:c>
      <x:c r="H664" s="7" t="n">
        <x:v>35530</x:v>
      </x:c>
      <x:c r="I664" s="7" t="n">
        <x:v>36726</x:v>
      </x:c>
      <x:c r="J664" s="2" t="str">
        <x:v>2023-10-17</x:v>
      </x:c>
      <x:c r="K664" s="7" t="n">
        <x:f>100*(H664/I664-1)</x:f>
        <x:v>-3.256548494254752</x:v>
      </x:c>
      <x:c r="L664" s="7" t="n">
        <x:f>ABS(K664)</x:f>
        <x:v>3.256548494254752</x:v>
      </x:c>
      <x:c r="M664" s="2" t="str">
        <x:v>Calibration</x:v>
      </x:c>
    </x:row>
    <x:row r="665" ht="27" customHeight="1">
      <x:c r="A665" s="2"/>
      <x:c r="B665" s="2" t="str">
        <x:v>RSHPCS</x:v>
      </x:c>
      <x:c r="C665" s="2" t="str">
        <x:v>2023-09-30</x:v>
      </x:c>
      <x:c r="D665" s="2" t="str">
        <x:v>Origin</x:v>
      </x:c>
      <x:c r="E665" s="2" t="str">
        <x:v>2023-07-01</x:v>
      </x:c>
      <x:c r="F665" s="2" t="str">
        <x:v>2023-07-01</x:v>
      </x:c>
      <x:c r="G665" s="2" t="str">
        <x:v>Recent trend</x:v>
      </x:c>
      <x:c r="H665" s="7" t="n">
        <x:v>35809</x:v>
      </x:c>
      <x:c r="I665" s="7" t="n">
        <x:v>36060</x:v>
      </x:c>
      <x:c r="J665" s="2" t="str">
        <x:v>2023-10-01</x:v>
      </x:c>
      <x:c r="K665" s="7" t="n">
        <x:f>100*(H665/I665-1)</x:f>
        <x:v>-0.6960621186910654</x:v>
      </x:c>
      <x:c r="L665" s="7" t="n">
        <x:f>ABS(K665)</x:f>
        <x:v>0.6960621186910654</x:v>
      </x:c>
      <x:c r="M665" s="2" t="str">
        <x:v>Calibration</x:v>
      </x:c>
    </x:row>
    <x:row r="666" ht="27" customHeight="1">
      <x:c r="A666" s="2"/>
      <x:c r="B666" s="2" t="str">
        <x:v>RSHPCS</x:v>
      </x:c>
      <x:c r="C666" s="2" t="str">
        <x:v>2023-09-30</x:v>
      </x:c>
      <x:c r="D666" s="2" t="str">
        <x:v>Origin</x:v>
      </x:c>
      <x:c r="E666" s="2" t="str">
        <x:v>2023-07-01</x:v>
      </x:c>
      <x:c r="F666" s="2" t="str">
        <x:v>2023-08-01</x:v>
      </x:c>
      <x:c r="G666" s="2" t="str">
        <x:v>Recent trend</x:v>
      </x:c>
      <x:c r="H666" s="7" t="n">
        <x:v>35948.5</x:v>
      </x:c>
      <x:c r="I666" s="7" t="n">
        <x:v>36240</x:v>
      </x:c>
      <x:c r="J666" s="2" t="str">
        <x:v>2023-10-01</x:v>
      </x:c>
      <x:c r="K666" s="7" t="n">
        <x:f>100*(H666/I666-1)</x:f>
        <x:v>-0.8043598233995586</x:v>
      </x:c>
      <x:c r="L666" s="7" t="n">
        <x:f>ABS(K666)</x:f>
        <x:v>0.8043598233995586</x:v>
      </x:c>
      <x:c r="M666" s="2" t="str">
        <x:v>Calibration</x:v>
      </x:c>
    </x:row>
    <x:row r="667" ht="27" customHeight="1">
      <x:c r="A667" s="2"/>
      <x:c r="B667" s="2" t="str">
        <x:v>RSHPCS</x:v>
      </x:c>
      <x:c r="C667" s="2" t="str">
        <x:v>2023-09-30</x:v>
      </x:c>
      <x:c r="D667" s="2" t="str">
        <x:v>Origin</x:v>
      </x:c>
      <x:c r="E667" s="2" t="str">
        <x:v>2023-07-01</x:v>
      </x:c>
      <x:c r="F667" s="2" t="str">
        <x:v>2023-09-01</x:v>
      </x:c>
      <x:c r="G667" s="2" t="str">
        <x:v>Recent trend</x:v>
      </x:c>
      <x:c r="H667" s="7" t="n">
        <x:v>36088</x:v>
      </x:c>
      <x:c r="I667" s="7" t="n">
        <x:v>36726</x:v>
      </x:c>
      <x:c r="J667" s="2" t="str">
        <x:v>2023-10-17</x:v>
      </x:c>
      <x:c r="K667" s="7" t="n">
        <x:f>100*(H667/I667-1)</x:f>
        <x:v>-1.7371889124870643</x:v>
      </x:c>
      <x:c r="L667" s="7" t="n">
        <x:f>ABS(K667)</x:f>
        <x:v>1.7371889124870643</x:v>
      </x:c>
      <x:c r="M667" s="2" t="str">
        <x:v>Calibration</x:v>
      </x:c>
    </x:row>
    <x:row r="668" ht="27" customHeight="1">
      <x:c r="A668" s="2"/>
      <x:c r="B668" s="2" t="str">
        <x:v>RSHPCS</x:v>
      </x:c>
      <x:c r="C668" s="2" t="str">
        <x:v>2023-09-30</x:v>
      </x:c>
      <x:c r="D668" s="2" t="str">
        <x:v>Two months</x:v>
      </x:c>
      <x:c r="E668" s="2" t="str">
        <x:v>2023-10-01</x:v>
      </x:c>
      <x:c r="F668" s="2" t="str">
        <x:v>2023-09-01</x:v>
      </x:c>
      <x:c r="G668" s="2" t="str">
        <x:v>YoY carry</x:v>
      </x:c>
      <x:c r="H668" s="7" t="n">
        <x:v>36556.610065625515</x:v>
      </x:c>
      <x:c r="I668" s="7" t="n">
        <x:v>36726</x:v>
      </x:c>
      <x:c r="J668" s="2" t="str">
        <x:v>2023-10-17</x:v>
      </x:c>
      <x:c r="K668" s="7" t="n">
        <x:f>100*(H668/I668-1)</x:f>
        <x:v>-0.4612262004424217</x:v>
      </x:c>
      <x:c r="L668" s="7" t="n">
        <x:f>ABS(K668)</x:f>
        <x:v>0.4612262004424217</x:v>
      </x:c>
      <x:c r="M668" s="2" t="str">
        <x:v>Calibration</x:v>
      </x:c>
    </x:row>
    <x:row r="669" ht="27" customHeight="1">
      <x:c r="A669" s="2"/>
      <x:c r="B669" s="2" t="str">
        <x:v>RSHPCS</x:v>
      </x:c>
      <x:c r="C669" s="2" t="str">
        <x:v>2023-09-30</x:v>
      </x:c>
      <x:c r="D669" s="2" t="str">
        <x:v>Two months</x:v>
      </x:c>
      <x:c r="E669" s="2" t="str">
        <x:v>2023-10-01</x:v>
      </x:c>
      <x:c r="F669" s="2" t="str">
        <x:v>2023-09-01</x:v>
      </x:c>
      <x:c r="G669" s="2" t="str">
        <x:v>Flat level</x:v>
      </x:c>
      <x:c r="H669" s="7" t="n">
        <x:v>36240</x:v>
      </x:c>
      <x:c r="I669" s="7" t="n">
        <x:v>36726</x:v>
      </x:c>
      <x:c r="J669" s="2" t="str">
        <x:v>2023-10-17</x:v>
      </x:c>
      <x:c r="K669" s="7" t="n">
        <x:f>100*(H669/I669-1)</x:f>
        <x:v>-1.323313184120245</x:v>
      </x:c>
      <x:c r="L669" s="7" t="n">
        <x:f>ABS(K669)</x:f>
        <x:v>1.323313184120245</x:v>
      </x:c>
      <x:c r="M669" s="2" t="str">
        <x:v>Calibration</x:v>
      </x:c>
    </x:row>
    <x:row r="670" ht="27" customHeight="1">
      <x:c r="A670" s="2"/>
      <x:c r="B670" s="2" t="str">
        <x:v>RSHPCS</x:v>
      </x:c>
      <x:c r="C670" s="2" t="str">
        <x:v>2023-09-30</x:v>
      </x:c>
      <x:c r="D670" s="2" t="str">
        <x:v>Two months</x:v>
      </x:c>
      <x:c r="E670" s="2" t="str">
        <x:v>2023-10-01</x:v>
      </x:c>
      <x:c r="F670" s="2" t="str">
        <x:v>2023-09-01</x:v>
      </x:c>
      <x:c r="G670" s="2" t="str">
        <x:v>Recent trend</x:v>
      </x:c>
      <x:c r="H670" s="7" t="n">
        <x:v>36350</x:v>
      </x:c>
      <x:c r="I670" s="7" t="n">
        <x:v>36726</x:v>
      </x:c>
      <x:c r="J670" s="2" t="str">
        <x:v>2023-10-17</x:v>
      </x:c>
      <x:c r="K670" s="7" t="n">
        <x:f>100*(H670/I670-1)</x:f>
        <x:v>-1.0237978543810922</x:v>
      </x:c>
      <x:c r="L670" s="7" t="n">
        <x:f>ABS(K670)</x:f>
        <x:v>1.0237978543810922</x:v>
      </x:c>
      <x:c r="M670" s="2" t="str">
        <x:v>Calibration</x:v>
      </x:c>
    </x:row>
    <x:row r="671" ht="27" customHeight="1">
      <x:c r="A671" s="2"/>
      <x:c r="B671" s="2" t="str">
        <x:v>RSHPCS</x:v>
      </x:c>
      <x:c r="C671" s="2" t="str">
        <x:v>2023-12-31</x:v>
      </x:c>
      <x:c r="D671" s="2" t="str">
        <x:v>Origin</x:v>
      </x:c>
      <x:c r="E671" s="2" t="str">
        <x:v>2023-10-01</x:v>
      </x:c>
      <x:c r="F671" s="2" t="str">
        <x:v>2023-10-01</x:v>
      </x:c>
      <x:c r="G671" s="2" t="str">
        <x:v>YoY carry</x:v>
      </x:c>
      <x:c r="H671" s="7" t="n">
        <x:v>36584.59392729801</x:v>
      </x:c>
      <x:c r="I671" s="7" t="n">
        <x:v>37481</x:v>
      </x:c>
      <x:c r="J671" s="2" t="str">
        <x:v>2023-12-14</x:v>
      </x:c>
      <x:c r="K671" s="7" t="n">
        <x:f>100*(H671/I671-1)</x:f>
        <x:v>-2.3916279520343364</x:v>
      </x:c>
      <x:c r="L671" s="7" t="n">
        <x:f>ABS(K671)</x:f>
        <x:v>2.3916279520343364</x:v>
      </x:c>
      <x:c r="M671" s="2" t="str">
        <x:v>Calibration</x:v>
      </x:c>
    </x:row>
    <x:row r="672" ht="27" customHeight="1">
      <x:c r="A672" s="2"/>
      <x:c r="B672" s="2" t="str">
        <x:v>RSHPCS</x:v>
      </x:c>
      <x:c r="C672" s="2" t="str">
        <x:v>2023-12-31</x:v>
      </x:c>
      <x:c r="D672" s="2" t="str">
        <x:v>Origin</x:v>
      </x:c>
      <x:c r="E672" s="2" t="str">
        <x:v>2023-10-01</x:v>
      </x:c>
      <x:c r="F672" s="2" t="str">
        <x:v>2023-11-01</x:v>
      </x:c>
      <x:c r="G672" s="2" t="str">
        <x:v>YoY carry</x:v>
      </x:c>
      <x:c r="H672" s="7" t="n">
        <x:v>36807.38851830594</x:v>
      </x:c>
      <x:c r="I672" s="7" t="n">
        <x:v>37812</x:v>
      </x:c>
      <x:c r="J672" s="2" t="str">
        <x:v>2023-12-14</x:v>
      </x:c>
      <x:c r="K672" s="7" t="n">
        <x:f>100*(H672/I672-1)</x:f>
        <x:v>-2.656858885258806</x:v>
      </x:c>
      <x:c r="L672" s="7" t="n">
        <x:f>ABS(K672)</x:f>
        <x:v>2.656858885258806</x:v>
      </x:c>
      <x:c r="M672" s="2" t="str">
        <x:v>Calibration</x:v>
      </x:c>
    </x:row>
    <x:row r="673" ht="27" customHeight="1">
      <x:c r="A673" s="2"/>
      <x:c r="B673" s="2" t="str">
        <x:v>RSHPCS</x:v>
      </x:c>
      <x:c r="C673" s="2" t="str">
        <x:v>2023-12-31</x:v>
      </x:c>
      <x:c r="D673" s="2" t="str">
        <x:v>Origin</x:v>
      </x:c>
      <x:c r="E673" s="2" t="str">
        <x:v>2023-10-01</x:v>
      </x:c>
      <x:c r="F673" s="2" t="str">
        <x:v>2023-12-01</x:v>
      </x:c>
      <x:c r="G673" s="2" t="str">
        <x:v>YoY carry</x:v>
      </x:c>
      <x:c r="H673" s="7" t="n">
        <x:v>35599.77725690062</x:v>
      </x:c>
      <x:c r="I673" s="7" t="n">
        <x:v>36802</x:v>
      </x:c>
      <x:c r="J673" s="2" t="str">
        <x:v>2024-01-17</x:v>
      </x:c>
      <x:c r="K673" s="7" t="n">
        <x:f>100*(H673/I673-1)</x:f>
        <x:v>-3.2667320882000417</x:v>
      </x:c>
      <x:c r="L673" s="7" t="n">
        <x:f>ABS(K673)</x:f>
        <x:v>3.2667320882000417</x:v>
      </x:c>
      <x:c r="M673" s="2" t="str">
        <x:v>Calibration</x:v>
      </x:c>
    </x:row>
    <x:row r="674" ht="27" customHeight="1">
      <x:c r="A674" s="2"/>
      <x:c r="B674" s="2" t="str">
        <x:v>RSHPCS</x:v>
      </x:c>
      <x:c r="C674" s="2" t="str">
        <x:v>2023-12-31</x:v>
      </x:c>
      <x:c r="D674" s="2" t="str">
        <x:v>Origin</x:v>
      </x:c>
      <x:c r="E674" s="2" t="str">
        <x:v>2023-10-01</x:v>
      </x:c>
      <x:c r="F674" s="2" t="str">
        <x:v>2023-10-01</x:v>
      </x:c>
      <x:c r="G674" s="2" t="str">
        <x:v>Flat level</x:v>
      </x:c>
      <x:c r="H674" s="7" t="n">
        <x:v>36240</x:v>
      </x:c>
      <x:c r="I674" s="7" t="n">
        <x:v>37481</x:v>
      </x:c>
      <x:c r="J674" s="2" t="str">
        <x:v>2023-12-14</x:v>
      </x:c>
      <x:c r="K674" s="7" t="n">
        <x:f>100*(H674/I674-1)</x:f>
        <x:v>-3.311010912195511</x:v>
      </x:c>
      <x:c r="L674" s="7" t="n">
        <x:f>ABS(K674)</x:f>
        <x:v>3.311010912195511</x:v>
      </x:c>
      <x:c r="M674" s="2" t="str">
        <x:v>Calibration</x:v>
      </x:c>
    </x:row>
    <x:row r="675" ht="27" customHeight="1">
      <x:c r="A675" s="2"/>
      <x:c r="B675" s="2" t="str">
        <x:v>RSHPCS</x:v>
      </x:c>
      <x:c r="C675" s="2" t="str">
        <x:v>2023-12-31</x:v>
      </x:c>
      <x:c r="D675" s="2" t="str">
        <x:v>Origin</x:v>
      </x:c>
      <x:c r="E675" s="2" t="str">
        <x:v>2023-10-01</x:v>
      </x:c>
      <x:c r="F675" s="2" t="str">
        <x:v>2023-11-01</x:v>
      </x:c>
      <x:c r="G675" s="2" t="str">
        <x:v>Flat level</x:v>
      </x:c>
      <x:c r="H675" s="7" t="n">
        <x:v>36240</x:v>
      </x:c>
      <x:c r="I675" s="7" t="n">
        <x:v>37812</x:v>
      </x:c>
      <x:c r="J675" s="2" t="str">
        <x:v>2023-12-14</x:v>
      </x:c>
      <x:c r="K675" s="7" t="n">
        <x:f>100*(H675/I675-1)</x:f>
        <x:v>-4.15741034592193</x:v>
      </x:c>
      <x:c r="L675" s="7" t="n">
        <x:f>ABS(K675)</x:f>
        <x:v>4.15741034592193</x:v>
      </x:c>
      <x:c r="M675" s="2" t="str">
        <x:v>Calibration</x:v>
      </x:c>
    </x:row>
    <x:row r="676" ht="27" customHeight="1">
      <x:c r="A676" s="2"/>
      <x:c r="B676" s="2" t="str">
        <x:v>RSHPCS</x:v>
      </x:c>
      <x:c r="C676" s="2" t="str">
        <x:v>2023-12-31</x:v>
      </x:c>
      <x:c r="D676" s="2" t="str">
        <x:v>Origin</x:v>
      </x:c>
      <x:c r="E676" s="2" t="str">
        <x:v>2023-10-01</x:v>
      </x:c>
      <x:c r="F676" s="2" t="str">
        <x:v>2023-12-01</x:v>
      </x:c>
      <x:c r="G676" s="2" t="str">
        <x:v>Flat level</x:v>
      </x:c>
      <x:c r="H676" s="7" t="n">
        <x:v>36240</x:v>
      </x:c>
      <x:c r="I676" s="7" t="n">
        <x:v>36802</x:v>
      </x:c>
      <x:c r="J676" s="2" t="str">
        <x:v>2024-01-17</x:v>
      </x:c>
      <x:c r="K676" s="7" t="n">
        <x:f>100*(H676/I676-1)</x:f>
        <x:v>-1.5270909189717963</x:v>
      </x:c>
      <x:c r="L676" s="7" t="n">
        <x:f>ABS(K676)</x:f>
        <x:v>1.5270909189717963</x:v>
      </x:c>
      <x:c r="M676" s="2" t="str">
        <x:v>Calibration</x:v>
      </x:c>
    </x:row>
    <x:row r="677" ht="27" customHeight="1">
      <x:c r="A677" s="2"/>
      <x:c r="B677" s="2" t="str">
        <x:v>RSHPCS</x:v>
      </x:c>
      <x:c r="C677" s="2" t="str">
        <x:v>2023-12-31</x:v>
      </x:c>
      <x:c r="D677" s="2" t="str">
        <x:v>Origin</x:v>
      </x:c>
      <x:c r="E677" s="2" t="str">
        <x:v>2023-10-01</x:v>
      </x:c>
      <x:c r="F677" s="2" t="str">
        <x:v>2023-10-01</x:v>
      </x:c>
      <x:c r="G677" s="2" t="str">
        <x:v>Recent trend</x:v>
      </x:c>
      <x:c r="H677" s="7" t="n">
        <x:v>36460</x:v>
      </x:c>
      <x:c r="I677" s="7" t="n">
        <x:v>37481</x:v>
      </x:c>
      <x:c r="J677" s="2" t="str">
        <x:v>2023-12-14</x:v>
      </x:c>
      <x:c r="K677" s="7" t="n">
        <x:f>100*(H677/I677-1)</x:f>
        <x:v>-2.724046850404205</x:v>
      </x:c>
      <x:c r="L677" s="7" t="n">
        <x:f>ABS(K677)</x:f>
        <x:v>2.724046850404205</x:v>
      </x:c>
      <x:c r="M677" s="2" t="str">
        <x:v>Calibration</x:v>
      </x:c>
    </x:row>
    <x:row r="678" ht="27" customHeight="1">
      <x:c r="A678" s="2"/>
      <x:c r="B678" s="2" t="str">
        <x:v>RSHPCS</x:v>
      </x:c>
      <x:c r="C678" s="2" t="str">
        <x:v>2023-12-31</x:v>
      </x:c>
      <x:c r="D678" s="2" t="str">
        <x:v>Origin</x:v>
      </x:c>
      <x:c r="E678" s="2" t="str">
        <x:v>2023-10-01</x:v>
      </x:c>
      <x:c r="F678" s="2" t="str">
        <x:v>2023-11-01</x:v>
      </x:c>
      <x:c r="G678" s="2" t="str">
        <x:v>Recent trend</x:v>
      </x:c>
      <x:c r="H678" s="7" t="n">
        <x:v>36570</x:v>
      </x:c>
      <x:c r="I678" s="7" t="n">
        <x:v>37812</x:v>
      </x:c>
      <x:c r="J678" s="2" t="str">
        <x:v>2023-12-14</x:v>
      </x:c>
      <x:c r="K678" s="7" t="n">
        <x:f>100*(H678/I678-1)</x:f>
        <x:v>-3.284671532846717</x:v>
      </x:c>
      <x:c r="L678" s="7" t="n">
        <x:f>ABS(K678)</x:f>
        <x:v>3.284671532846717</x:v>
      </x:c>
      <x:c r="M678" s="2" t="str">
        <x:v>Calibration</x:v>
      </x:c>
    </x:row>
    <x:row r="679" ht="27" customHeight="1">
      <x:c r="A679" s="2"/>
      <x:c r="B679" s="2" t="str">
        <x:v>RSHPCS</x:v>
      </x:c>
      <x:c r="C679" s="2" t="str">
        <x:v>2023-12-31</x:v>
      </x:c>
      <x:c r="D679" s="2" t="str">
        <x:v>Origin</x:v>
      </x:c>
      <x:c r="E679" s="2" t="str">
        <x:v>2023-10-01</x:v>
      </x:c>
      <x:c r="F679" s="2" t="str">
        <x:v>2023-12-01</x:v>
      </x:c>
      <x:c r="G679" s="2" t="str">
        <x:v>Recent trend</x:v>
      </x:c>
      <x:c r="H679" s="7" t="n">
        <x:v>36680</x:v>
      </x:c>
      <x:c r="I679" s="7" t="n">
        <x:v>36802</x:v>
      </x:c>
      <x:c r="J679" s="2" t="str">
        <x:v>2024-01-17</x:v>
      </x:c>
      <x:c r="K679" s="7" t="n">
        <x:f>100*(H679/I679-1)</x:f>
        <x:v>-0.3315037226237716</x:v>
      </x:c>
      <x:c r="L679" s="7" t="n">
        <x:f>ABS(K679)</x:f>
        <x:v>0.3315037226237716</x:v>
      </x:c>
      <x:c r="M679" s="2" t="str">
        <x:v>Calibration</x:v>
      </x:c>
    </x:row>
    <x:row r="680" ht="27" customHeight="1">
      <x:c r="A680" s="2"/>
      <x:c r="B680" s="2" t="str">
        <x:v>RSHPCS</x:v>
      </x:c>
      <x:c r="C680" s="2" t="str">
        <x:v>2023-12-31</x:v>
      </x:c>
      <x:c r="D680" s="2" t="str">
        <x:v>Two months</x:v>
      </x:c>
      <x:c r="E680" s="2" t="str">
        <x:v>2023-12-14</x:v>
      </x:c>
      <x:c r="F680" s="2" t="str">
        <x:v>2023-12-01</x:v>
      </x:c>
      <x:c r="G680" s="2" t="str">
        <x:v>YoY carry</x:v>
      </x:c>
      <x:c r="H680" s="7" t="n">
        <x:v>36396.7427032988</x:v>
      </x:c>
      <x:c r="I680" s="7" t="n">
        <x:v>36802</x:v>
      </x:c>
      <x:c r="J680" s="2" t="str">
        <x:v>2024-01-17</x:v>
      </x:c>
      <x:c r="K680" s="7" t="n">
        <x:f>100*(H680/I680-1)</x:f>
        <x:v>-1.1011828071876617</x:v>
      </x:c>
      <x:c r="L680" s="7" t="n">
        <x:f>ABS(K680)</x:f>
        <x:v>1.1011828071876617</x:v>
      </x:c>
      <x:c r="M680" s="2" t="str">
        <x:v>Calibration</x:v>
      </x:c>
    </x:row>
    <x:row r="681" ht="27" customHeight="1">
      <x:c r="A681" s="2"/>
      <x:c r="B681" s="2" t="str">
        <x:v>RSHPCS</x:v>
      </x:c>
      <x:c r="C681" s="2" t="str">
        <x:v>2023-12-31</x:v>
      </x:c>
      <x:c r="D681" s="2" t="str">
        <x:v>Two months</x:v>
      </x:c>
      <x:c r="E681" s="2" t="str">
        <x:v>2023-12-14</x:v>
      </x:c>
      <x:c r="F681" s="2" t="str">
        <x:v>2023-12-01</x:v>
      </x:c>
      <x:c r="G681" s="2" t="str">
        <x:v>Flat level</x:v>
      </x:c>
      <x:c r="H681" s="7" t="n">
        <x:v>37812</x:v>
      </x:c>
      <x:c r="I681" s="7" t="n">
        <x:v>36802</x:v>
      </x:c>
      <x:c r="J681" s="2" t="str">
        <x:v>2024-01-17</x:v>
      </x:c>
      <x:c r="K681" s="7" t="n">
        <x:f>100*(H681/I681-1)</x:f>
        <x:v>2.744416064344324</x:v>
      </x:c>
      <x:c r="L681" s="7" t="n">
        <x:f>ABS(K681)</x:f>
        <x:v>2.744416064344324</x:v>
      </x:c>
      <x:c r="M681" s="2" t="str">
        <x:v>Calibration</x:v>
      </x:c>
    </x:row>
    <x:row r="682" ht="27" customHeight="1">
      <x:c r="A682" s="2"/>
      <x:c r="B682" s="2" t="str">
        <x:v>RSHPCS</x:v>
      </x:c>
      <x:c r="C682" s="2" t="str">
        <x:v>2023-12-31</x:v>
      </x:c>
      <x:c r="D682" s="2" t="str">
        <x:v>Two months</x:v>
      </x:c>
      <x:c r="E682" s="2" t="str">
        <x:v>2023-12-14</x:v>
      </x:c>
      <x:c r="F682" s="2" t="str">
        <x:v>2023-12-01</x:v>
      </x:c>
      <x:c r="G682" s="2" t="str">
        <x:v>Recent trend</x:v>
      </x:c>
      <x:c r="H682" s="7" t="n">
        <x:v>38272.5</x:v>
      </x:c>
      <x:c r="I682" s="7" t="n">
        <x:v>36802</x:v>
      </x:c>
      <x:c r="J682" s="2" t="str">
        <x:v>2024-01-17</x:v>
      </x:c>
      <x:c r="K682" s="7" t="n">
        <x:f>100*(H682/I682-1)</x:f>
        <x:v>3.995706755067663</x:v>
      </x:c>
      <x:c r="L682" s="7" t="n">
        <x:f>ABS(K682)</x:f>
        <x:v>3.995706755067663</x:v>
      </x:c>
      <x:c r="M682" s="2" t="str">
        <x:v>Calibration</x:v>
      </x:c>
    </x:row>
    <x:row r="683" ht="27" customHeight="1">
      <x:c r="A683" s="2"/>
      <x:c r="B683" s="2" t="str">
        <x:v>RSHPCS</x:v>
      </x:c>
      <x:c r="C683" s="2" t="str">
        <x:v>2024-03-31</x:v>
      </x:c>
      <x:c r="D683" s="2" t="str">
        <x:v>Origin</x:v>
      </x:c>
      <x:c r="E683" s="2" t="str">
        <x:v>2024-01-01</x:v>
      </x:c>
      <x:c r="F683" s="2" t="str">
        <x:v>2024-01-01</x:v>
      </x:c>
      <x:c r="G683" s="2" t="str">
        <x:v>YoY carry</x:v>
      </x:c>
      <x:c r="H683" s="7" t="n">
        <x:v>38047.33872624439</x:v>
      </x:c>
      <x:c r="I683" s="7" t="n">
        <x:v>36467</x:v>
      </x:c>
      <x:c r="J683" s="2" t="str">
        <x:v>2024-02-15</x:v>
      </x:c>
      <x:c r="K683" s="7" t="n">
        <x:f>100*(H683/I683-1)</x:f>
        <x:v>4.33361320164638</x:v>
      </x:c>
      <x:c r="L683" s="7" t="n">
        <x:f>ABS(K683)</x:f>
        <x:v>4.33361320164638</x:v>
      </x:c>
      <x:c r="M683" s="2" t="str">
        <x:v>Calibration</x:v>
      </x:c>
    </x:row>
    <x:row r="684" ht="27" customHeight="1">
      <x:c r="A684" s="2"/>
      <x:c r="B684" s="2" t="str">
        <x:v>RSHPCS</x:v>
      </x:c>
      <x:c r="C684" s="2" t="str">
        <x:v>2024-03-31</x:v>
      </x:c>
      <x:c r="D684" s="2" t="str">
        <x:v>Origin</x:v>
      </x:c>
      <x:c r="E684" s="2" t="str">
        <x:v>2024-01-01</x:v>
      </x:c>
      <x:c r="F684" s="2" t="str">
        <x:v>2024-02-01</x:v>
      </x:c>
      <x:c r="G684" s="2" t="str">
        <x:v>YoY carry</x:v>
      </x:c>
      <x:c r="H684" s="7" t="n">
        <x:v>38658.05925473425</x:v>
      </x:c>
      <x:c r="I684" s="7" t="n">
        <x:v>35999</x:v>
      </x:c>
      <x:c r="J684" s="2" t="str">
        <x:v>2024-03-14</x:v>
      </x:c>
      <x:c r="K684" s="7" t="n">
        <x:f>100*(H684/I684-1)</x:f>
        <x:v>7.386480887619795</x:v>
      </x:c>
      <x:c r="L684" s="7" t="n">
        <x:f>ABS(K684)</x:f>
        <x:v>7.386480887619795</x:v>
      </x:c>
      <x:c r="M684" s="2" t="str">
        <x:v>Calibration</x:v>
      </x:c>
    </x:row>
    <x:row r="685" ht="27" customHeight="1">
      <x:c r="A685" s="2"/>
      <x:c r="B685" s="2" t="str">
        <x:v>RSHPCS</x:v>
      </x:c>
      <x:c r="C685" s="2" t="str">
        <x:v>2024-03-31</x:v>
      </x:c>
      <x:c r="D685" s="2" t="str">
        <x:v>Origin</x:v>
      </x:c>
      <x:c r="E685" s="2" t="str">
        <x:v>2024-01-01</x:v>
      </x:c>
      <x:c r="F685" s="2" t="str">
        <x:v>2024-03-01</x:v>
      </x:c>
      <x:c r="G685" s="2" t="str">
        <x:v>YoY carry</x:v>
      </x:c>
      <x:c r="H685" s="7" t="n">
        <x:v>38790.1069365699</x:v>
      </x:c>
      <x:c r="I685" s="7" t="n">
        <x:v>36248</x:v>
      </x:c>
      <x:c r="J685" s="2" t="str">
        <x:v>2024-04-15</x:v>
      </x:c>
      <x:c r="K685" s="7" t="n">
        <x:f>100*(H685/I685-1)</x:f>
        <x:v>7.013095719956697</x:v>
      </x:c>
      <x:c r="L685" s="7" t="n">
        <x:f>ABS(K685)</x:f>
        <x:v>7.013095719956697</x:v>
      </x:c>
      <x:c r="M685" s="2" t="str">
        <x:v>Calibration</x:v>
      </x:c>
    </x:row>
    <x:row r="686" ht="27" customHeight="1">
      <x:c r="A686" s="2"/>
      <x:c r="B686" s="2" t="str">
        <x:v>RSHPCS</x:v>
      </x:c>
      <x:c r="C686" s="2" t="str">
        <x:v>2024-03-31</x:v>
      </x:c>
      <x:c r="D686" s="2" t="str">
        <x:v>Origin</x:v>
      </x:c>
      <x:c r="E686" s="2" t="str">
        <x:v>2024-01-01</x:v>
      </x:c>
      <x:c r="F686" s="2" t="str">
        <x:v>2024-01-01</x:v>
      </x:c>
      <x:c r="G686" s="2" t="str">
        <x:v>Flat level</x:v>
      </x:c>
      <x:c r="H686" s="7" t="n">
        <x:v>37812</x:v>
      </x:c>
      <x:c r="I686" s="7" t="n">
        <x:v>36467</x:v>
      </x:c>
      <x:c r="J686" s="2" t="str">
        <x:v>2024-02-15</x:v>
      </x:c>
      <x:c r="K686" s="7" t="n">
        <x:f>100*(H686/I686-1)</x:f>
        <x:v>3.6882661036005127</x:v>
      </x:c>
      <x:c r="L686" s="7" t="n">
        <x:f>ABS(K686)</x:f>
        <x:v>3.6882661036005127</x:v>
      </x:c>
      <x:c r="M686" s="2" t="str">
        <x:v>Calibration</x:v>
      </x:c>
    </x:row>
    <x:row r="687" ht="27" customHeight="1">
      <x:c r="A687" s="2"/>
      <x:c r="B687" s="2" t="str">
        <x:v>RSHPCS</x:v>
      </x:c>
      <x:c r="C687" s="2" t="str">
        <x:v>2024-03-31</x:v>
      </x:c>
      <x:c r="D687" s="2" t="str">
        <x:v>Origin</x:v>
      </x:c>
      <x:c r="E687" s="2" t="str">
        <x:v>2024-01-01</x:v>
      </x:c>
      <x:c r="F687" s="2" t="str">
        <x:v>2024-02-01</x:v>
      </x:c>
      <x:c r="G687" s="2" t="str">
        <x:v>Flat level</x:v>
      </x:c>
      <x:c r="H687" s="7" t="n">
        <x:v>37812</x:v>
      </x:c>
      <x:c r="I687" s="7" t="n">
        <x:v>35999</x:v>
      </x:c>
      <x:c r="J687" s="2" t="str">
        <x:v>2024-03-14</x:v>
      </x:c>
      <x:c r="K687" s="7" t="n">
        <x:f>100*(H687/I687-1)</x:f>
        <x:v>5.036251006972425</x:v>
      </x:c>
      <x:c r="L687" s="7" t="n">
        <x:f>ABS(K687)</x:f>
        <x:v>5.036251006972425</x:v>
      </x:c>
      <x:c r="M687" s="2" t="str">
        <x:v>Calibration</x:v>
      </x:c>
    </x:row>
    <x:row r="688" ht="27" customHeight="1">
      <x:c r="A688" s="2"/>
      <x:c r="B688" s="2" t="str">
        <x:v>RSHPCS</x:v>
      </x:c>
      <x:c r="C688" s="2" t="str">
        <x:v>2024-03-31</x:v>
      </x:c>
      <x:c r="D688" s="2" t="str">
        <x:v>Origin</x:v>
      </x:c>
      <x:c r="E688" s="2" t="str">
        <x:v>2024-01-01</x:v>
      </x:c>
      <x:c r="F688" s="2" t="str">
        <x:v>2024-03-01</x:v>
      </x:c>
      <x:c r="G688" s="2" t="str">
        <x:v>Flat level</x:v>
      </x:c>
      <x:c r="H688" s="7" t="n">
        <x:v>37812</x:v>
      </x:c>
      <x:c r="I688" s="7" t="n">
        <x:v>36248</x:v>
      </x:c>
      <x:c r="J688" s="2" t="str">
        <x:v>2024-04-15</x:v>
      </x:c>
      <x:c r="K688" s="7" t="n">
        <x:f>100*(H688/I688-1)</x:f>
        <x:v>4.314720812182737</x:v>
      </x:c>
      <x:c r="L688" s="7" t="n">
        <x:f>ABS(K688)</x:f>
        <x:v>4.314720812182737</x:v>
      </x:c>
      <x:c r="M688" s="2" t="str">
        <x:v>Calibration</x:v>
      </x:c>
    </x:row>
    <x:row r="689" ht="27" customHeight="1">
      <x:c r="A689" s="2"/>
      <x:c r="B689" s="2" t="str">
        <x:v>RSHPCS</x:v>
      </x:c>
      <x:c r="C689" s="2" t="str">
        <x:v>2024-03-31</x:v>
      </x:c>
      <x:c r="D689" s="2" t="str">
        <x:v>Origin</x:v>
      </x:c>
      <x:c r="E689" s="2" t="str">
        <x:v>2024-01-01</x:v>
      </x:c>
      <x:c r="F689" s="2" t="str">
        <x:v>2024-01-01</x:v>
      </x:c>
      <x:c r="G689" s="2" t="str">
        <x:v>Recent trend</x:v>
      </x:c>
      <x:c r="H689" s="7" t="n">
        <x:v>38733</x:v>
      </x:c>
      <x:c r="I689" s="7" t="n">
        <x:v>36467</x:v>
      </x:c>
      <x:c r="J689" s="2" t="str">
        <x:v>2024-02-15</x:v>
      </x:c>
      <x:c r="K689" s="7" t="n">
        <x:f>100*(H689/I689-1)</x:f>
        <x:v>6.213837167850378</x:v>
      </x:c>
      <x:c r="L689" s="7" t="n">
        <x:f>ABS(K689)</x:f>
        <x:v>6.213837167850378</x:v>
      </x:c>
      <x:c r="M689" s="2" t="str">
        <x:v>Calibration</x:v>
      </x:c>
    </x:row>
    <x:row r="690" ht="27" customHeight="1">
      <x:c r="A690" s="2"/>
      <x:c r="B690" s="2" t="str">
        <x:v>RSHPCS</x:v>
      </x:c>
      <x:c r="C690" s="2" t="str">
        <x:v>2024-03-31</x:v>
      </x:c>
      <x:c r="D690" s="2" t="str">
        <x:v>Origin</x:v>
      </x:c>
      <x:c r="E690" s="2" t="str">
        <x:v>2024-01-01</x:v>
      </x:c>
      <x:c r="F690" s="2" t="str">
        <x:v>2024-02-01</x:v>
      </x:c>
      <x:c r="G690" s="2" t="str">
        <x:v>Recent trend</x:v>
      </x:c>
      <x:c r="H690" s="7" t="n">
        <x:v>39193.5</x:v>
      </x:c>
      <x:c r="I690" s="7" t="n">
        <x:v>35999</x:v>
      </x:c>
      <x:c r="J690" s="2" t="str">
        <x:v>2024-03-14</x:v>
      </x:c>
      <x:c r="K690" s="7" t="n">
        <x:f>100*(H690/I690-1)</x:f>
        <x:v>8.873857607155756</x:v>
      </x:c>
      <x:c r="L690" s="7" t="n">
        <x:f>ABS(K690)</x:f>
        <x:v>8.873857607155756</x:v>
      </x:c>
      <x:c r="M690" s="2" t="str">
        <x:v>Calibration</x:v>
      </x:c>
    </x:row>
    <x:row r="691" ht="27" customHeight="1">
      <x:c r="A691" s="2"/>
      <x:c r="B691" s="2" t="str">
        <x:v>RSHPCS</x:v>
      </x:c>
      <x:c r="C691" s="2" t="str">
        <x:v>2024-03-31</x:v>
      </x:c>
      <x:c r="D691" s="2" t="str">
        <x:v>Origin</x:v>
      </x:c>
      <x:c r="E691" s="2" t="str">
        <x:v>2024-01-01</x:v>
      </x:c>
      <x:c r="F691" s="2" t="str">
        <x:v>2024-03-01</x:v>
      </x:c>
      <x:c r="G691" s="2" t="str">
        <x:v>Recent trend</x:v>
      </x:c>
      <x:c r="H691" s="7" t="n">
        <x:v>39654</x:v>
      </x:c>
      <x:c r="I691" s="7" t="n">
        <x:v>36248</x:v>
      </x:c>
      <x:c r="J691" s="2" t="str">
        <x:v>2024-04-15</x:v>
      </x:c>
      <x:c r="K691" s="7" t="n">
        <x:f>100*(H691/I691-1)</x:f>
        <x:v>9.396380489958055</x:v>
      </x:c>
      <x:c r="L691" s="7" t="n">
        <x:f>ABS(K691)</x:f>
        <x:v>9.396380489958055</x:v>
      </x:c>
      <x:c r="M691" s="2" t="str">
        <x:v>Calibration</x:v>
      </x:c>
    </x:row>
    <x:row r="692" ht="27" customHeight="1">
      <x:c r="A692" s="2"/>
      <x:c r="B692" s="2" t="str">
        <x:v>RSHPCS</x:v>
      </x:c>
      <x:c r="C692" s="2" t="str">
        <x:v>2024-03-31</x:v>
      </x:c>
      <x:c r="D692" s="2" t="str">
        <x:v>One month</x:v>
      </x:c>
      <x:c r="E692" s="2" t="str">
        <x:v>2024-02-15</x:v>
      </x:c>
      <x:c r="F692" s="2" t="str">
        <x:v>2024-02-01</x:v>
      </x:c>
      <x:c r="G692" s="2" t="str">
        <x:v>YoY carry</x:v>
      </x:c>
      <x:c r="H692" s="7" t="n">
        <x:v>38183.55701530199</x:v>
      </x:c>
      <x:c r="I692" s="7" t="n">
        <x:v>35999</x:v>
      </x:c>
      <x:c r="J692" s="2" t="str">
        <x:v>2024-03-14</x:v>
      </x:c>
      <x:c r="K692" s="7" t="n">
        <x:f>100*(H692/I692-1)</x:f>
        <x:v>6.068382497574887</x:v>
      </x:c>
      <x:c r="L692" s="7" t="n">
        <x:f>ABS(K692)</x:f>
        <x:v>6.068382497574887</x:v>
      </x:c>
      <x:c r="M692" s="2" t="str">
        <x:v>Calibration</x:v>
      </x:c>
    </x:row>
    <x:row r="693" ht="27" customHeight="1">
      <x:c r="A693" s="2"/>
      <x:c r="B693" s="2" t="str">
        <x:v>RSHPCS</x:v>
      </x:c>
      <x:c r="C693" s="2" t="str">
        <x:v>2024-03-31</x:v>
      </x:c>
      <x:c r="D693" s="2" t="str">
        <x:v>One month</x:v>
      </x:c>
      <x:c r="E693" s="2" t="str">
        <x:v>2024-02-15</x:v>
      </x:c>
      <x:c r="F693" s="2" t="str">
        <x:v>2024-03-01</x:v>
      </x:c>
      <x:c r="G693" s="2" t="str">
        <x:v>YoY carry</x:v>
      </x:c>
      <x:c r="H693" s="7" t="n">
        <x:v>38313.983898733604</x:v>
      </x:c>
      <x:c r="I693" s="7" t="n">
        <x:v>36248</x:v>
      </x:c>
      <x:c r="J693" s="2" t="str">
        <x:v>2024-04-15</x:v>
      </x:c>
      <x:c r="K693" s="7" t="n">
        <x:f>100*(H693/I693-1)</x:f>
        <x:v>5.699580387148551</x:v>
      </x:c>
      <x:c r="L693" s="7" t="n">
        <x:f>ABS(K693)</x:f>
        <x:v>5.699580387148551</x:v>
      </x:c>
      <x:c r="M693" s="2" t="str">
        <x:v>Calibration</x:v>
      </x:c>
    </x:row>
    <x:row r="694" ht="27" customHeight="1">
      <x:c r="A694" s="2"/>
      <x:c r="B694" s="2" t="str">
        <x:v>RSHPCS</x:v>
      </x:c>
      <x:c r="C694" s="2" t="str">
        <x:v>2024-03-31</x:v>
      </x:c>
      <x:c r="D694" s="2" t="str">
        <x:v>One month</x:v>
      </x:c>
      <x:c r="E694" s="2" t="str">
        <x:v>2024-02-15</x:v>
      </x:c>
      <x:c r="F694" s="2" t="str">
        <x:v>2024-02-01</x:v>
      </x:c>
      <x:c r="G694" s="2" t="str">
        <x:v>Flat level</x:v>
      </x:c>
      <x:c r="H694" s="7" t="n">
        <x:v>36467</x:v>
      </x:c>
      <x:c r="I694" s="7" t="n">
        <x:v>35999</x:v>
      </x:c>
      <x:c r="J694" s="2" t="str">
        <x:v>2024-03-14</x:v>
      </x:c>
      <x:c r="K694" s="7" t="n">
        <x:f>100*(H694/I694-1)</x:f>
        <x:v>1.3000361121142223</x:v>
      </x:c>
      <x:c r="L694" s="7" t="n">
        <x:f>ABS(K694)</x:f>
        <x:v>1.3000361121142223</x:v>
      </x:c>
      <x:c r="M694" s="2" t="str">
        <x:v>Calibration</x:v>
      </x:c>
    </x:row>
    <x:row r="695" ht="27" customHeight="1">
      <x:c r="A695" s="2"/>
      <x:c r="B695" s="2" t="str">
        <x:v>RSHPCS</x:v>
      </x:c>
      <x:c r="C695" s="2" t="str">
        <x:v>2024-03-31</x:v>
      </x:c>
      <x:c r="D695" s="2" t="str">
        <x:v>One month</x:v>
      </x:c>
      <x:c r="E695" s="2" t="str">
        <x:v>2024-02-15</x:v>
      </x:c>
      <x:c r="F695" s="2" t="str">
        <x:v>2024-03-01</x:v>
      </x:c>
      <x:c r="G695" s="2" t="str">
        <x:v>Flat level</x:v>
      </x:c>
      <x:c r="H695" s="7" t="n">
        <x:v>36467</x:v>
      </x:c>
      <x:c r="I695" s="7" t="n">
        <x:v>36248</x:v>
      </x:c>
      <x:c r="J695" s="2" t="str">
        <x:v>2024-04-15</x:v>
      </x:c>
      <x:c r="K695" s="7" t="n">
        <x:f>100*(H695/I695-1)</x:f>
        <x:v>0.6041712646214892</x:v>
      </x:c>
      <x:c r="L695" s="7" t="n">
        <x:f>ABS(K695)</x:f>
        <x:v>0.6041712646214892</x:v>
      </x:c>
      <x:c r="M695" s="2" t="str">
        <x:v>Calibration</x:v>
      </x:c>
    </x:row>
    <x:row r="696" ht="27" customHeight="1">
      <x:c r="A696" s="2"/>
      <x:c r="B696" s="2" t="str">
        <x:v>RSHPCS</x:v>
      </x:c>
      <x:c r="C696" s="2" t="str">
        <x:v>2024-03-31</x:v>
      </x:c>
      <x:c r="D696" s="2" t="str">
        <x:v>One month</x:v>
      </x:c>
      <x:c r="E696" s="2" t="str">
        <x:v>2024-02-15</x:v>
      </x:c>
      <x:c r="F696" s="2" t="str">
        <x:v>2024-02-01</x:v>
      </x:c>
      <x:c r="G696" s="2" t="str">
        <x:v>Recent trend</x:v>
      </x:c>
      <x:c r="H696" s="7" t="n">
        <x:v>35973</x:v>
      </x:c>
      <x:c r="I696" s="7" t="n">
        <x:v>35999</x:v>
      </x:c>
      <x:c r="J696" s="2" t="str">
        <x:v>2024-03-14</x:v>
      </x:c>
      <x:c r="K696" s="7" t="n">
        <x:f>100*(H696/I696-1)</x:f>
        <x:v>-0.07222422845079013</x:v>
      </x:c>
      <x:c r="L696" s="7" t="n">
        <x:f>ABS(K696)</x:f>
        <x:v>0.07222422845079013</x:v>
      </x:c>
      <x:c r="M696" s="2" t="str">
        <x:v>Calibration</x:v>
      </x:c>
    </x:row>
    <x:row r="697" ht="27" customHeight="1">
      <x:c r="A697" s="2"/>
      <x:c r="B697" s="2" t="str">
        <x:v>RSHPCS</x:v>
      </x:c>
      <x:c r="C697" s="2" t="str">
        <x:v>2024-03-31</x:v>
      </x:c>
      <x:c r="D697" s="2" t="str">
        <x:v>One month</x:v>
      </x:c>
      <x:c r="E697" s="2" t="str">
        <x:v>2024-02-15</x:v>
      </x:c>
      <x:c r="F697" s="2" t="str">
        <x:v>2024-03-01</x:v>
      </x:c>
      <x:c r="G697" s="2" t="str">
        <x:v>Recent trend</x:v>
      </x:c>
      <x:c r="H697" s="7" t="n">
        <x:v>35479</x:v>
      </x:c>
      <x:c r="I697" s="7" t="n">
        <x:v>36248</x:v>
      </x:c>
      <x:c r="J697" s="2" t="str">
        <x:v>2024-04-15</x:v>
      </x:c>
      <x:c r="K697" s="7" t="n">
        <x:f>100*(H697/I697-1)</x:f>
        <x:v>-2.121496358419772</x:v>
      </x:c>
      <x:c r="L697" s="7" t="n">
        <x:f>ABS(K697)</x:f>
        <x:v>2.121496358419772</x:v>
      </x:c>
      <x:c r="M697" s="2" t="str">
        <x:v>Calibration</x:v>
      </x:c>
    </x:row>
    <x:row r="698" ht="27" customHeight="1">
      <x:c r="A698" s="2"/>
      <x:c r="B698" s="2" t="str">
        <x:v>RSHPCS</x:v>
      </x:c>
      <x:c r="C698" s="2" t="str">
        <x:v>2024-03-31</x:v>
      </x:c>
      <x:c r="D698" s="2" t="str">
        <x:v>Two months</x:v>
      </x:c>
      <x:c r="E698" s="2" t="str">
        <x:v>2024-03-14</x:v>
      </x:c>
      <x:c r="F698" s="2" t="str">
        <x:v>2024-03-01</x:v>
      </x:c>
      <x:c r="G698" s="2" t="str">
        <x:v>YoY carry</x:v>
      </x:c>
      <x:c r="H698" s="7" t="n">
        <x:v>37156.259000559454</x:v>
      </x:c>
      <x:c r="I698" s="7" t="n">
        <x:v>36248</x:v>
      </x:c>
      <x:c r="J698" s="2" t="str">
        <x:v>2024-04-15</x:v>
      </x:c>
      <x:c r="K698" s="7" t="n">
        <x:f>100*(H698/I698-1)</x:f>
        <x:v>2.5056803149400064</x:v>
      </x:c>
      <x:c r="L698" s="7" t="n">
        <x:f>ABS(K698)</x:f>
        <x:v>2.5056803149400064</x:v>
      </x:c>
      <x:c r="M698" s="2" t="str">
        <x:v>Calibration</x:v>
      </x:c>
    </x:row>
    <x:row r="699" ht="27" customHeight="1">
      <x:c r="A699" s="2"/>
      <x:c r="B699" s="2" t="str">
        <x:v>RSHPCS</x:v>
      </x:c>
      <x:c r="C699" s="2" t="str">
        <x:v>2024-03-31</x:v>
      </x:c>
      <x:c r="D699" s="2" t="str">
        <x:v>Two months</x:v>
      </x:c>
      <x:c r="E699" s="2" t="str">
        <x:v>2024-03-14</x:v>
      </x:c>
      <x:c r="F699" s="2" t="str">
        <x:v>2024-03-01</x:v>
      </x:c>
      <x:c r="G699" s="2" t="str">
        <x:v>Flat level</x:v>
      </x:c>
      <x:c r="H699" s="7" t="n">
        <x:v>35999</x:v>
      </x:c>
      <x:c r="I699" s="7" t="n">
        <x:v>36248</x:v>
      </x:c>
      <x:c r="J699" s="2" t="str">
        <x:v>2024-04-15</x:v>
      </x:c>
      <x:c r="K699" s="7" t="n">
        <x:f>100*(H699/I699-1)</x:f>
        <x:v>-0.6869344515559428</x:v>
      </x:c>
      <x:c r="L699" s="7" t="n">
        <x:f>ABS(K699)</x:f>
        <x:v>0.6869344515559428</x:v>
      </x:c>
      <x:c r="M699" s="2" t="str">
        <x:v>Calibration</x:v>
      </x:c>
    </x:row>
    <x:row r="700" ht="27" customHeight="1">
      <x:c r="A700" s="2"/>
      <x:c r="B700" s="2" t="str">
        <x:v>RSHPCS</x:v>
      </x:c>
      <x:c r="C700" s="2" t="str">
        <x:v>2024-03-31</x:v>
      </x:c>
      <x:c r="D700" s="2" t="str">
        <x:v>Two months</x:v>
      </x:c>
      <x:c r="E700" s="2" t="str">
        <x:v>2024-03-14</x:v>
      </x:c>
      <x:c r="F700" s="2" t="str">
        <x:v>2024-03-01</x:v>
      </x:c>
      <x:c r="G700" s="2" t="str">
        <x:v>Recent trend</x:v>
      </x:c>
      <x:c r="H700" s="7" t="n">
        <x:v>35677.5</x:v>
      </x:c>
      <x:c r="I700" s="7" t="n">
        <x:v>36248</x:v>
      </x:c>
      <x:c r="J700" s="2" t="str">
        <x:v>2024-04-15</x:v>
      </x:c>
      <x:c r="K700" s="7" t="n">
        <x:f>100*(H700/I700-1)</x:f>
        <x:v>-1.5738799382034818</x:v>
      </x:c>
      <x:c r="L700" s="7" t="n">
        <x:f>ABS(K700)</x:f>
        <x:v>1.5738799382034818</x:v>
      </x:c>
      <x:c r="M700" s="2" t="str">
        <x:v>Calibration</x:v>
      </x:c>
    </x:row>
    <x:row r="701" ht="27" customHeight="1">
      <x:c r="A701" s="2"/>
      <x:c r="B701" s="2" t="str">
        <x:v>RSHPCS</x:v>
      </x:c>
      <x:c r="C701" s="2" t="str">
        <x:v>2024-06-30</x:v>
      </x:c>
      <x:c r="D701" s="2" t="str">
        <x:v>Origin</x:v>
      </x:c>
      <x:c r="E701" s="2" t="str">
        <x:v>2024-04-01</x:v>
      </x:c>
      <x:c r="F701" s="2" t="str">
        <x:v>2024-04-01</x:v>
      </x:c>
      <x:c r="G701" s="2" t="str">
        <x:v>YoY carry</x:v>
      </x:c>
      <x:c r="H701" s="7" t="n">
        <x:v>37462.987075483936</x:v>
      </x:c>
      <x:c r="I701" s="7" t="n">
        <x:v>36004</x:v>
      </x:c>
      <x:c r="J701" s="2" t="str">
        <x:v>2024-05-15</x:v>
      </x:c>
      <x:c r="K701" s="7" t="n">
        <x:f>100*(H701/I701-1)</x:f>
        <x:v>4.052291621719628</x:v>
      </x:c>
      <x:c r="L701" s="7" t="n">
        <x:f>ABS(K701)</x:f>
        <x:v>4.052291621719628</x:v>
      </x:c>
      <x:c r="M701" s="2" t="str">
        <x:v>Calibration</x:v>
      </x:c>
    </x:row>
    <x:row r="702" ht="27" customHeight="1">
      <x:c r="A702" s="2"/>
      <x:c r="B702" s="2" t="str">
        <x:v>RSHPCS</x:v>
      </x:c>
      <x:c r="C702" s="2" t="str">
        <x:v>2024-06-30</x:v>
      </x:c>
      <x:c r="D702" s="2" t="str">
        <x:v>Origin</x:v>
      </x:c>
      <x:c r="E702" s="2" t="str">
        <x:v>2024-04-01</x:v>
      </x:c>
      <x:c r="F702" s="2" t="str">
        <x:v>2024-05-01</x:v>
      </x:c>
      <x:c r="G702" s="2" t="str">
        <x:v>YoY carry</x:v>
      </x:c>
      <x:c r="H702" s="7" t="n">
        <x:v>37869.84974531503</x:v>
      </x:c>
      <x:c r="I702" s="7" t="n">
        <x:v>36141</x:v>
      </x:c>
      <x:c r="J702" s="2" t="str">
        <x:v>2024-06-18</x:v>
      </x:c>
      <x:c r="K702" s="7" t="n">
        <x:f>100*(H702/I702-1)</x:f>
        <x:v>4.783624540867781</x:v>
      </x:c>
      <x:c r="L702" s="7" t="n">
        <x:f>ABS(K702)</x:f>
        <x:v>4.783624540867781</x:v>
      </x:c>
      <x:c r="M702" s="2" t="str">
        <x:v>Calibration</x:v>
      </x:c>
    </x:row>
    <x:row r="703" ht="27" customHeight="1">
      <x:c r="A703" s="2"/>
      <x:c r="B703" s="2" t="str">
        <x:v>RSHPCS</x:v>
      </x:c>
      <x:c r="C703" s="2" t="str">
        <x:v>2024-06-30</x:v>
      </x:c>
      <x:c r="D703" s="2" t="str">
        <x:v>Origin</x:v>
      </x:c>
      <x:c r="E703" s="2" t="str">
        <x:v>2024-04-01</x:v>
      </x:c>
      <x:c r="F703" s="2" t="str">
        <x:v>2024-06-01</x:v>
      </x:c>
      <x:c r="G703" s="2" t="str">
        <x:v>YoY carry</x:v>
      </x:c>
      <x:c r="H703" s="7" t="n">
        <x:v>37966.82219511933</x:v>
      </x:c>
      <x:c r="I703" s="7" t="n">
        <x:v>36544</x:v>
      </x:c>
      <x:c r="J703" s="2" t="str">
        <x:v>2024-07-16</x:v>
      </x:c>
      <x:c r="K703" s="7" t="n">
        <x:f>100*(H703/I703-1)</x:f>
        <x:v>3.8934495269246305</x:v>
      </x:c>
      <x:c r="L703" s="7" t="n">
        <x:f>ABS(K703)</x:f>
        <x:v>3.8934495269246305</x:v>
      </x:c>
      <x:c r="M703" s="2" t="str">
        <x:v>Calibration</x:v>
      </x:c>
    </x:row>
    <x:row r="704" ht="27" customHeight="1">
      <x:c r="A704" s="2"/>
      <x:c r="B704" s="2" t="str">
        <x:v>RSHPCS</x:v>
      </x:c>
      <x:c r="C704" s="2" t="str">
        <x:v>2024-06-30</x:v>
      </x:c>
      <x:c r="D704" s="2" t="str">
        <x:v>Origin</x:v>
      </x:c>
      <x:c r="E704" s="2" t="str">
        <x:v>2024-04-01</x:v>
      </x:c>
      <x:c r="F704" s="2" t="str">
        <x:v>2024-04-01</x:v>
      </x:c>
      <x:c r="G704" s="2" t="str">
        <x:v>Flat level</x:v>
      </x:c>
      <x:c r="H704" s="7" t="n">
        <x:v>35999</x:v>
      </x:c>
      <x:c r="I704" s="7" t="n">
        <x:v>36004</x:v>
      </x:c>
      <x:c r="J704" s="2" t="str">
        <x:v>2024-05-15</x:v>
      </x:c>
      <x:c r="K704" s="7" t="n">
        <x:f>100*(H704/I704-1)</x:f>
        <x:v>-0.013887345850460697</x:v>
      </x:c>
      <x:c r="L704" s="7" t="n">
        <x:f>ABS(K704)</x:f>
        <x:v>0.013887345850460697</x:v>
      </x:c>
      <x:c r="M704" s="2" t="str">
        <x:v>Calibration</x:v>
      </x:c>
    </x:row>
    <x:row r="705" ht="27" customHeight="1">
      <x:c r="A705" s="2"/>
      <x:c r="B705" s="2" t="str">
        <x:v>RSHPCS</x:v>
      </x:c>
      <x:c r="C705" s="2" t="str">
        <x:v>2024-06-30</x:v>
      </x:c>
      <x:c r="D705" s="2" t="str">
        <x:v>Origin</x:v>
      </x:c>
      <x:c r="E705" s="2" t="str">
        <x:v>2024-04-01</x:v>
      </x:c>
      <x:c r="F705" s="2" t="str">
        <x:v>2024-05-01</x:v>
      </x:c>
      <x:c r="G705" s="2" t="str">
        <x:v>Flat level</x:v>
      </x:c>
      <x:c r="H705" s="7" t="n">
        <x:v>35999</x:v>
      </x:c>
      <x:c r="I705" s="7" t="n">
        <x:v>36141</x:v>
      </x:c>
      <x:c r="J705" s="2" t="str">
        <x:v>2024-06-18</x:v>
      </x:c>
      <x:c r="K705" s="7" t="n">
        <x:f>100*(H705/I705-1)</x:f>
        <x:v>-0.3929055643175361</x:v>
      </x:c>
      <x:c r="L705" s="7" t="n">
        <x:f>ABS(K705)</x:f>
        <x:v>0.3929055643175361</x:v>
      </x:c>
      <x:c r="M705" s="2" t="str">
        <x:v>Calibration</x:v>
      </x:c>
    </x:row>
    <x:row r="706" ht="27" customHeight="1">
      <x:c r="A706" s="2"/>
      <x:c r="B706" s="2" t="str">
        <x:v>RSHPCS</x:v>
      </x:c>
      <x:c r="C706" s="2" t="str">
        <x:v>2024-06-30</x:v>
      </x:c>
      <x:c r="D706" s="2" t="str">
        <x:v>Origin</x:v>
      </x:c>
      <x:c r="E706" s="2" t="str">
        <x:v>2024-04-01</x:v>
      </x:c>
      <x:c r="F706" s="2" t="str">
        <x:v>2024-06-01</x:v>
      </x:c>
      <x:c r="G706" s="2" t="str">
        <x:v>Flat level</x:v>
      </x:c>
      <x:c r="H706" s="7" t="n">
        <x:v>35999</x:v>
      </x:c>
      <x:c r="I706" s="7" t="n">
        <x:v>36544</x:v>
      </x:c>
      <x:c r="J706" s="2" t="str">
        <x:v>2024-07-16</x:v>
      </x:c>
      <x:c r="K706" s="7" t="n">
        <x:f>100*(H706/I706-1)</x:f>
        <x:v>-1.4913528896672523</x:v>
      </x:c>
      <x:c r="L706" s="7" t="n">
        <x:f>ABS(K706)</x:f>
        <x:v>1.4913528896672523</x:v>
      </x:c>
      <x:c r="M706" s="2" t="str">
        <x:v>Calibration</x:v>
      </x:c>
    </x:row>
    <x:row r="707" ht="27" customHeight="1">
      <x:c r="A707" s="2"/>
      <x:c r="B707" s="2" t="str">
        <x:v>RSHPCS</x:v>
      </x:c>
      <x:c r="C707" s="2" t="str">
        <x:v>2024-06-30</x:v>
      </x:c>
      <x:c r="D707" s="2" t="str">
        <x:v>Origin</x:v>
      </x:c>
      <x:c r="E707" s="2" t="str">
        <x:v>2024-04-01</x:v>
      </x:c>
      <x:c r="F707" s="2" t="str">
        <x:v>2024-04-01</x:v>
      </x:c>
      <x:c r="G707" s="2" t="str">
        <x:v>Recent trend</x:v>
      </x:c>
      <x:c r="H707" s="7" t="n">
        <x:v>35356</x:v>
      </x:c>
      <x:c r="I707" s="7" t="n">
        <x:v>36004</x:v>
      </x:c>
      <x:c r="J707" s="2" t="str">
        <x:v>2024-05-15</x:v>
      </x:c>
      <x:c r="K707" s="7" t="n">
        <x:f>100*(H707/I707-1)</x:f>
        <x:v>-1.7998000222197552</x:v>
      </x:c>
      <x:c r="L707" s="7" t="n">
        <x:f>ABS(K707)</x:f>
        <x:v>1.7998000222197552</x:v>
      </x:c>
      <x:c r="M707" s="2" t="str">
        <x:v>Calibration</x:v>
      </x:c>
    </x:row>
    <x:row r="708" ht="27" customHeight="1">
      <x:c r="A708" s="2"/>
      <x:c r="B708" s="2" t="str">
        <x:v>RSHPCS</x:v>
      </x:c>
      <x:c r="C708" s="2" t="str">
        <x:v>2024-06-30</x:v>
      </x:c>
      <x:c r="D708" s="2" t="str">
        <x:v>Origin</x:v>
      </x:c>
      <x:c r="E708" s="2" t="str">
        <x:v>2024-04-01</x:v>
      </x:c>
      <x:c r="F708" s="2" t="str">
        <x:v>2024-05-01</x:v>
      </x:c>
      <x:c r="G708" s="2" t="str">
        <x:v>Recent trend</x:v>
      </x:c>
      <x:c r="H708" s="7" t="n">
        <x:v>35034.5</x:v>
      </x:c>
      <x:c r="I708" s="7" t="n">
        <x:v>36141</x:v>
      </x:c>
      <x:c r="J708" s="2" t="str">
        <x:v>2024-06-18</x:v>
      </x:c>
      <x:c r="K708" s="7" t="n">
        <x:f>100*(H708/I708-1)</x:f>
        <x:v>-3.0616197670236045</x:v>
      </x:c>
      <x:c r="L708" s="7" t="n">
        <x:f>ABS(K708)</x:f>
        <x:v>3.0616197670236045</x:v>
      </x:c>
      <x:c r="M708" s="2" t="str">
        <x:v>Calibration</x:v>
      </x:c>
    </x:row>
    <x:row r="709" ht="27" customHeight="1">
      <x:c r="A709" s="2"/>
      <x:c r="B709" s="2" t="str">
        <x:v>RSHPCS</x:v>
      </x:c>
      <x:c r="C709" s="2" t="str">
        <x:v>2024-06-30</x:v>
      </x:c>
      <x:c r="D709" s="2" t="str">
        <x:v>Origin</x:v>
      </x:c>
      <x:c r="E709" s="2" t="str">
        <x:v>2024-04-01</x:v>
      </x:c>
      <x:c r="F709" s="2" t="str">
        <x:v>2024-06-01</x:v>
      </x:c>
      <x:c r="G709" s="2" t="str">
        <x:v>Recent trend</x:v>
      </x:c>
      <x:c r="H709" s="7" t="n">
        <x:v>34713</x:v>
      </x:c>
      <x:c r="I709" s="7" t="n">
        <x:v>36544</x:v>
      </x:c>
      <x:c r="J709" s="2" t="str">
        <x:v>2024-07-16</x:v>
      </x:c>
      <x:c r="K709" s="7" t="n">
        <x:f>100*(H709/I709-1)</x:f>
        <x:v>-5.010398423817863</x:v>
      </x:c>
      <x:c r="L709" s="7" t="n">
        <x:f>ABS(K709)</x:f>
        <x:v>5.010398423817863</x:v>
      </x:c>
      <x:c r="M709" s="2" t="str">
        <x:v>Calibration</x:v>
      </x:c>
    </x:row>
    <x:row r="710" ht="27" customHeight="1">
      <x:c r="A710" s="2"/>
      <x:c r="B710" s="2" t="str">
        <x:v>RSHPCS</x:v>
      </x:c>
      <x:c r="C710" s="2" t="str">
        <x:v>2024-06-30</x:v>
      </x:c>
      <x:c r="D710" s="2" t="str">
        <x:v>One month</x:v>
      </x:c>
      <x:c r="E710" s="2" t="str">
        <x:v>2024-05-15</x:v>
      </x:c>
      <x:c r="F710" s="2" t="str">
        <x:v>2024-05-01</x:v>
      </x:c>
      <x:c r="G710" s="2" t="str">
        <x:v>YoY carry</x:v>
      </x:c>
      <x:c r="H710" s="7" t="n">
        <x:v>36646.46357450245</x:v>
      </x:c>
      <x:c r="I710" s="7" t="n">
        <x:v>36141</x:v>
      </x:c>
      <x:c r="J710" s="2" t="str">
        <x:v>2024-06-18</x:v>
      </x:c>
      <x:c r="K710" s="7" t="n">
        <x:f>100*(H710/I710-1)</x:f>
        <x:v>1.39858768297072</x:v>
      </x:c>
      <x:c r="L710" s="7" t="n">
        <x:f>ABS(K710)</x:f>
        <x:v>1.39858768297072</x:v>
      </x:c>
      <x:c r="M710" s="2" t="str">
        <x:v>Calibration</x:v>
      </x:c>
    </x:row>
    <x:row r="711" ht="27" customHeight="1">
      <x:c r="A711" s="2"/>
      <x:c r="B711" s="2" t="str">
        <x:v>RSHPCS</x:v>
      </x:c>
      <x:c r="C711" s="2" t="str">
        <x:v>2024-06-30</x:v>
      </x:c>
      <x:c r="D711" s="2" t="str">
        <x:v>One month</x:v>
      </x:c>
      <x:c r="E711" s="2" t="str">
        <x:v>2024-05-15</x:v>
      </x:c>
      <x:c r="F711" s="2" t="str">
        <x:v>2024-06-01</x:v>
      </x:c>
      <x:c r="G711" s="2" t="str">
        <x:v>YoY carry</x:v>
      </x:c>
      <x:c r="H711" s="7" t="n">
        <x:v>36641.416825449305</x:v>
      </x:c>
      <x:c r="I711" s="7" t="n">
        <x:v>36544</x:v>
      </x:c>
      <x:c r="J711" s="2" t="str">
        <x:v>2024-07-16</x:v>
      </x:c>
      <x:c r="K711" s="7" t="n">
        <x:f>100*(H711/I711-1)</x:f>
        <x:v>0.2665740626349278</x:v>
      </x:c>
      <x:c r="L711" s="7" t="n">
        <x:f>ABS(K711)</x:f>
        <x:v>0.2665740626349278</x:v>
      </x:c>
      <x:c r="M711" s="2" t="str">
        <x:v>Calibration</x:v>
      </x:c>
    </x:row>
    <x:row r="712" ht="27" customHeight="1">
      <x:c r="A712" s="2"/>
      <x:c r="B712" s="2" t="str">
        <x:v>RSHPCS</x:v>
      </x:c>
      <x:c r="C712" s="2" t="str">
        <x:v>2024-06-30</x:v>
      </x:c>
      <x:c r="D712" s="2" t="str">
        <x:v>One month</x:v>
      </x:c>
      <x:c r="E712" s="2" t="str">
        <x:v>2024-05-15</x:v>
      </x:c>
      <x:c r="F712" s="2" t="str">
        <x:v>2024-05-01</x:v>
      </x:c>
      <x:c r="G712" s="2" t="str">
        <x:v>Flat level</x:v>
      </x:c>
      <x:c r="H712" s="7" t="n">
        <x:v>36004</x:v>
      </x:c>
      <x:c r="I712" s="7" t="n">
        <x:v>36141</x:v>
      </x:c>
      <x:c r="J712" s="2" t="str">
        <x:v>2024-06-18</x:v>
      </x:c>
      <x:c r="K712" s="7" t="n">
        <x:f>100*(H712/I712-1)</x:f>
        <x:v>-0.3790708613486071</x:v>
      </x:c>
      <x:c r="L712" s="7" t="n">
        <x:f>ABS(K712)</x:f>
        <x:v>0.3790708613486071</x:v>
      </x:c>
      <x:c r="M712" s="2" t="str">
        <x:v>Calibration</x:v>
      </x:c>
    </x:row>
    <x:row r="713" ht="27" customHeight="1">
      <x:c r="A713" s="2"/>
      <x:c r="B713" s="2" t="str">
        <x:v>RSHPCS</x:v>
      </x:c>
      <x:c r="C713" s="2" t="str">
        <x:v>2024-06-30</x:v>
      </x:c>
      <x:c r="D713" s="2" t="str">
        <x:v>One month</x:v>
      </x:c>
      <x:c r="E713" s="2" t="str">
        <x:v>2024-05-15</x:v>
      </x:c>
      <x:c r="F713" s="2" t="str">
        <x:v>2024-06-01</x:v>
      </x:c>
      <x:c r="G713" s="2" t="str">
        <x:v>Flat level</x:v>
      </x:c>
      <x:c r="H713" s="7" t="n">
        <x:v>36004</x:v>
      </x:c>
      <x:c r="I713" s="7" t="n">
        <x:v>36544</x:v>
      </x:c>
      <x:c r="J713" s="2" t="str">
        <x:v>2024-07-16</x:v>
      </x:c>
      <x:c r="K713" s="7" t="n">
        <x:f>100*(H713/I713-1)</x:f>
        <x:v>-1.477670753064797</x:v>
      </x:c>
      <x:c r="L713" s="7" t="n">
        <x:f>ABS(K713)</x:f>
        <x:v>1.477670753064797</x:v>
      </x:c>
      <x:c r="M713" s="2" t="str">
        <x:v>Calibration</x:v>
      </x:c>
    </x:row>
    <x:row r="714" ht="27" customHeight="1">
      <x:c r="A714" s="2"/>
      <x:c r="B714" s="2" t="str">
        <x:v>RSHPCS</x:v>
      </x:c>
      <x:c r="C714" s="2" t="str">
        <x:v>2024-06-30</x:v>
      </x:c>
      <x:c r="D714" s="2" t="str">
        <x:v>One month</x:v>
      </x:c>
      <x:c r="E714" s="2" t="str">
        <x:v>2024-05-15</x:v>
      </x:c>
      <x:c r="F714" s="2" t="str">
        <x:v>2024-05-01</x:v>
      </x:c>
      <x:c r="G714" s="2" t="str">
        <x:v>Recent trend</x:v>
      </x:c>
      <x:c r="H714" s="7" t="n">
        <x:v>35935</x:v>
      </x:c>
      <x:c r="I714" s="7" t="n">
        <x:v>36141</x:v>
      </x:c>
      <x:c r="J714" s="2" t="str">
        <x:v>2024-06-18</x:v>
      </x:c>
      <x:c r="K714" s="7" t="n">
        <x:f>100*(H714/I714-1)</x:f>
        <x:v>-0.5699897623198003</x:v>
      </x:c>
      <x:c r="L714" s="7" t="n">
        <x:f>ABS(K714)</x:f>
        <x:v>0.5699897623198003</x:v>
      </x:c>
      <x:c r="M714" s="2" t="str">
        <x:v>Calibration</x:v>
      </x:c>
    </x:row>
    <x:row r="715" ht="27" customHeight="1">
      <x:c r="A715" s="2"/>
      <x:c r="B715" s="2" t="str">
        <x:v>RSHPCS</x:v>
      </x:c>
      <x:c r="C715" s="2" t="str">
        <x:v>2024-06-30</x:v>
      </x:c>
      <x:c r="D715" s="2" t="str">
        <x:v>One month</x:v>
      </x:c>
      <x:c r="E715" s="2" t="str">
        <x:v>2024-05-15</x:v>
      </x:c>
      <x:c r="F715" s="2" t="str">
        <x:v>2024-06-01</x:v>
      </x:c>
      <x:c r="G715" s="2" t="str">
        <x:v>Recent trend</x:v>
      </x:c>
      <x:c r="H715" s="7" t="n">
        <x:v>35866</x:v>
      </x:c>
      <x:c r="I715" s="7" t="n">
        <x:v>36544</x:v>
      </x:c>
      <x:c r="J715" s="2" t="str">
        <x:v>2024-07-16</x:v>
      </x:c>
      <x:c r="K715" s="7" t="n">
        <x:f>100*(H715/I715-1)</x:f>
        <x:v>-1.8552977232924706</x:v>
      </x:c>
      <x:c r="L715" s="7" t="n">
        <x:f>ABS(K715)</x:f>
        <x:v>1.8552977232924706</x:v>
      </x:c>
      <x:c r="M715" s="2" t="str">
        <x:v>Calibration</x:v>
      </x:c>
    </x:row>
    <x:row r="716" ht="27" customHeight="1">
      <x:c r="A716" s="2"/>
      <x:c r="B716" s="2" t="str">
        <x:v>RSHPCS</x:v>
      </x:c>
      <x:c r="C716" s="2" t="str">
        <x:v>2024-06-30</x:v>
      </x:c>
      <x:c r="D716" s="2" t="str">
        <x:v>Two months</x:v>
      </x:c>
      <x:c r="E716" s="2" t="str">
        <x:v>2024-06-18</x:v>
      </x:c>
      <x:c r="F716" s="2" t="str">
        <x:v>2024-06-01</x:v>
      </x:c>
      <x:c r="G716" s="2" t="str">
        <x:v>YoY carry</x:v>
      </x:c>
      <x:c r="H716" s="7" t="n">
        <x:v>36405.212649400135</x:v>
      </x:c>
      <x:c r="I716" s="7" t="n">
        <x:v>36544</x:v>
      </x:c>
      <x:c r="J716" s="2" t="str">
        <x:v>2024-07-16</x:v>
      </x:c>
      <x:c r="K716" s="7" t="n">
        <x:f>100*(H716/I716-1)</x:f>
        <x:v>-0.37978149791995097</x:v>
      </x:c>
      <x:c r="L716" s="7" t="n">
        <x:f>ABS(K716)</x:f>
        <x:v>0.37978149791995097</x:v>
      </x:c>
      <x:c r="M716" s="2" t="str">
        <x:v>Calibration</x:v>
      </x:c>
    </x:row>
    <x:row r="717" ht="27" customHeight="1">
      <x:c r="A717" s="2"/>
      <x:c r="B717" s="2" t="str">
        <x:v>RSHPCS</x:v>
      </x:c>
      <x:c r="C717" s="2" t="str">
        <x:v>2024-06-30</x:v>
      </x:c>
      <x:c r="D717" s="2" t="str">
        <x:v>Two months</x:v>
      </x:c>
      <x:c r="E717" s="2" t="str">
        <x:v>2024-06-18</x:v>
      </x:c>
      <x:c r="F717" s="2" t="str">
        <x:v>2024-06-01</x:v>
      </x:c>
      <x:c r="G717" s="2" t="str">
        <x:v>Flat level</x:v>
      </x:c>
      <x:c r="H717" s="7" t="n">
        <x:v>36141</x:v>
      </x:c>
      <x:c r="I717" s="7" t="n">
        <x:v>36544</x:v>
      </x:c>
      <x:c r="J717" s="2" t="str">
        <x:v>2024-07-16</x:v>
      </x:c>
      <x:c r="K717" s="7" t="n">
        <x:f>100*(H717/I717-1)</x:f>
        <x:v>-1.1027802101576167</x:v>
      </x:c>
      <x:c r="L717" s="7" t="n">
        <x:f>ABS(K717)</x:f>
        <x:v>1.1027802101576167</x:v>
      </x:c>
      <x:c r="M717" s="2" t="str">
        <x:v>Calibration</x:v>
      </x:c>
    </x:row>
    <x:row r="718" ht="27" customHeight="1">
      <x:c r="A718" s="2"/>
      <x:c r="B718" s="2" t="str">
        <x:v>RSHPCS</x:v>
      </x:c>
      <x:c r="C718" s="2" t="str">
        <x:v>2024-06-30</x:v>
      </x:c>
      <x:c r="D718" s="2" t="str">
        <x:v>Two months</x:v>
      </x:c>
      <x:c r="E718" s="2" t="str">
        <x:v>2024-06-18</x:v>
      </x:c>
      <x:c r="F718" s="2" t="str">
        <x:v>2024-06-01</x:v>
      </x:c>
      <x:c r="G718" s="2" t="str">
        <x:v>Recent trend</x:v>
      </x:c>
      <x:c r="H718" s="7" t="n">
        <x:v>36110.5</x:v>
      </x:c>
      <x:c r="I718" s="7" t="n">
        <x:v>36544</x:v>
      </x:c>
      <x:c r="J718" s="2" t="str">
        <x:v>2024-07-16</x:v>
      </x:c>
      <x:c r="K718" s="7" t="n">
        <x:f>100*(H718/I718-1)</x:f>
        <x:v>-1.186241243432573</x:v>
      </x:c>
      <x:c r="L718" s="7" t="n">
        <x:f>ABS(K718)</x:f>
        <x:v>1.186241243432573</x:v>
      </x:c>
      <x:c r="M718" s="2" t="str">
        <x:v>Calibration</x:v>
      </x:c>
    </x:row>
    <x:row r="719" ht="27" customHeight="1">
      <x:c r="A719" s="2"/>
      <x:c r="B719" s="2" t="str">
        <x:v>RSHPCS</x:v>
      </x:c>
      <x:c r="C719" s="2" t="str">
        <x:v>2024-09-30</x:v>
      </x:c>
      <x:c r="D719" s="2" t="str">
        <x:v>Origin</x:v>
      </x:c>
      <x:c r="E719" s="2" t="str">
        <x:v>2024-07-01</x:v>
      </x:c>
      <x:c r="F719" s="2" t="str">
        <x:v>2024-07-01</x:v>
      </x:c>
      <x:c r="G719" s="2" t="str">
        <x:v>YoY carry</x:v>
      </x:c>
      <x:c r="H719" s="7" t="n">
        <x:v>36095.334110788914</x:v>
      </x:c>
      <x:c r="I719" s="7" t="n">
        <x:v>37113</x:v>
      </x:c>
      <x:c r="J719" s="2" t="str">
        <x:v>2024-08-15</x:v>
      </x:c>
      <x:c r="K719" s="7" t="n">
        <x:f>100*(H719/I719-1)</x:f>
        <x:v>-2.742073907286091</x:v>
      </x:c>
      <x:c r="L719" s="7" t="n">
        <x:f>ABS(K719)</x:f>
        <x:v>2.742073907286091</x:v>
      </x:c>
      <x:c r="M719" s="2" t="str">
        <x:v>Yes</x:v>
      </x:c>
    </x:row>
    <x:row r="720" ht="27" customHeight="1">
      <x:c r="A720" s="2"/>
      <x:c r="B720" s="2" t="str">
        <x:v>RSHPCS</x:v>
      </x:c>
      <x:c r="C720" s="2" t="str">
        <x:v>2024-09-30</x:v>
      </x:c>
      <x:c r="D720" s="2" t="str">
        <x:v>Origin</x:v>
      </x:c>
      <x:c r="E720" s="2" t="str">
        <x:v>2024-07-01</x:v>
      </x:c>
      <x:c r="F720" s="2" t="str">
        <x:v>2024-08-01</x:v>
      </x:c>
      <x:c r="G720" s="2" t="str">
        <x:v>YoY carry</x:v>
      </x:c>
      <x:c r="H720" s="7" t="n">
        <x:v>36770.24756219782</x:v>
      </x:c>
      <x:c r="I720" s="7" t="n">
        <x:v>37797</x:v>
      </x:c>
      <x:c r="J720" s="2" t="str">
        <x:v>2024-09-17</x:v>
      </x:c>
      <x:c r="K720" s="7" t="n">
        <x:f>100*(H720/I720-1)</x:f>
        <x:v>-2.716491885076</x:v>
      </x:c>
      <x:c r="L720" s="7" t="n">
        <x:f>ABS(K720)</x:f>
        <x:v>2.716491885076</x:v>
      </x:c>
      <x:c r="M720" s="2" t="str">
        <x:v>Yes</x:v>
      </x:c>
    </x:row>
    <x:row r="721" ht="27" customHeight="1">
      <x:c r="A721" s="2"/>
      <x:c r="B721" s="2" t="str">
        <x:v>RSHPCS</x:v>
      </x:c>
      <x:c r="C721" s="2" t="str">
        <x:v>2024-09-30</x:v>
      </x:c>
      <x:c r="D721" s="2" t="str">
        <x:v>Origin</x:v>
      </x:c>
      <x:c r="E721" s="2" t="str">
        <x:v>2024-07-01</x:v>
      </x:c>
      <x:c r="F721" s="2" t="str">
        <x:v>2024-09-01</x:v>
      </x:c>
      <x:c r="G721" s="2" t="str">
        <x:v>YoY carry</x:v>
      </x:c>
      <x:c r="H721" s="7" t="n">
        <x:v>36859.50060406319</x:v>
      </x:c>
      <x:c r="I721" s="7" t="n">
        <x:v>38238</x:v>
      </x:c>
      <x:c r="J721" s="2" t="str">
        <x:v>2024-10-17</x:v>
      </x:c>
      <x:c r="K721" s="7" t="n">
        <x:f>100*(H721/I721-1)</x:f>
        <x:v>-3.605050985764968</x:v>
      </x:c>
      <x:c r="L721" s="7" t="n">
        <x:f>ABS(K721)</x:f>
        <x:v>3.605050985764968</x:v>
      </x:c>
      <x:c r="M721" s="2" t="str">
        <x:v>Yes</x:v>
      </x:c>
    </x:row>
    <x:row r="722" ht="27" customHeight="1">
      <x:c r="A722" s="2"/>
      <x:c r="B722" s="2" t="str">
        <x:v>RSHPCS</x:v>
      </x:c>
      <x:c r="C722" s="2" t="str">
        <x:v>2024-09-30</x:v>
      </x:c>
      <x:c r="D722" s="2" t="str">
        <x:v>Origin</x:v>
      </x:c>
      <x:c r="E722" s="2" t="str">
        <x:v>2024-07-01</x:v>
      </x:c>
      <x:c r="F722" s="2" t="str">
        <x:v>2024-07-01</x:v>
      </x:c>
      <x:c r="G722" s="2" t="str">
        <x:v>Flat level</x:v>
      </x:c>
      <x:c r="H722" s="7" t="n">
        <x:v>36141</x:v>
      </x:c>
      <x:c r="I722" s="7" t="n">
        <x:v>37113</x:v>
      </x:c>
      <x:c r="J722" s="2" t="str">
        <x:v>2024-08-15</x:v>
      </x:c>
      <x:c r="K722" s="7" t="n">
        <x:f>100*(H722/I722-1)</x:f>
        <x:v>-2.619028372807375</x:v>
      </x:c>
      <x:c r="L722" s="7" t="n">
        <x:f>ABS(K722)</x:f>
        <x:v>2.619028372807375</x:v>
      </x:c>
      <x:c r="M722" s="2" t="str">
        <x:v>Yes</x:v>
      </x:c>
    </x:row>
    <x:row r="723" ht="27" customHeight="1">
      <x:c r="A723" s="2"/>
      <x:c r="B723" s="2" t="str">
        <x:v>RSHPCS</x:v>
      </x:c>
      <x:c r="C723" s="2" t="str">
        <x:v>2024-09-30</x:v>
      </x:c>
      <x:c r="D723" s="2" t="str">
        <x:v>Origin</x:v>
      </x:c>
      <x:c r="E723" s="2" t="str">
        <x:v>2024-07-01</x:v>
      </x:c>
      <x:c r="F723" s="2" t="str">
        <x:v>2024-08-01</x:v>
      </x:c>
      <x:c r="G723" s="2" t="str">
        <x:v>Flat level</x:v>
      </x:c>
      <x:c r="H723" s="7" t="n">
        <x:v>36141</x:v>
      </x:c>
      <x:c r="I723" s="7" t="n">
        <x:v>37797</x:v>
      </x:c>
      <x:c r="J723" s="2" t="str">
        <x:v>2024-09-17</x:v>
      </x:c>
      <x:c r="K723" s="7" t="n">
        <x:f>100*(H723/I723-1)</x:f>
        <x:v>-4.381300103182795</x:v>
      </x:c>
      <x:c r="L723" s="7" t="n">
        <x:f>ABS(K723)</x:f>
        <x:v>4.381300103182795</x:v>
      </x:c>
      <x:c r="M723" s="2" t="str">
        <x:v>Yes</x:v>
      </x:c>
    </x:row>
    <x:row r="724" ht="27" customHeight="1">
      <x:c r="A724" s="2"/>
      <x:c r="B724" s="2" t="str">
        <x:v>RSHPCS</x:v>
      </x:c>
      <x:c r="C724" s="2" t="str">
        <x:v>2024-09-30</x:v>
      </x:c>
      <x:c r="D724" s="2" t="str">
        <x:v>Origin</x:v>
      </x:c>
      <x:c r="E724" s="2" t="str">
        <x:v>2024-07-01</x:v>
      </x:c>
      <x:c r="F724" s="2" t="str">
        <x:v>2024-09-01</x:v>
      </x:c>
      <x:c r="G724" s="2" t="str">
        <x:v>Flat level</x:v>
      </x:c>
      <x:c r="H724" s="7" t="n">
        <x:v>36141</x:v>
      </x:c>
      <x:c r="I724" s="7" t="n">
        <x:v>38238</x:v>
      </x:c>
      <x:c r="J724" s="2" t="str">
        <x:v>2024-10-17</x:v>
      </x:c>
      <x:c r="K724" s="7" t="n">
        <x:f>100*(H724/I724-1)</x:f>
        <x:v>-5.484073434803072</x:v>
      </x:c>
      <x:c r="L724" s="7" t="n">
        <x:f>ABS(K724)</x:f>
        <x:v>5.484073434803072</x:v>
      </x:c>
      <x:c r="M724" s="2" t="str">
        <x:v>Yes</x:v>
      </x:c>
    </x:row>
    <x:row r="725" ht="27" customHeight="1">
      <x:c r="A725" s="2"/>
      <x:c r="B725" s="2" t="str">
        <x:v>RSHPCS</x:v>
      </x:c>
      <x:c r="C725" s="2" t="str">
        <x:v>2024-09-30</x:v>
      </x:c>
      <x:c r="D725" s="2" t="str">
        <x:v>Origin</x:v>
      </x:c>
      <x:c r="E725" s="2" t="str">
        <x:v>2024-07-01</x:v>
      </x:c>
      <x:c r="F725" s="2" t="str">
        <x:v>2024-07-01</x:v>
      </x:c>
      <x:c r="G725" s="2" t="str">
        <x:v>Recent trend</x:v>
      </x:c>
      <x:c r="H725" s="7" t="n">
        <x:v>36080</x:v>
      </x:c>
      <x:c r="I725" s="7" t="n">
        <x:v>37113</x:v>
      </x:c>
      <x:c r="J725" s="2" t="str">
        <x:v>2024-08-15</x:v>
      </x:c>
      <x:c r="K725" s="7" t="n">
        <x:f>100*(H725/I725-1)</x:f>
        <x:v>-2.783391264516477</x:v>
      </x:c>
      <x:c r="L725" s="7" t="n">
        <x:f>ABS(K725)</x:f>
        <x:v>2.783391264516477</x:v>
      </x:c>
      <x:c r="M725" s="2" t="str">
        <x:v>Yes</x:v>
      </x:c>
    </x:row>
    <x:row r="726" ht="27" customHeight="1">
      <x:c r="A726" s="2"/>
      <x:c r="B726" s="2" t="str">
        <x:v>RSHPCS</x:v>
      </x:c>
      <x:c r="C726" s="2" t="str">
        <x:v>2024-09-30</x:v>
      </x:c>
      <x:c r="D726" s="2" t="str">
        <x:v>Origin</x:v>
      </x:c>
      <x:c r="E726" s="2" t="str">
        <x:v>2024-07-01</x:v>
      </x:c>
      <x:c r="F726" s="2" t="str">
        <x:v>2024-08-01</x:v>
      </x:c>
      <x:c r="G726" s="2" t="str">
        <x:v>Recent trend</x:v>
      </x:c>
      <x:c r="H726" s="7" t="n">
        <x:v>36049.5</x:v>
      </x:c>
      <x:c r="I726" s="7" t="n">
        <x:v>37797</x:v>
      </x:c>
      <x:c r="J726" s="2" t="str">
        <x:v>2024-09-17</x:v>
      </x:c>
      <x:c r="K726" s="7" t="n">
        <x:f>100*(H726/I726-1)</x:f>
        <x:v>-4.623382808159382</x:v>
      </x:c>
      <x:c r="L726" s="7" t="n">
        <x:f>ABS(K726)</x:f>
        <x:v>4.623382808159382</x:v>
      </x:c>
      <x:c r="M726" s="2" t="str">
        <x:v>Yes</x:v>
      </x:c>
    </x:row>
    <x:row r="727" ht="27" customHeight="1">
      <x:c r="A727" s="2"/>
      <x:c r="B727" s="2" t="str">
        <x:v>RSHPCS</x:v>
      </x:c>
      <x:c r="C727" s="2" t="str">
        <x:v>2024-09-30</x:v>
      </x:c>
      <x:c r="D727" s="2" t="str">
        <x:v>Origin</x:v>
      </x:c>
      <x:c r="E727" s="2" t="str">
        <x:v>2024-07-01</x:v>
      </x:c>
      <x:c r="F727" s="2" t="str">
        <x:v>2024-09-01</x:v>
      </x:c>
      <x:c r="G727" s="2" t="str">
        <x:v>Recent trend</x:v>
      </x:c>
      <x:c r="H727" s="7" t="n">
        <x:v>36019</x:v>
      </x:c>
      <x:c r="I727" s="7" t="n">
        <x:v>38238</x:v>
      </x:c>
      <x:c r="J727" s="2" t="str">
        <x:v>2024-10-17</x:v>
      </x:c>
      <x:c r="K727" s="7" t="n">
        <x:f>100*(H727/I727-1)</x:f>
        <x:v>-5.803127778649508</x:v>
      </x:c>
      <x:c r="L727" s="7" t="n">
        <x:f>ABS(K727)</x:f>
        <x:v>5.803127778649508</x:v>
      </x:c>
      <x:c r="M727" s="2" t="str">
        <x:v>Yes</x:v>
      </x:c>
    </x:row>
    <x:row r="728" ht="27" customHeight="1">
      <x:c r="A728" s="2"/>
      <x:c r="B728" s="2" t="str">
        <x:v>RSHPCS</x:v>
      </x:c>
      <x:c r="C728" s="2" t="str">
        <x:v>2024-09-30</x:v>
      </x:c>
      <x:c r="D728" s="2" t="str">
        <x:v>One month</x:v>
      </x:c>
      <x:c r="E728" s="2" t="str">
        <x:v>2024-08-15</x:v>
      </x:c>
      <x:c r="F728" s="2" t="str">
        <x:v>2024-08-01</x:v>
      </x:c>
      <x:c r="G728" s="2" t="str">
        <x:v>YoY carry</x:v>
      </x:c>
      <x:c r="H728" s="7" t="n">
        <x:v>37332.00652530135</x:v>
      </x:c>
      <x:c r="I728" s="7" t="n">
        <x:v>37797</x:v>
      </x:c>
      <x:c r="J728" s="2" t="str">
        <x:v>2024-09-17</x:v>
      </x:c>
      <x:c r="K728" s="7" t="n">
        <x:f>100*(H728/I728-1)</x:f>
        <x:v>-1.2302391054809791</x:v>
      </x:c>
      <x:c r="L728" s="7" t="n">
        <x:f>ABS(K728)</x:f>
        <x:v>1.2302391054809791</x:v>
      </x:c>
      <x:c r="M728" s="2" t="str">
        <x:v>Yes</x:v>
      </x:c>
    </x:row>
    <x:row r="729" ht="27" customHeight="1">
      <x:c r="A729" s="2"/>
      <x:c r="B729" s="2" t="str">
        <x:v>RSHPCS</x:v>
      </x:c>
      <x:c r="C729" s="2" t="str">
        <x:v>2024-09-30</x:v>
      </x:c>
      <x:c r="D729" s="2" t="str">
        <x:v>One month</x:v>
      </x:c>
      <x:c r="E729" s="2" t="str">
        <x:v>2024-08-15</x:v>
      </x:c>
      <x:c r="F729" s="2" t="str">
        <x:v>2024-09-01</x:v>
      </x:c>
      <x:c r="G729" s="2" t="str">
        <x:v>YoY carry</x:v>
      </x:c>
      <x:c r="H729" s="7" t="n">
        <x:v>37422.62313416929</x:v>
      </x:c>
      <x:c r="I729" s="7" t="n">
        <x:v>38238</x:v>
      </x:c>
      <x:c r="J729" s="2" t="str">
        <x:v>2024-10-17</x:v>
      </x:c>
      <x:c r="K729" s="7" t="n">
        <x:f>100*(H729/I729-1)</x:f>
        <x:v>-2.1323732042227816</x:v>
      </x:c>
      <x:c r="L729" s="7" t="n">
        <x:f>ABS(K729)</x:f>
        <x:v>2.1323732042227816</x:v>
      </x:c>
      <x:c r="M729" s="2" t="str">
        <x:v>Yes</x:v>
      </x:c>
    </x:row>
    <x:row r="730" ht="27" customHeight="1">
      <x:c r="A730" s="2"/>
      <x:c r="B730" s="2" t="str">
        <x:v>RSHPCS</x:v>
      </x:c>
      <x:c r="C730" s="2" t="str">
        <x:v>2024-09-30</x:v>
      </x:c>
      <x:c r="D730" s="2" t="str">
        <x:v>One month</x:v>
      </x:c>
      <x:c r="E730" s="2" t="str">
        <x:v>2024-08-15</x:v>
      </x:c>
      <x:c r="F730" s="2" t="str">
        <x:v>2024-08-01</x:v>
      </x:c>
      <x:c r="G730" s="2" t="str">
        <x:v>Flat level</x:v>
      </x:c>
      <x:c r="H730" s="7" t="n">
        <x:v>37113</x:v>
      </x:c>
      <x:c r="I730" s="7" t="n">
        <x:v>37797</x:v>
      </x:c>
      <x:c r="J730" s="2" t="str">
        <x:v>2024-09-17</x:v>
      </x:c>
      <x:c r="K730" s="7" t="n">
        <x:f>100*(H730/I730-1)</x:f>
        <x:v>-1.8096674339233232</x:v>
      </x:c>
      <x:c r="L730" s="7" t="n">
        <x:f>ABS(K730)</x:f>
        <x:v>1.8096674339233232</x:v>
      </x:c>
      <x:c r="M730" s="2" t="str">
        <x:v>Yes</x:v>
      </x:c>
    </x:row>
    <x:row r="731" ht="27" customHeight="1">
      <x:c r="A731" s="2"/>
      <x:c r="B731" s="2" t="str">
        <x:v>RSHPCS</x:v>
      </x:c>
      <x:c r="C731" s="2" t="str">
        <x:v>2024-09-30</x:v>
      </x:c>
      <x:c r="D731" s="2" t="str">
        <x:v>One month</x:v>
      </x:c>
      <x:c r="E731" s="2" t="str">
        <x:v>2024-08-15</x:v>
      </x:c>
      <x:c r="F731" s="2" t="str">
        <x:v>2024-09-01</x:v>
      </x:c>
      <x:c r="G731" s="2" t="str">
        <x:v>Flat level</x:v>
      </x:c>
      <x:c r="H731" s="7" t="n">
        <x:v>37113</x:v>
      </x:c>
      <x:c r="I731" s="7" t="n">
        <x:v>38238</x:v>
      </x:c>
      <x:c r="J731" s="2" t="str">
        <x:v>2024-10-17</x:v>
      </x:c>
      <x:c r="K731" s="7" t="n">
        <x:f>100*(H731/I731-1)</x:f>
        <x:v>-2.9420994821904967</x:v>
      </x:c>
      <x:c r="L731" s="7" t="n">
        <x:f>ABS(K731)</x:f>
        <x:v>2.9420994821904967</x:v>
      </x:c>
      <x:c r="M731" s="2" t="str">
        <x:v>Yes</x:v>
      </x:c>
    </x:row>
    <x:row r="732" ht="27" customHeight="1">
      <x:c r="A732" s="2"/>
      <x:c r="B732" s="2" t="str">
        <x:v>RSHPCS</x:v>
      </x:c>
      <x:c r="C732" s="2" t="str">
        <x:v>2024-09-30</x:v>
      </x:c>
      <x:c r="D732" s="2" t="str">
        <x:v>One month</x:v>
      </x:c>
      <x:c r="E732" s="2" t="str">
        <x:v>2024-08-15</x:v>
      </x:c>
      <x:c r="F732" s="2" t="str">
        <x:v>2024-08-01</x:v>
      </x:c>
      <x:c r="G732" s="2" t="str">
        <x:v>Recent trend</x:v>
      </x:c>
      <x:c r="H732" s="7" t="n">
        <x:v>37335</x:v>
      </x:c>
      <x:c r="I732" s="7" t="n">
        <x:v>37797</x:v>
      </x:c>
      <x:c r="J732" s="2" t="str">
        <x:v>2024-09-17</x:v>
      </x:c>
      <x:c r="K732" s="7" t="n">
        <x:f>100*(H732/I732-1)</x:f>
        <x:v>-1.222319231685054</x:v>
      </x:c>
      <x:c r="L732" s="7" t="n">
        <x:f>ABS(K732)</x:f>
        <x:v>1.222319231685054</x:v>
      </x:c>
      <x:c r="M732" s="2" t="str">
        <x:v>Yes</x:v>
      </x:c>
    </x:row>
    <x:row r="733" ht="27" customHeight="1">
      <x:c r="A733" s="2"/>
      <x:c r="B733" s="2" t="str">
        <x:v>RSHPCS</x:v>
      </x:c>
      <x:c r="C733" s="2" t="str">
        <x:v>2024-09-30</x:v>
      </x:c>
      <x:c r="D733" s="2" t="str">
        <x:v>One month</x:v>
      </x:c>
      <x:c r="E733" s="2" t="str">
        <x:v>2024-08-15</x:v>
      </x:c>
      <x:c r="F733" s="2" t="str">
        <x:v>2024-09-01</x:v>
      </x:c>
      <x:c r="G733" s="2" t="str">
        <x:v>Recent trend</x:v>
      </x:c>
      <x:c r="H733" s="7" t="n">
        <x:v>37557</x:v>
      </x:c>
      <x:c r="I733" s="7" t="n">
        <x:v>38238</x:v>
      </x:c>
      <x:c r="J733" s="2" t="str">
        <x:v>2024-10-17</x:v>
      </x:c>
      <x:c r="K733" s="7" t="n">
        <x:f>100*(H733/I733-1)</x:f>
        <x:v>-1.7809508865526458</x:v>
      </x:c>
      <x:c r="L733" s="7" t="n">
        <x:f>ABS(K733)</x:f>
        <x:v>1.7809508865526458</x:v>
      </x:c>
      <x:c r="M733" s="2" t="str">
        <x:v>Yes</x:v>
      </x:c>
    </x:row>
    <x:row r="734" ht="27" customHeight="1">
      <x:c r="A734" s="2"/>
      <x:c r="B734" s="2" t="str">
        <x:v>RSHPCS</x:v>
      </x:c>
      <x:c r="C734" s="2" t="str">
        <x:v>2024-09-30</x:v>
      </x:c>
      <x:c r="D734" s="2" t="str">
        <x:v>Two months</x:v>
      </x:c>
      <x:c r="E734" s="2" t="str">
        <x:v>2024-09-17</x:v>
      </x:c>
      <x:c r="F734" s="2" t="str">
        <x:v>2024-09-01</x:v>
      </x:c>
      <x:c r="G734" s="2" t="str">
        <x:v>YoY carry</x:v>
      </x:c>
      <x:c r="H734" s="7" t="n">
        <x:v>37956.635017922286</x:v>
      </x:c>
      <x:c r="I734" s="7" t="n">
        <x:v>38238</x:v>
      </x:c>
      <x:c r="J734" s="2" t="str">
        <x:v>2024-10-17</x:v>
      </x:c>
      <x:c r="K734" s="7" t="n">
        <x:f>100*(H734/I734-1)</x:f>
        <x:v>-0.7358255716243378</x:v>
      </x:c>
      <x:c r="L734" s="7" t="n">
        <x:f>ABS(K734)</x:f>
        <x:v>0.7358255716243378</x:v>
      </x:c>
      <x:c r="M734" s="2" t="str">
        <x:v>Yes</x:v>
      </x:c>
    </x:row>
    <x:row r="735" ht="27" customHeight="1">
      <x:c r="A735" s="2"/>
      <x:c r="B735" s="2" t="str">
        <x:v>RSHPCS</x:v>
      </x:c>
      <x:c r="C735" s="2" t="str">
        <x:v>2024-09-30</x:v>
      </x:c>
      <x:c r="D735" s="2" t="str">
        <x:v>Two months</x:v>
      </x:c>
      <x:c r="E735" s="2" t="str">
        <x:v>2024-09-17</x:v>
      </x:c>
      <x:c r="F735" s="2" t="str">
        <x:v>2024-09-01</x:v>
      </x:c>
      <x:c r="G735" s="2" t="str">
        <x:v>Flat level</x:v>
      </x:c>
      <x:c r="H735" s="7" t="n">
        <x:v>37797</x:v>
      </x:c>
      <x:c r="I735" s="7" t="n">
        <x:v>38238</x:v>
      </x:c>
      <x:c r="J735" s="2" t="str">
        <x:v>2024-10-17</x:v>
      </x:c>
      <x:c r="K735" s="7" t="n">
        <x:f>100*(H735/I735-1)</x:f>
        <x:v>-1.1533029970186681</x:v>
      </x:c>
      <x:c r="L735" s="7" t="n">
        <x:f>ABS(K735)</x:f>
        <x:v>1.1533029970186681</x:v>
      </x:c>
      <x:c r="M735" s="2" t="str">
        <x:v>Yes</x:v>
      </x:c>
    </x:row>
    <x:row r="736" ht="27" customHeight="1">
      <x:c r="A736" s="2"/>
      <x:c r="B736" s="2" t="str">
        <x:v>RSHPCS</x:v>
      </x:c>
      <x:c r="C736" s="2" t="str">
        <x:v>2024-09-30</x:v>
      </x:c>
      <x:c r="D736" s="2" t="str">
        <x:v>Two months</x:v>
      </x:c>
      <x:c r="E736" s="2" t="str">
        <x:v>2024-09-17</x:v>
      </x:c>
      <x:c r="F736" s="2" t="str">
        <x:v>2024-09-01</x:v>
      </x:c>
      <x:c r="G736" s="2" t="str">
        <x:v>Recent trend</x:v>
      </x:c>
      <x:c r="H736" s="7" t="n">
        <x:v>38240</x:v>
      </x:c>
      <x:c r="I736" s="7" t="n">
        <x:v>38238</x:v>
      </x:c>
      <x:c r="J736" s="2" t="str">
        <x:v>2024-10-17</x:v>
      </x:c>
      <x:c r="K736" s="7" t="n">
        <x:f>100*(H736/I736-1)</x:f>
        <x:v>0.005230399079447778</x:v>
      </x:c>
      <x:c r="L736" s="7" t="n">
        <x:f>ABS(K736)</x:f>
        <x:v>0.005230399079447778</x:v>
      </x:c>
      <x:c r="M736" s="2" t="str">
        <x:v>Yes</x:v>
      </x:c>
    </x:row>
    <x:row r="737" ht="27" customHeight="1">
      <x:c r="A737" s="2"/>
      <x:c r="B737" s="2" t="str">
        <x:v>RSHPCS</x:v>
      </x:c>
      <x:c r="C737" s="2" t="str">
        <x:v>2024-12-31</x:v>
      </x:c>
      <x:c r="D737" s="2" t="str">
        <x:v>Origin</x:v>
      </x:c>
      <x:c r="E737" s="2" t="str">
        <x:v>2024-10-01</x:v>
      </x:c>
      <x:c r="F737" s="2" t="str">
        <x:v>2024-10-01</x:v>
      </x:c>
      <x:c r="G737" s="2" t="str">
        <x:v>YoY carry</x:v>
      </x:c>
      <x:c r="H737" s="7" t="n">
        <x:v>38836.489542076</x:v>
      </x:c>
      <x:c r="I737" s="7" t="n">
        <x:v>38179</x:v>
      </x:c>
      <x:c r="J737" s="2" t="str">
        <x:v>2024-11-15</x:v>
      </x:c>
      <x:c r="K737" s="7" t="n">
        <x:f>100*(H737/I737-1)</x:f>
        <x:v>1.722123528840469</x:v>
      </x:c>
      <x:c r="L737" s="7" t="n">
        <x:f>ABS(K737)</x:f>
        <x:v>1.722123528840469</x:v>
      </x:c>
      <x:c r="M737" s="2" t="str">
        <x:v>Yes</x:v>
      </x:c>
    </x:row>
    <x:row r="738" ht="27" customHeight="1">
      <x:c r="A738" s="2"/>
      <x:c r="B738" s="2" t="str">
        <x:v>RSHPCS</x:v>
      </x:c>
      <x:c r="C738" s="2" t="str">
        <x:v>2024-12-31</x:v>
      </x:c>
      <x:c r="D738" s="2" t="str">
        <x:v>Origin</x:v>
      </x:c>
      <x:c r="E738" s="2" t="str">
        <x:v>2024-10-01</x:v>
      </x:c>
      <x:c r="F738" s="2" t="str">
        <x:v>2024-11-01</x:v>
      </x:c>
      <x:c r="G738" s="2" t="str">
        <x:v>YoY carry</x:v>
      </x:c>
      <x:c r="H738" s="7" t="n">
        <x:v>38679.520190349045</x:v>
      </x:c>
      <x:c r="I738" s="7" t="n">
        <x:v>38083</x:v>
      </x:c>
      <x:c r="J738" s="2" t="str">
        <x:v>2024-12-17</x:v>
      </x:c>
      <x:c r="K738" s="7" t="n">
        <x:f>100*(H738/I738-1)</x:f>
        <x:v>1.56636869560971</x:v>
      </x:c>
      <x:c r="L738" s="7" t="n">
        <x:f>ABS(K738)</x:f>
        <x:v>1.56636869560971</x:v>
      </x:c>
      <x:c r="M738" s="2" t="str">
        <x:v>Yes</x:v>
      </x:c>
    </x:row>
    <x:row r="739" ht="27" customHeight="1">
      <x:c r="A739" s="2"/>
      <x:c r="B739" s="2" t="str">
        <x:v>RSHPCS</x:v>
      </x:c>
      <x:c r="C739" s="2" t="str">
        <x:v>2024-12-31</x:v>
      </x:c>
      <x:c r="D739" s="2" t="str">
        <x:v>Origin</x:v>
      </x:c>
      <x:c r="E739" s="2" t="str">
        <x:v>2024-10-01</x:v>
      </x:c>
      <x:c r="F739" s="2" t="str">
        <x:v>2024-12-01</x:v>
      </x:c>
      <x:c r="G739" s="2" t="str">
        <x:v>YoY carry</x:v>
      </x:c>
      <x:c r="H739" s="7" t="n">
        <x:v>38002.073514474825</x:v>
      </x:c>
      <x:c r="I739" s="7" t="n">
        <x:v>38062</x:v>
      </x:c>
      <x:c r="J739" s="2" t="str">
        <x:v>2025-01-16</x:v>
      </x:c>
      <x:c r="K739" s="7" t="n">
        <x:f>100*(H739/I739-1)</x:f>
        <x:v>-0.15744439473799332</x:v>
      </x:c>
      <x:c r="L739" s="7" t="n">
        <x:f>ABS(K739)</x:f>
        <x:v>0.15744439473799332</x:v>
      </x:c>
      <x:c r="M739" s="2" t="str">
        <x:v>Yes</x:v>
      </x:c>
    </x:row>
    <x:row r="740" ht="27" customHeight="1">
      <x:c r="A740" s="2"/>
      <x:c r="B740" s="2" t="str">
        <x:v>RSHPCS</x:v>
      </x:c>
      <x:c r="C740" s="2" t="str">
        <x:v>2024-12-31</x:v>
      </x:c>
      <x:c r="D740" s="2" t="str">
        <x:v>Origin</x:v>
      </x:c>
      <x:c r="E740" s="2" t="str">
        <x:v>2024-10-01</x:v>
      </x:c>
      <x:c r="F740" s="2" t="str">
        <x:v>2024-10-01</x:v>
      </x:c>
      <x:c r="G740" s="2" t="str">
        <x:v>Flat level</x:v>
      </x:c>
      <x:c r="H740" s="7" t="n">
        <x:v>37797</x:v>
      </x:c>
      <x:c r="I740" s="7" t="n">
        <x:v>38179</x:v>
      </x:c>
      <x:c r="J740" s="2" t="str">
        <x:v>2024-11-15</x:v>
      </x:c>
      <x:c r="K740" s="7" t="n">
        <x:f>100*(H740/I740-1)</x:f>
        <x:v>-1.000550040598236</x:v>
      </x:c>
      <x:c r="L740" s="7" t="n">
        <x:f>ABS(K740)</x:f>
        <x:v>1.000550040598236</x:v>
      </x:c>
      <x:c r="M740" s="2" t="str">
        <x:v>Yes</x:v>
      </x:c>
    </x:row>
    <x:row r="741" ht="27" customHeight="1">
      <x:c r="A741" s="2"/>
      <x:c r="B741" s="2" t="str">
        <x:v>RSHPCS</x:v>
      </x:c>
      <x:c r="C741" s="2" t="str">
        <x:v>2024-12-31</x:v>
      </x:c>
      <x:c r="D741" s="2" t="str">
        <x:v>Origin</x:v>
      </x:c>
      <x:c r="E741" s="2" t="str">
        <x:v>2024-10-01</x:v>
      </x:c>
      <x:c r="F741" s="2" t="str">
        <x:v>2024-11-01</x:v>
      </x:c>
      <x:c r="G741" s="2" t="str">
        <x:v>Flat level</x:v>
      </x:c>
      <x:c r="H741" s="7" t="n">
        <x:v>37797</x:v>
      </x:c>
      <x:c r="I741" s="7" t="n">
        <x:v>38083</x:v>
      </x:c>
      <x:c r="J741" s="2" t="str">
        <x:v>2024-12-17</x:v>
      </x:c>
      <x:c r="K741" s="7" t="n">
        <x:f>100*(H741/I741-1)</x:f>
        <x:v>-0.7509912559409693</x:v>
      </x:c>
      <x:c r="L741" s="7" t="n">
        <x:f>ABS(K741)</x:f>
        <x:v>0.7509912559409693</x:v>
      </x:c>
      <x:c r="M741" s="2" t="str">
        <x:v>Yes</x:v>
      </x:c>
    </x:row>
    <x:row r="742" ht="27" customHeight="1">
      <x:c r="A742" s="2"/>
      <x:c r="B742" s="2" t="str">
        <x:v>RSHPCS</x:v>
      </x:c>
      <x:c r="C742" s="2" t="str">
        <x:v>2024-12-31</x:v>
      </x:c>
      <x:c r="D742" s="2" t="str">
        <x:v>Origin</x:v>
      </x:c>
      <x:c r="E742" s="2" t="str">
        <x:v>2024-10-01</x:v>
      </x:c>
      <x:c r="F742" s="2" t="str">
        <x:v>2024-12-01</x:v>
      </x:c>
      <x:c r="G742" s="2" t="str">
        <x:v>Flat level</x:v>
      </x:c>
      <x:c r="H742" s="7" t="n">
        <x:v>37797</x:v>
      </x:c>
      <x:c r="I742" s="7" t="n">
        <x:v>38062</x:v>
      </x:c>
      <x:c r="J742" s="2" t="str">
        <x:v>2025-01-16</x:v>
      </x:c>
      <x:c r="K742" s="7" t="n">
        <x:f>100*(H742/I742-1)</x:f>
        <x:v>-0.6962324628238092</x:v>
      </x:c>
      <x:c r="L742" s="7" t="n">
        <x:f>ABS(K742)</x:f>
        <x:v>0.6962324628238092</x:v>
      </x:c>
      <x:c r="M742" s="2" t="str">
        <x:v>Yes</x:v>
      </x:c>
    </x:row>
    <x:row r="743" ht="27" customHeight="1">
      <x:c r="A743" s="2"/>
      <x:c r="B743" s="2" t="str">
        <x:v>RSHPCS</x:v>
      </x:c>
      <x:c r="C743" s="2" t="str">
        <x:v>2024-12-31</x:v>
      </x:c>
      <x:c r="D743" s="2" t="str">
        <x:v>Origin</x:v>
      </x:c>
      <x:c r="E743" s="2" t="str">
        <x:v>2024-10-01</x:v>
      </x:c>
      <x:c r="F743" s="2" t="str">
        <x:v>2024-10-01</x:v>
      </x:c>
      <x:c r="G743" s="2" t="str">
        <x:v>Recent trend</x:v>
      </x:c>
      <x:c r="H743" s="7" t="n">
        <x:v>38683</x:v>
      </x:c>
      <x:c r="I743" s="7" t="n">
        <x:v>38179</x:v>
      </x:c>
      <x:c r="J743" s="2" t="str">
        <x:v>2024-11-15</x:v>
      </x:c>
      <x:c r="K743" s="7" t="n">
        <x:f>100*(H743/I743-1)</x:f>
        <x:v>1.3200974357631123</x:v>
      </x:c>
      <x:c r="L743" s="7" t="n">
        <x:f>ABS(K743)</x:f>
        <x:v>1.3200974357631123</x:v>
      </x:c>
      <x:c r="M743" s="2" t="str">
        <x:v>Yes</x:v>
      </x:c>
    </x:row>
    <x:row r="744" ht="27" customHeight="1">
      <x:c r="A744" s="2"/>
      <x:c r="B744" s="2" t="str">
        <x:v>RSHPCS</x:v>
      </x:c>
      <x:c r="C744" s="2" t="str">
        <x:v>2024-12-31</x:v>
      </x:c>
      <x:c r="D744" s="2" t="str">
        <x:v>Origin</x:v>
      </x:c>
      <x:c r="E744" s="2" t="str">
        <x:v>2024-10-01</x:v>
      </x:c>
      <x:c r="F744" s="2" t="str">
        <x:v>2024-11-01</x:v>
      </x:c>
      <x:c r="G744" s="2" t="str">
        <x:v>Recent trend</x:v>
      </x:c>
      <x:c r="H744" s="7" t="n">
        <x:v>39126</x:v>
      </x:c>
      <x:c r="I744" s="7" t="n">
        <x:v>38083</x:v>
      </x:c>
      <x:c r="J744" s="2" t="str">
        <x:v>2024-12-17</x:v>
      </x:c>
      <x:c r="K744" s="7" t="n">
        <x:f>100*(H744/I744-1)</x:f>
        <x:v>2.7387548249875326</x:v>
      </x:c>
      <x:c r="L744" s="7" t="n">
        <x:f>ABS(K744)</x:f>
        <x:v>2.7387548249875326</x:v>
      </x:c>
      <x:c r="M744" s="2" t="str">
        <x:v>Yes</x:v>
      </x:c>
    </x:row>
    <x:row r="745" ht="27" customHeight="1">
      <x:c r="A745" s="2"/>
      <x:c r="B745" s="2" t="str">
        <x:v>RSHPCS</x:v>
      </x:c>
      <x:c r="C745" s="2" t="str">
        <x:v>2024-12-31</x:v>
      </x:c>
      <x:c r="D745" s="2" t="str">
        <x:v>Origin</x:v>
      </x:c>
      <x:c r="E745" s="2" t="str">
        <x:v>2024-10-01</x:v>
      </x:c>
      <x:c r="F745" s="2" t="str">
        <x:v>2024-12-01</x:v>
      </x:c>
      <x:c r="G745" s="2" t="str">
        <x:v>Recent trend</x:v>
      </x:c>
      <x:c r="H745" s="7" t="n">
        <x:v>39569</x:v>
      </x:c>
      <x:c r="I745" s="7" t="n">
        <x:v>38062</x:v>
      </x:c>
      <x:c r="J745" s="2" t="str">
        <x:v>2025-01-16</x:v>
      </x:c>
      <x:c r="K745" s="7" t="n">
        <x:f>100*(H745/I745-1)</x:f>
        <x:v>3.9593295150018415</x:v>
      </x:c>
      <x:c r="L745" s="7" t="n">
        <x:f>ABS(K745)</x:f>
        <x:v>3.9593295150018415</x:v>
      </x:c>
      <x:c r="M745" s="2" t="str">
        <x:v>Yes</x:v>
      </x:c>
    </x:row>
    <x:row r="746" ht="27" customHeight="1">
      <x:c r="A746" s="2"/>
      <x:c r="B746" s="2" t="str">
        <x:v>RSHPCS</x:v>
      </x:c>
      <x:c r="C746" s="2" t="str">
        <x:v>2024-12-31</x:v>
      </x:c>
      <x:c r="D746" s="2" t="str">
        <x:v>One month</x:v>
      </x:c>
      <x:c r="E746" s="2" t="str">
        <x:v>2024-11-15</x:v>
      </x:c>
      <x:c r="F746" s="2" t="str">
        <x:v>2024-11-01</x:v>
      </x:c>
      <x:c r="G746" s="2" t="str">
        <x:v>YoY carry</x:v>
      </x:c>
      <x:c r="H746" s="7" t="n">
        <x:v>38742.48074993114</x:v>
      </x:c>
      <x:c r="I746" s="7" t="n">
        <x:v>38083</x:v>
      </x:c>
      <x:c r="J746" s="2" t="str">
        <x:v>2024-12-17</x:v>
      </x:c>
      <x:c r="K746" s="7" t="n">
        <x:f>100*(H746/I746-1)</x:f>
        <x:v>1.7316932750338632</x:v>
      </x:c>
      <x:c r="L746" s="7" t="n">
        <x:f>ABS(K746)</x:f>
        <x:v>1.7316932750338632</x:v>
      </x:c>
      <x:c r="M746" s="2" t="str">
        <x:v>Yes</x:v>
      </x:c>
    </x:row>
    <x:row r="747" ht="27" customHeight="1">
      <x:c r="A747" s="2"/>
      <x:c r="B747" s="2" t="str">
        <x:v>RSHPCS</x:v>
      </x:c>
      <x:c r="C747" s="2" t="str">
        <x:v>2024-12-31</x:v>
      </x:c>
      <x:c r="D747" s="2" t="str">
        <x:v>One month</x:v>
      </x:c>
      <x:c r="E747" s="2" t="str">
        <x:v>2024-11-15</x:v>
      </x:c>
      <x:c r="F747" s="2" t="str">
        <x:v>2024-12-01</x:v>
      </x:c>
      <x:c r="G747" s="2" t="str">
        <x:v>YoY carry</x:v>
      </x:c>
      <x:c r="H747" s="7" t="n">
        <x:v>38063.93136074532</x:v>
      </x:c>
      <x:c r="I747" s="7" t="n">
        <x:v>38062</x:v>
      </x:c>
      <x:c r="J747" s="2" t="str">
        <x:v>2025-01-16</x:v>
      </x:c>
      <x:c r="K747" s="7" t="n">
        <x:f>100*(H747/I747-1)</x:f>
        <x:v>0.005074249238923301</x:v>
      </x:c>
      <x:c r="L747" s="7" t="n">
        <x:f>ABS(K747)</x:f>
        <x:v>0.005074249238923301</x:v>
      </x:c>
      <x:c r="M747" s="2" t="str">
        <x:v>Yes</x:v>
      </x:c>
    </x:row>
    <x:row r="748" ht="27" customHeight="1">
      <x:c r="A748" s="2"/>
      <x:c r="B748" s="2" t="str">
        <x:v>RSHPCS</x:v>
      </x:c>
      <x:c r="C748" s="2" t="str">
        <x:v>2024-12-31</x:v>
      </x:c>
      <x:c r="D748" s="2" t="str">
        <x:v>One month</x:v>
      </x:c>
      <x:c r="E748" s="2" t="str">
        <x:v>2024-11-15</x:v>
      </x:c>
      <x:c r="F748" s="2" t="str">
        <x:v>2024-11-01</x:v>
      </x:c>
      <x:c r="G748" s="2" t="str">
        <x:v>Flat level</x:v>
      </x:c>
      <x:c r="H748" s="7" t="n">
        <x:v>38179</x:v>
      </x:c>
      <x:c r="I748" s="7" t="n">
        <x:v>38083</x:v>
      </x:c>
      <x:c r="J748" s="2" t="str">
        <x:v>2024-12-17</x:v>
      </x:c>
      <x:c r="K748" s="7" t="n">
        <x:f>100*(H748/I748-1)</x:f>
        <x:v>0.25208098101514587</x:v>
      </x:c>
      <x:c r="L748" s="7" t="n">
        <x:f>ABS(K748)</x:f>
        <x:v>0.25208098101514587</x:v>
      </x:c>
      <x:c r="M748" s="2" t="str">
        <x:v>Yes</x:v>
      </x:c>
    </x:row>
    <x:row r="749" ht="27" customHeight="1">
      <x:c r="A749" s="2"/>
      <x:c r="B749" s="2" t="str">
        <x:v>RSHPCS</x:v>
      </x:c>
      <x:c r="C749" s="2" t="str">
        <x:v>2024-12-31</x:v>
      </x:c>
      <x:c r="D749" s="2" t="str">
        <x:v>One month</x:v>
      </x:c>
      <x:c r="E749" s="2" t="str">
        <x:v>2024-11-15</x:v>
      </x:c>
      <x:c r="F749" s="2" t="str">
        <x:v>2024-12-01</x:v>
      </x:c>
      <x:c r="G749" s="2" t="str">
        <x:v>Flat level</x:v>
      </x:c>
      <x:c r="H749" s="7" t="n">
        <x:v>38179</x:v>
      </x:c>
      <x:c r="I749" s="7" t="n">
        <x:v>38062</x:v>
      </x:c>
      <x:c r="J749" s="2" t="str">
        <x:v>2025-01-16</x:v>
      </x:c>
      <x:c r="K749" s="7" t="n">
        <x:f>100*(H749/I749-1)</x:f>
        <x:v>0.3073932005674962</x:v>
      </x:c>
      <x:c r="L749" s="7" t="n">
        <x:f>ABS(K749)</x:f>
        <x:v>0.3073932005674962</x:v>
      </x:c>
      <x:c r="M749" s="2" t="str">
        <x:v>Yes</x:v>
      </x:c>
    </x:row>
    <x:row r="750" ht="27" customHeight="1">
      <x:c r="A750" s="2"/>
      <x:c r="B750" s="2" t="str">
        <x:v>RSHPCS</x:v>
      </x:c>
      <x:c r="C750" s="2" t="str">
        <x:v>2024-12-31</x:v>
      </x:c>
      <x:c r="D750" s="2" t="str">
        <x:v>One month</x:v>
      </x:c>
      <x:c r="E750" s="2" t="str">
        <x:v>2024-11-15</x:v>
      </x:c>
      <x:c r="F750" s="2" t="str">
        <x:v>2024-11-01</x:v>
      </x:c>
      <x:c r="G750" s="2" t="str">
        <x:v>Recent trend</x:v>
      </x:c>
      <x:c r="H750" s="7" t="n">
        <x:v>38397.5</x:v>
      </x:c>
      <x:c r="I750" s="7" t="n">
        <x:v>38083</x:v>
      </x:c>
      <x:c r="J750" s="2" t="str">
        <x:v>2024-12-17</x:v>
      </x:c>
      <x:c r="K750" s="7" t="n">
        <x:f>100*(H750/I750-1)</x:f>
        <x:v>0.8258277971798345</x:v>
      </x:c>
      <x:c r="L750" s="7" t="n">
        <x:f>ABS(K750)</x:f>
        <x:v>0.8258277971798345</x:v>
      </x:c>
      <x:c r="M750" s="2" t="str">
        <x:v>Yes</x:v>
      </x:c>
    </x:row>
    <x:row r="751" ht="27" customHeight="1">
      <x:c r="A751" s="2"/>
      <x:c r="B751" s="2" t="str">
        <x:v>RSHPCS</x:v>
      </x:c>
      <x:c r="C751" s="2" t="str">
        <x:v>2024-12-31</x:v>
      </x:c>
      <x:c r="D751" s="2" t="str">
        <x:v>One month</x:v>
      </x:c>
      <x:c r="E751" s="2" t="str">
        <x:v>2024-11-15</x:v>
      </x:c>
      <x:c r="F751" s="2" t="str">
        <x:v>2024-12-01</x:v>
      </x:c>
      <x:c r="G751" s="2" t="str">
        <x:v>Recent trend</x:v>
      </x:c>
      <x:c r="H751" s="7" t="n">
        <x:v>38616</x:v>
      </x:c>
      <x:c r="I751" s="7" t="n">
        <x:v>38062</x:v>
      </x:c>
      <x:c r="J751" s="2" t="str">
        <x:v>2025-01-16</x:v>
      </x:c>
      <x:c r="K751" s="7" t="n">
        <x:f>100*(H751/I751-1)</x:f>
        <x:v>1.455519941148653</x:v>
      </x:c>
      <x:c r="L751" s="7" t="n">
        <x:f>ABS(K751)</x:f>
        <x:v>1.455519941148653</x:v>
      </x:c>
      <x:c r="M751" s="2" t="str">
        <x:v>Yes</x:v>
      </x:c>
    </x:row>
    <x:row r="752" ht="27" customHeight="1">
      <x:c r="A752" s="2"/>
      <x:c r="B752" s="2" t="str">
        <x:v>RSHPCS</x:v>
      </x:c>
      <x:c r="C752" s="2" t="str">
        <x:v>2024-12-31</x:v>
      </x:c>
      <x:c r="D752" s="2" t="str">
        <x:v>Two months</x:v>
      </x:c>
      <x:c r="E752" s="2" t="str">
        <x:v>2024-12-17</x:v>
      </x:c>
      <x:c r="F752" s="2" t="str">
        <x:v>2024-12-01</x:v>
      </x:c>
      <x:c r="G752" s="2" t="str">
        <x:v>YoY carry</x:v>
      </x:c>
      <x:c r="H752" s="7" t="n">
        <x:v>37864.131548366764</x:v>
      </x:c>
      <x:c r="I752" s="7" t="n">
        <x:v>38062</x:v>
      </x:c>
      <x:c r="J752" s="2" t="str">
        <x:v>2025-01-16</x:v>
      </x:c>
      <x:c r="K752" s="7" t="n">
        <x:f>100*(H752/I752-1)</x:f>
        <x:v>-0.5198582618707315</x:v>
      </x:c>
      <x:c r="L752" s="7" t="n">
        <x:f>ABS(K752)</x:f>
        <x:v>0.5198582618707315</x:v>
      </x:c>
      <x:c r="M752" s="2" t="str">
        <x:v>Yes</x:v>
      </x:c>
    </x:row>
    <x:row r="753" ht="27" customHeight="1">
      <x:c r="A753" s="2"/>
      <x:c r="B753" s="2" t="str">
        <x:v>RSHPCS</x:v>
      </x:c>
      <x:c r="C753" s="2" t="str">
        <x:v>2024-12-31</x:v>
      </x:c>
      <x:c r="D753" s="2" t="str">
        <x:v>Two months</x:v>
      </x:c>
      <x:c r="E753" s="2" t="str">
        <x:v>2024-12-17</x:v>
      </x:c>
      <x:c r="F753" s="2" t="str">
        <x:v>2024-12-01</x:v>
      </x:c>
      <x:c r="G753" s="2" t="str">
        <x:v>Flat level</x:v>
      </x:c>
      <x:c r="H753" s="7" t="n">
        <x:v>38083</x:v>
      </x:c>
      <x:c r="I753" s="7" t="n">
        <x:v>38062</x:v>
      </x:c>
      <x:c r="J753" s="2" t="str">
        <x:v>2025-01-16</x:v>
      </x:c>
      <x:c r="K753" s="7" t="n">
        <x:f>100*(H753/I753-1)</x:f>
        <x:v>0.055173138563402446</x:v>
      </x:c>
      <x:c r="L753" s="7" t="n">
        <x:f>ABS(K753)</x:f>
        <x:v>0.055173138563402446</x:v>
      </x:c>
      <x:c r="M753" s="2" t="str">
        <x:v>Yes</x:v>
      </x:c>
    </x:row>
    <x:row r="754" ht="27" customHeight="1">
      <x:c r="A754" s="2"/>
      <x:c r="B754" s="2" t="str">
        <x:v>RSHPCS</x:v>
      </x:c>
      <x:c r="C754" s="2" t="str">
        <x:v>2024-12-31</x:v>
      </x:c>
      <x:c r="D754" s="2" t="str">
        <x:v>Two months</x:v>
      </x:c>
      <x:c r="E754" s="2" t="str">
        <x:v>2024-12-17</x:v>
      </x:c>
      <x:c r="F754" s="2" t="str">
        <x:v>2024-12-01</x:v>
      </x:c>
      <x:c r="G754" s="2" t="str">
        <x:v>Recent trend</x:v>
      </x:c>
      <x:c r="H754" s="7" t="n">
        <x:v>37854</x:v>
      </x:c>
      <x:c r="I754" s="7" t="n">
        <x:v>38062</x:v>
      </x:c>
      <x:c r="J754" s="2" t="str">
        <x:v>2025-01-16</x:v>
      </x:c>
      <x:c r="K754" s="7" t="n">
        <x:f>100*(H754/I754-1)</x:f>
        <x:v>-0.5464768010088772</x:v>
      </x:c>
      <x:c r="L754" s="7" t="n">
        <x:f>ABS(K754)</x:f>
        <x:v>0.5464768010088772</x:v>
      </x:c>
      <x:c r="M754" s="2" t="str">
        <x:v>Yes</x:v>
      </x:c>
    </x:row>
    <x:row r="755" ht="27" customHeight="1">
      <x:c r="A755" s="2"/>
      <x:c r="B755" s="2" t="str">
        <x:v>RSHPCS</x:v>
      </x:c>
      <x:c r="C755" s="2" t="str">
        <x:v>2025-03-31</x:v>
      </x:c>
      <x:c r="D755" s="2" t="str">
        <x:v>Origin</x:v>
      </x:c>
      <x:c r="E755" s="2" t="str">
        <x:v>2025-01-01</x:v>
      </x:c>
      <x:c r="F755" s="2" t="str">
        <x:v>2025-01-01</x:v>
      </x:c>
      <x:c r="G755" s="2" t="str">
        <x:v>YoY carry</x:v>
      </x:c>
      <x:c r="H755" s="7" t="n">
        <x:v>37261.170025299754</x:v>
      </x:c>
      <x:c r="I755" s="7" t="n">
        <x:v>38122</x:v>
      </x:c>
      <x:c r="J755" s="2" t="str">
        <x:v>2025-02-14</x:v>
      </x:c>
      <x:c r="K755" s="7" t="n">
        <x:f>100*(H755/I755-1)</x:f>
        <x:v>-2.2580923736956193</x:v>
      </x:c>
      <x:c r="L755" s="7" t="n">
        <x:f>ABS(K755)</x:f>
        <x:v>2.2580923736956193</x:v>
      </x:c>
      <x:c r="M755" s="2" t="str">
        <x:v>Yes</x:v>
      </x:c>
    </x:row>
    <x:row r="756" ht="27" customHeight="1">
      <x:c r="A756" s="2"/>
      <x:c r="B756" s="2" t="str">
        <x:v>RSHPCS</x:v>
      </x:c>
      <x:c r="C756" s="2" t="str">
        <x:v>2025-03-31</x:v>
      </x:c>
      <x:c r="D756" s="2" t="str">
        <x:v>Origin</x:v>
      </x:c>
      <x:c r="E756" s="2" t="str">
        <x:v>2025-01-01</x:v>
      </x:c>
      <x:c r="F756" s="2" t="str">
        <x:v>2025-02-01</x:v>
      </x:c>
      <x:c r="G756" s="2" t="str">
        <x:v>YoY carry</x:v>
      </x:c>
      <x:c r="H756" s="7" t="n">
        <x:v>37188.114960218256</x:v>
      </x:c>
      <x:c r="I756" s="7" t="n">
        <x:v>38627</x:v>
      </x:c>
      <x:c r="J756" s="2" t="str">
        <x:v>2025-03-17</x:v>
      </x:c>
      <x:c r="K756" s="7" t="n">
        <x:f>100*(H756/I756-1)</x:f>
        <x:v>-3.7250758272238227</x:v>
      </x:c>
      <x:c r="L756" s="7" t="n">
        <x:f>ABS(K756)</x:f>
        <x:v>3.7250758272238227</x:v>
      </x:c>
      <x:c r="M756" s="2" t="str">
        <x:v>Yes</x:v>
      </x:c>
    </x:row>
    <x:row r="757" ht="27" customHeight="1">
      <x:c r="A757" s="2"/>
      <x:c r="B757" s="2" t="str">
        <x:v>RSHPCS</x:v>
      </x:c>
      <x:c r="C757" s="2" t="str">
        <x:v>2025-03-31</x:v>
      </x:c>
      <x:c r="D757" s="2" t="str">
        <x:v>Origin</x:v>
      </x:c>
      <x:c r="E757" s="2" t="str">
        <x:v>2025-01-01</x:v>
      </x:c>
      <x:c r="F757" s="2" t="str">
        <x:v>2025-03-01</x:v>
      </x:c>
      <x:c r="G757" s="2" t="str">
        <x:v>YoY carry</x:v>
      </x:c>
      <x:c r="H757" s="7" t="n">
        <x:v>37249.85163493502</x:v>
      </x:c>
      <x:c r="I757" s="7" t="n">
        <x:v>38921</x:v>
      </x:c>
      <x:c r="J757" s="2" t="str">
        <x:v>2025-04-16</x:v>
      </x:c>
      <x:c r="K757" s="7" t="n">
        <x:f>100*(H757/I757-1)</x:f>
        <x:v>-4.2936932891369235</x:v>
      </x:c>
      <x:c r="L757" s="7" t="n">
        <x:f>ABS(K757)</x:f>
        <x:v>4.2936932891369235</x:v>
      </x:c>
      <x:c r="M757" s="2" t="str">
        <x:v>Yes</x:v>
      </x:c>
    </x:row>
    <x:row r="758" ht="27" customHeight="1">
      <x:c r="A758" s="2"/>
      <x:c r="B758" s="2" t="str">
        <x:v>RSHPCS</x:v>
      </x:c>
      <x:c r="C758" s="2" t="str">
        <x:v>2025-03-31</x:v>
      </x:c>
      <x:c r="D758" s="2" t="str">
        <x:v>Origin</x:v>
      </x:c>
      <x:c r="E758" s="2" t="str">
        <x:v>2025-01-01</x:v>
      </x:c>
      <x:c r="F758" s="2" t="str">
        <x:v>2025-01-01</x:v>
      </x:c>
      <x:c r="G758" s="2" t="str">
        <x:v>Flat level</x:v>
      </x:c>
      <x:c r="H758" s="7" t="n">
        <x:v>38083</x:v>
      </x:c>
      <x:c r="I758" s="7" t="n">
        <x:v>38122</x:v>
      </x:c>
      <x:c r="J758" s="2" t="str">
        <x:v>2025-02-14</x:v>
      </x:c>
      <x:c r="K758" s="7" t="n">
        <x:f>100*(H758/I758-1)</x:f>
        <x:v>-0.1023031320497303</x:v>
      </x:c>
      <x:c r="L758" s="7" t="n">
        <x:f>ABS(K758)</x:f>
        <x:v>0.1023031320497303</x:v>
      </x:c>
      <x:c r="M758" s="2" t="str">
        <x:v>Yes</x:v>
      </x:c>
    </x:row>
    <x:row r="759" ht="27" customHeight="1">
      <x:c r="A759" s="2"/>
      <x:c r="B759" s="2" t="str">
        <x:v>RSHPCS</x:v>
      </x:c>
      <x:c r="C759" s="2" t="str">
        <x:v>2025-03-31</x:v>
      </x:c>
      <x:c r="D759" s="2" t="str">
        <x:v>Origin</x:v>
      </x:c>
      <x:c r="E759" s="2" t="str">
        <x:v>2025-01-01</x:v>
      </x:c>
      <x:c r="F759" s="2" t="str">
        <x:v>2025-02-01</x:v>
      </x:c>
      <x:c r="G759" s="2" t="str">
        <x:v>Flat level</x:v>
      </x:c>
      <x:c r="H759" s="7" t="n">
        <x:v>38083</x:v>
      </x:c>
      <x:c r="I759" s="7" t="n">
        <x:v>38627</x:v>
      </x:c>
      <x:c r="J759" s="2" t="str">
        <x:v>2025-03-17</x:v>
      </x:c>
      <x:c r="K759" s="7" t="n">
        <x:f>100*(H759/I759-1)</x:f>
        <x:v>-1.4083413156600333</x:v>
      </x:c>
      <x:c r="L759" s="7" t="n">
        <x:f>ABS(K759)</x:f>
        <x:v>1.4083413156600333</x:v>
      </x:c>
      <x:c r="M759" s="2" t="str">
        <x:v>Yes</x:v>
      </x:c>
    </x:row>
    <x:row r="760" ht="27" customHeight="1">
      <x:c r="A760" s="2"/>
      <x:c r="B760" s="2" t="str">
        <x:v>RSHPCS</x:v>
      </x:c>
      <x:c r="C760" s="2" t="str">
        <x:v>2025-03-31</x:v>
      </x:c>
      <x:c r="D760" s="2" t="str">
        <x:v>Origin</x:v>
      </x:c>
      <x:c r="E760" s="2" t="str">
        <x:v>2025-01-01</x:v>
      </x:c>
      <x:c r="F760" s="2" t="str">
        <x:v>2025-03-01</x:v>
      </x:c>
      <x:c r="G760" s="2" t="str">
        <x:v>Flat level</x:v>
      </x:c>
      <x:c r="H760" s="7" t="n">
        <x:v>38083</x:v>
      </x:c>
      <x:c r="I760" s="7" t="n">
        <x:v>38921</x:v>
      </x:c>
      <x:c r="J760" s="2" t="str">
        <x:v>2025-04-16</x:v>
      </x:c>
      <x:c r="K760" s="7" t="n">
        <x:f>100*(H760/I760-1)</x:f>
        <x:v>-2.1530793145088767</x:v>
      </x:c>
      <x:c r="L760" s="7" t="n">
        <x:f>ABS(K760)</x:f>
        <x:v>2.1530793145088767</x:v>
      </x:c>
      <x:c r="M760" s="2" t="str">
        <x:v>Yes</x:v>
      </x:c>
    </x:row>
    <x:row r="761" ht="27" customHeight="1">
      <x:c r="A761" s="2"/>
      <x:c r="B761" s="2" t="str">
        <x:v>RSHPCS</x:v>
      </x:c>
      <x:c r="C761" s="2" t="str">
        <x:v>2025-03-31</x:v>
      </x:c>
      <x:c r="D761" s="2" t="str">
        <x:v>Origin</x:v>
      </x:c>
      <x:c r="E761" s="2" t="str">
        <x:v>2025-01-01</x:v>
      </x:c>
      <x:c r="F761" s="2" t="str">
        <x:v>2025-01-01</x:v>
      </x:c>
      <x:c r="G761" s="2" t="str">
        <x:v>Recent trend</x:v>
      </x:c>
      <x:c r="H761" s="7" t="n">
        <x:v>37625</x:v>
      </x:c>
      <x:c r="I761" s="7" t="n">
        <x:v>38122</x:v>
      </x:c>
      <x:c r="J761" s="2" t="str">
        <x:v>2025-02-14</x:v>
      </x:c>
      <x:c r="K761" s="7" t="n">
        <x:f>100*(H761/I761-1)</x:f>
        <x:v>-1.303709144326115</x:v>
      </x:c>
      <x:c r="L761" s="7" t="n">
        <x:f>ABS(K761)</x:f>
        <x:v>1.303709144326115</x:v>
      </x:c>
      <x:c r="M761" s="2" t="str">
        <x:v>Yes</x:v>
      </x:c>
    </x:row>
    <x:row r="762" ht="27" customHeight="1">
      <x:c r="A762" s="2"/>
      <x:c r="B762" s="2" t="str">
        <x:v>RSHPCS</x:v>
      </x:c>
      <x:c r="C762" s="2" t="str">
        <x:v>2025-03-31</x:v>
      </x:c>
      <x:c r="D762" s="2" t="str">
        <x:v>Origin</x:v>
      </x:c>
      <x:c r="E762" s="2" t="str">
        <x:v>2025-01-01</x:v>
      </x:c>
      <x:c r="F762" s="2" t="str">
        <x:v>2025-02-01</x:v>
      </x:c>
      <x:c r="G762" s="2" t="str">
        <x:v>Recent trend</x:v>
      </x:c>
      <x:c r="H762" s="7" t="n">
        <x:v>37396</x:v>
      </x:c>
      <x:c r="I762" s="7" t="n">
        <x:v>38627</x:v>
      </x:c>
      <x:c r="J762" s="2" t="str">
        <x:v>2025-03-17</x:v>
      </x:c>
      <x:c r="K762" s="7" t="n">
        <x:f>100*(H762/I762-1)</x:f>
        <x:v>-3.1868899992233413</x:v>
      </x:c>
      <x:c r="L762" s="7" t="n">
        <x:f>ABS(K762)</x:f>
        <x:v>3.1868899992233413</x:v>
      </x:c>
      <x:c r="M762" s="2" t="str">
        <x:v>Yes</x:v>
      </x:c>
    </x:row>
    <x:row r="763" ht="27" customHeight="1">
      <x:c r="A763" s="2"/>
      <x:c r="B763" s="2" t="str">
        <x:v>RSHPCS</x:v>
      </x:c>
      <x:c r="C763" s="2" t="str">
        <x:v>2025-03-31</x:v>
      </x:c>
      <x:c r="D763" s="2" t="str">
        <x:v>Origin</x:v>
      </x:c>
      <x:c r="E763" s="2" t="str">
        <x:v>2025-01-01</x:v>
      </x:c>
      <x:c r="F763" s="2" t="str">
        <x:v>2025-03-01</x:v>
      </x:c>
      <x:c r="G763" s="2" t="str">
        <x:v>Recent trend</x:v>
      </x:c>
      <x:c r="H763" s="7" t="n">
        <x:v>37167</x:v>
      </x:c>
      <x:c r="I763" s="7" t="n">
        <x:v>38921</x:v>
      </x:c>
      <x:c r="J763" s="2" t="str">
        <x:v>2025-04-16</x:v>
      </x:c>
      <x:c r="K763" s="7" t="n">
        <x:f>100*(H763/I763-1)</x:f>
        <x:v>-4.506564579532901</x:v>
      </x:c>
      <x:c r="L763" s="7" t="n">
        <x:f>ABS(K763)</x:f>
        <x:v>4.506564579532901</x:v>
      </x:c>
      <x:c r="M763" s="2" t="str">
        <x:v>Yes</x:v>
      </x:c>
    </x:row>
    <x:row r="764" ht="27" customHeight="1">
      <x:c r="A764" s="2"/>
      <x:c r="B764" s="2" t="str">
        <x:v>RSHPCS</x:v>
      </x:c>
      <x:c r="C764" s="2" t="str">
        <x:v>2025-03-31</x:v>
      </x:c>
      <x:c r="D764" s="2" t="str">
        <x:v>One month</x:v>
      </x:c>
      <x:c r="E764" s="2" t="str">
        <x:v>2025-02-14</x:v>
      </x:c>
      <x:c r="F764" s="2" t="str">
        <x:v>2025-02-01</x:v>
      </x:c>
      <x:c r="G764" s="2" t="str">
        <x:v>YoY carry</x:v>
      </x:c>
      <x:c r="H764" s="7" t="n">
        <x:v>37508.50594836257</x:v>
      </x:c>
      <x:c r="I764" s="7" t="n">
        <x:v>38627</x:v>
      </x:c>
      <x:c r="J764" s="2" t="str">
        <x:v>2025-03-17</x:v>
      </x:c>
      <x:c r="K764" s="7" t="n">
        <x:f>100*(H764/I764-1)</x:f>
        <x:v>-2.8956275445606305</x:v>
      </x:c>
      <x:c r="L764" s="7" t="n">
        <x:f>ABS(K764)</x:f>
        <x:v>2.8956275445606305</x:v>
      </x:c>
      <x:c r="M764" s="2" t="str">
        <x:v>Yes</x:v>
      </x:c>
    </x:row>
    <x:row r="765" ht="27" customHeight="1">
      <x:c r="A765" s="2"/>
      <x:c r="B765" s="2" t="str">
        <x:v>RSHPCS</x:v>
      </x:c>
      <x:c r="C765" s="2" t="str">
        <x:v>2025-03-31</x:v>
      </x:c>
      <x:c r="D765" s="2" t="str">
        <x:v>One month</x:v>
      </x:c>
      <x:c r="E765" s="2" t="str">
        <x:v>2025-02-14</x:v>
      </x:c>
      <x:c r="F765" s="2" t="str">
        <x:v>2025-03-01</x:v>
      </x:c>
      <x:c r="G765" s="2" t="str">
        <x:v>YoY carry</x:v>
      </x:c>
      <x:c r="H765" s="7" t="n">
        <x:v>37570.77451006092</x:v>
      </x:c>
      <x:c r="I765" s="7" t="n">
        <x:v>38921</x:v>
      </x:c>
      <x:c r="J765" s="2" t="str">
        <x:v>2025-04-16</x:v>
      </x:c>
      <x:c r="K765" s="7" t="n">
        <x:f>100*(H765/I765-1)</x:f>
        <x:v>-3.4691438810387276</x:v>
      </x:c>
      <x:c r="L765" s="7" t="n">
        <x:f>ABS(K765)</x:f>
        <x:v>3.4691438810387276</x:v>
      </x:c>
      <x:c r="M765" s="2" t="str">
        <x:v>Yes</x:v>
      </x:c>
    </x:row>
    <x:row r="766" ht="27" customHeight="1">
      <x:c r="A766" s="2"/>
      <x:c r="B766" s="2" t="str">
        <x:v>RSHPCS</x:v>
      </x:c>
      <x:c r="C766" s="2" t="str">
        <x:v>2025-03-31</x:v>
      </x:c>
      <x:c r="D766" s="2" t="str">
        <x:v>One month</x:v>
      </x:c>
      <x:c r="E766" s="2" t="str">
        <x:v>2025-02-14</x:v>
      </x:c>
      <x:c r="F766" s="2" t="str">
        <x:v>2025-02-01</x:v>
      </x:c>
      <x:c r="G766" s="2" t="str">
        <x:v>Flat level</x:v>
      </x:c>
      <x:c r="H766" s="7" t="n">
        <x:v>38122</x:v>
      </x:c>
      <x:c r="I766" s="7" t="n">
        <x:v>38627</x:v>
      </x:c>
      <x:c r="J766" s="2" t="str">
        <x:v>2025-03-17</x:v>
      </x:c>
      <x:c r="K766" s="7" t="n">
        <x:f>100*(H766/I766-1)</x:f>
        <x:v>-1.307375669868227</x:v>
      </x:c>
      <x:c r="L766" s="7" t="n">
        <x:f>ABS(K766)</x:f>
        <x:v>1.307375669868227</x:v>
      </x:c>
      <x:c r="M766" s="2" t="str">
        <x:v>Yes</x:v>
      </x:c>
    </x:row>
    <x:row r="767" ht="27" customHeight="1">
      <x:c r="A767" s="2"/>
      <x:c r="B767" s="2" t="str">
        <x:v>RSHPCS</x:v>
      </x:c>
      <x:c r="C767" s="2" t="str">
        <x:v>2025-03-31</x:v>
      </x:c>
      <x:c r="D767" s="2" t="str">
        <x:v>One month</x:v>
      </x:c>
      <x:c r="E767" s="2" t="str">
        <x:v>2025-02-14</x:v>
      </x:c>
      <x:c r="F767" s="2" t="str">
        <x:v>2025-03-01</x:v>
      </x:c>
      <x:c r="G767" s="2" t="str">
        <x:v>Flat level</x:v>
      </x:c>
      <x:c r="H767" s="7" t="n">
        <x:v>38122</x:v>
      </x:c>
      <x:c r="I767" s="7" t="n">
        <x:v>38921</x:v>
      </x:c>
      <x:c r="J767" s="2" t="str">
        <x:v>2025-04-16</x:v>
      </x:c>
      <x:c r="K767" s="7" t="n">
        <x:f>100*(H767/I767-1)</x:f>
        <x:v>-2.0528763392513083</x:v>
      </x:c>
      <x:c r="L767" s="7" t="n">
        <x:f>ABS(K767)</x:f>
        <x:v>2.0528763392513083</x:v>
      </x:c>
      <x:c r="M767" s="2" t="str">
        <x:v>Yes</x:v>
      </x:c>
    </x:row>
    <x:row r="768" ht="27" customHeight="1">
      <x:c r="A768" s="2"/>
      <x:c r="B768" s="2" t="str">
        <x:v>RSHPCS</x:v>
      </x:c>
      <x:c r="C768" s="2" t="str">
        <x:v>2025-03-31</x:v>
      </x:c>
      <x:c r="D768" s="2" t="str">
        <x:v>One month</x:v>
      </x:c>
      <x:c r="E768" s="2" t="str">
        <x:v>2025-02-14</x:v>
      </x:c>
      <x:c r="F768" s="2" t="str">
        <x:v>2025-02-01</x:v>
      </x:c>
      <x:c r="G768" s="2" t="str">
        <x:v>Recent trend</x:v>
      </x:c>
      <x:c r="H768" s="7" t="n">
        <x:v>38098</x:v>
      </x:c>
      <x:c r="I768" s="7" t="n">
        <x:v>38627</x:v>
      </x:c>
      <x:c r="J768" s="2" t="str">
        <x:v>2025-03-17</x:v>
      </x:c>
      <x:c r="K768" s="7" t="n">
        <x:f>100*(H768/I768-1)</x:f>
        <x:v>-1.3695083749708736</x:v>
      </x:c>
      <x:c r="L768" s="7" t="n">
        <x:f>ABS(K768)</x:f>
        <x:v>1.3695083749708736</x:v>
      </x:c>
      <x:c r="M768" s="2" t="str">
        <x:v>Yes</x:v>
      </x:c>
    </x:row>
    <x:row r="769" ht="27" customHeight="1">
      <x:c r="A769" s="2"/>
      <x:c r="B769" s="2" t="str">
        <x:v>RSHPCS</x:v>
      </x:c>
      <x:c r="C769" s="2" t="str">
        <x:v>2025-03-31</x:v>
      </x:c>
      <x:c r="D769" s="2" t="str">
        <x:v>One month</x:v>
      </x:c>
      <x:c r="E769" s="2" t="str">
        <x:v>2025-02-14</x:v>
      </x:c>
      <x:c r="F769" s="2" t="str">
        <x:v>2025-03-01</x:v>
      </x:c>
      <x:c r="G769" s="2" t="str">
        <x:v>Recent trend</x:v>
      </x:c>
      <x:c r="H769" s="7" t="n">
        <x:v>38074</x:v>
      </x:c>
      <x:c r="I769" s="7" t="n">
        <x:v>38921</x:v>
      </x:c>
      <x:c r="J769" s="2" t="str">
        <x:v>2025-04-16</x:v>
      </x:c>
      <x:c r="K769" s="7" t="n">
        <x:f>100*(H769/I769-1)</x:f>
        <x:v>-2.176203078029859</x:v>
      </x:c>
      <x:c r="L769" s="7" t="n">
        <x:f>ABS(K769)</x:f>
        <x:v>2.176203078029859</x:v>
      </x:c>
      <x:c r="M769" s="2" t="str">
        <x:v>Yes</x:v>
      </x:c>
    </x:row>
    <x:row r="770" ht="27" customHeight="1">
      <x:c r="A770" s="2"/>
      <x:c r="B770" s="2" t="str">
        <x:v>RSHPCS</x:v>
      </x:c>
      <x:c r="C770" s="2" t="str">
        <x:v>2025-03-31</x:v>
      </x:c>
      <x:c r="D770" s="2" t="str">
        <x:v>Two months</x:v>
      </x:c>
      <x:c r="E770" s="2" t="str">
        <x:v>2025-03-17</x:v>
      </x:c>
      <x:c r="F770" s="2" t="str">
        <x:v>2025-03-01</x:v>
      </x:c>
      <x:c r="G770" s="2" t="str">
        <x:v>YoY carry</x:v>
      </x:c>
      <x:c r="H770" s="7" t="n">
        <x:v>38109.0226384215</x:v>
      </x:c>
      <x:c r="I770" s="7" t="n">
        <x:v>38921</x:v>
      </x:c>
      <x:c r="J770" s="2" t="str">
        <x:v>2025-04-16</x:v>
      </x:c>
      <x:c r="K770" s="7" t="n">
        <x:f>100*(H770/I770-1)</x:f>
        <x:v>-2.086219165947689</x:v>
      </x:c>
      <x:c r="L770" s="7" t="n">
        <x:f>ABS(K770)</x:f>
        <x:v>2.086219165947689</x:v>
      </x:c>
      <x:c r="M770" s="2" t="str">
        <x:v>Yes</x:v>
      </x:c>
    </x:row>
    <x:row r="771" ht="27" customHeight="1">
      <x:c r="A771" s="2"/>
      <x:c r="B771" s="2" t="str">
        <x:v>RSHPCS</x:v>
      </x:c>
      <x:c r="C771" s="2" t="str">
        <x:v>2025-03-31</x:v>
      </x:c>
      <x:c r="D771" s="2" t="str">
        <x:v>Two months</x:v>
      </x:c>
      <x:c r="E771" s="2" t="str">
        <x:v>2025-03-17</x:v>
      </x:c>
      <x:c r="F771" s="2" t="str">
        <x:v>2025-03-01</x:v>
      </x:c>
      <x:c r="G771" s="2" t="str">
        <x:v>Flat level</x:v>
      </x:c>
      <x:c r="H771" s="7" t="n">
        <x:v>38627</x:v>
      </x:c>
      <x:c r="I771" s="7" t="n">
        <x:v>38921</x:v>
      </x:c>
      <x:c r="J771" s="2" t="str">
        <x:v>2025-04-16</x:v>
      </x:c>
      <x:c r="K771" s="7" t="n">
        <x:f>100*(H771/I771-1)</x:f>
        <x:v>-0.7553762750186266</x:v>
      </x:c>
      <x:c r="L771" s="7" t="n">
        <x:f>ABS(K771)</x:f>
        <x:v>0.7553762750186266</x:v>
      </x:c>
      <x:c r="M771" s="2" t="str">
        <x:v>Yes</x:v>
      </x:c>
    </x:row>
    <x:row r="772" ht="27" customHeight="1">
      <x:c r="A772" s="2"/>
      <x:c r="B772" s="2" t="str">
        <x:v>RSHPCS</x:v>
      </x:c>
      <x:c r="C772" s="2" t="str">
        <x:v>2025-03-31</x:v>
      </x:c>
      <x:c r="D772" s="2" t="str">
        <x:v>Two months</x:v>
      </x:c>
      <x:c r="E772" s="2" t="str">
        <x:v>2025-03-17</x:v>
      </x:c>
      <x:c r="F772" s="2" t="str">
        <x:v>2025-03-01</x:v>
      </x:c>
      <x:c r="G772" s="2" t="str">
        <x:v>Recent trend</x:v>
      </x:c>
      <x:c r="H772" s="7" t="n">
        <x:v>38739</x:v>
      </x:c>
      <x:c r="I772" s="7" t="n">
        <x:v>38921</x:v>
      </x:c>
      <x:c r="J772" s="2" t="str">
        <x:v>2025-04-16</x:v>
      </x:c>
      <x:c r="K772" s="7" t="n">
        <x:f>100*(H772/I772-1)</x:f>
        <x:v>-0.467613884535345</x:v>
      </x:c>
      <x:c r="L772" s="7" t="n">
        <x:f>ABS(K772)</x:f>
        <x:v>0.467613884535345</x:v>
      </x:c>
      <x:c r="M772" s="2" t="str">
        <x:v>Yes</x:v>
      </x:c>
    </x:row>
    <x:row r="773" ht="27" customHeight="1">
      <x:c r="A773" s="2"/>
      <x:c r="B773" s="2" t="str">
        <x:v>RSHPCS</x:v>
      </x:c>
      <x:c r="C773" s="2" t="str">
        <x:v>2025-06-30</x:v>
      </x:c>
      <x:c r="D773" s="2" t="str">
        <x:v>Origin</x:v>
      </x:c>
      <x:c r="E773" s="2" t="str">
        <x:v>2025-04-01</x:v>
      </x:c>
      <x:c r="F773" s="2" t="str">
        <x:v>2025-04-01</x:v>
      </x:c>
      <x:c r="G773" s="2" t="str">
        <x:v>YoY carry</x:v>
      </x:c>
      <x:c r="H773" s="7" t="n">
        <x:v>38019.5450702135</x:v>
      </x:c>
      <x:c r="I773" s="7" t="n">
        <x:v>38872</x:v>
      </x:c>
      <x:c r="J773" s="2" t="str">
        <x:v>2025-05-15</x:v>
      </x:c>
      <x:c r="K773" s="7" t="n">
        <x:f>100*(H773/I773-1)</x:f>
        <x:v>-2.1929793419080634</x:v>
      </x:c>
      <x:c r="L773" s="7" t="n">
        <x:f>ABS(K773)</x:f>
        <x:v>2.1929793419080634</x:v>
      </x:c>
      <x:c r="M773" s="2" t="str">
        <x:v>Yes</x:v>
      </x:c>
    </x:row>
    <x:row r="774" ht="27" customHeight="1">
      <x:c r="A774" s="2"/>
      <x:c r="B774" s="2" t="str">
        <x:v>RSHPCS</x:v>
      </x:c>
      <x:c r="C774" s="2" t="str">
        <x:v>2025-06-30</x:v>
      </x:c>
      <x:c r="D774" s="2" t="str">
        <x:v>Origin</x:v>
      </x:c>
      <x:c r="E774" s="2" t="str">
        <x:v>2025-04-01</x:v>
      </x:c>
      <x:c r="F774" s="2" t="str">
        <x:v>2025-05-01</x:v>
      </x:c>
      <x:c r="G774" s="2" t="str">
        <x:v>YoY carry</x:v>
      </x:c>
      <x:c r="H774" s="7" t="n">
        <x:v>38600.622924928946</x:v>
      </x:c>
      <x:c r="I774" s="7" t="n">
        <x:v>38807</x:v>
      </x:c>
      <x:c r="J774" s="2" t="str">
        <x:v>2025-06-17</x:v>
      </x:c>
      <x:c r="K774" s="7" t="n">
        <x:f>100*(H774/I774-1)</x:f>
        <x:v>-0.5318037340455439</x:v>
      </x:c>
      <x:c r="L774" s="7" t="n">
        <x:f>ABS(K774)</x:f>
        <x:v>0.5318037340455439</x:v>
      </x:c>
      <x:c r="M774" s="2" t="str">
        <x:v>Yes</x:v>
      </x:c>
    </x:row>
    <x:row r="775" ht="27" customHeight="1">
      <x:c r="A775" s="2"/>
      <x:c r="B775" s="2" t="str">
        <x:v>RSHPCS</x:v>
      </x:c>
      <x:c r="C775" s="2" t="str">
        <x:v>2025-06-30</x:v>
      </x:c>
      <x:c r="D775" s="2" t="str">
        <x:v>Origin</x:v>
      </x:c>
      <x:c r="E775" s="2" t="str">
        <x:v>2025-04-01</x:v>
      </x:c>
      <x:c r="F775" s="2" t="str">
        <x:v>2025-06-01</x:v>
      </x:c>
      <x:c r="G775" s="2" t="str">
        <x:v>YoY carry</x:v>
      </x:c>
      <x:c r="H775" s="7" t="n">
        <x:v>38855.370825003476</x:v>
      </x:c>
      <x:c r="I775" s="7" t="n">
        <x:v>39035</x:v>
      </x:c>
      <x:c r="J775" s="2" t="str">
        <x:v>2025-07-17</x:v>
      </x:c>
      <x:c r="K775" s="7" t="n">
        <x:f>100*(H775/I775-1)</x:f>
        <x:v>-0.46017465094536636</x:v>
      </x:c>
      <x:c r="L775" s="7" t="n">
        <x:f>ABS(K775)</x:f>
        <x:v>0.46017465094536636</x:v>
      </x:c>
      <x:c r="M775" s="2" t="str">
        <x:v>Yes</x:v>
      </x:c>
    </x:row>
    <x:row r="776" ht="27" customHeight="1">
      <x:c r="A776" s="2"/>
      <x:c r="B776" s="2" t="str">
        <x:v>RSHPCS</x:v>
      </x:c>
      <x:c r="C776" s="2" t="str">
        <x:v>2025-06-30</x:v>
      </x:c>
      <x:c r="D776" s="2" t="str">
        <x:v>Origin</x:v>
      </x:c>
      <x:c r="E776" s="2" t="str">
        <x:v>2025-04-01</x:v>
      </x:c>
      <x:c r="F776" s="2" t="str">
        <x:v>2025-04-01</x:v>
      </x:c>
      <x:c r="G776" s="2" t="str">
        <x:v>Flat level</x:v>
      </x:c>
      <x:c r="H776" s="7" t="n">
        <x:v>38627</x:v>
      </x:c>
      <x:c r="I776" s="7" t="n">
        <x:v>38872</x:v>
      </x:c>
      <x:c r="J776" s="2" t="str">
        <x:v>2025-05-15</x:v>
      </x:c>
      <x:c r="K776" s="7" t="n">
        <x:f>100*(H776/I776-1)</x:f>
        <x:v>-0.6302737188721985</x:v>
      </x:c>
      <x:c r="L776" s="7" t="n">
        <x:f>ABS(K776)</x:f>
        <x:v>0.6302737188721985</x:v>
      </x:c>
      <x:c r="M776" s="2" t="str">
        <x:v>Yes</x:v>
      </x:c>
    </x:row>
    <x:row r="777" ht="27" customHeight="1">
      <x:c r="A777" s="2"/>
      <x:c r="B777" s="2" t="str">
        <x:v>RSHPCS</x:v>
      </x:c>
      <x:c r="C777" s="2" t="str">
        <x:v>2025-06-30</x:v>
      </x:c>
      <x:c r="D777" s="2" t="str">
        <x:v>Origin</x:v>
      </x:c>
      <x:c r="E777" s="2" t="str">
        <x:v>2025-04-01</x:v>
      </x:c>
      <x:c r="F777" s="2" t="str">
        <x:v>2025-05-01</x:v>
      </x:c>
      <x:c r="G777" s="2" t="str">
        <x:v>Flat level</x:v>
      </x:c>
      <x:c r="H777" s="7" t="n">
        <x:v>38627</x:v>
      </x:c>
      <x:c r="I777" s="7" t="n">
        <x:v>38807</x:v>
      </x:c>
      <x:c r="J777" s="2" t="str">
        <x:v>2025-06-17</x:v>
      </x:c>
      <x:c r="K777" s="7" t="n">
        <x:f>100*(H777/I777-1)</x:f>
        <x:v>-0.46383384440951136</x:v>
      </x:c>
      <x:c r="L777" s="7" t="n">
        <x:f>ABS(K777)</x:f>
        <x:v>0.46383384440951136</x:v>
      </x:c>
      <x:c r="M777" s="2" t="str">
        <x:v>Yes</x:v>
      </x:c>
    </x:row>
    <x:row r="778" ht="27" customHeight="1">
      <x:c r="A778" s="2"/>
      <x:c r="B778" s="2" t="str">
        <x:v>RSHPCS</x:v>
      </x:c>
      <x:c r="C778" s="2" t="str">
        <x:v>2025-06-30</x:v>
      </x:c>
      <x:c r="D778" s="2" t="str">
        <x:v>Origin</x:v>
      </x:c>
      <x:c r="E778" s="2" t="str">
        <x:v>2025-04-01</x:v>
      </x:c>
      <x:c r="F778" s="2" t="str">
        <x:v>2025-06-01</x:v>
      </x:c>
      <x:c r="G778" s="2" t="str">
        <x:v>Flat level</x:v>
      </x:c>
      <x:c r="H778" s="7" t="n">
        <x:v>38627</x:v>
      </x:c>
      <x:c r="I778" s="7" t="n">
        <x:v>39035</x:v>
      </x:c>
      <x:c r="J778" s="2" t="str">
        <x:v>2025-07-17</x:v>
      </x:c>
      <x:c r="K778" s="7" t="n">
        <x:f>100*(H778/I778-1)</x:f>
        <x:v>-1.0452158319456895</x:v>
      </x:c>
      <x:c r="L778" s="7" t="n">
        <x:f>ABS(K778)</x:f>
        <x:v>1.0452158319456895</x:v>
      </x:c>
      <x:c r="M778" s="2" t="str">
        <x:v>Yes</x:v>
      </x:c>
    </x:row>
    <x:row r="779" ht="27" customHeight="1">
      <x:c r="A779" s="2"/>
      <x:c r="B779" s="2" t="str">
        <x:v>RSHPCS</x:v>
      </x:c>
      <x:c r="C779" s="2" t="str">
        <x:v>2025-06-30</x:v>
      </x:c>
      <x:c r="D779" s="2" t="str">
        <x:v>Origin</x:v>
      </x:c>
      <x:c r="E779" s="2" t="str">
        <x:v>2025-04-01</x:v>
      </x:c>
      <x:c r="F779" s="2" t="str">
        <x:v>2025-04-01</x:v>
      </x:c>
      <x:c r="G779" s="2" t="str">
        <x:v>Recent trend</x:v>
      </x:c>
      <x:c r="H779" s="7" t="n">
        <x:v>38851</x:v>
      </x:c>
      <x:c r="I779" s="7" t="n">
        <x:v>38872</x:v>
      </x:c>
      <x:c r="J779" s="2" t="str">
        <x:v>2025-05-15</x:v>
      </x:c>
      <x:c r="K779" s="7" t="n">
        <x:f>100*(H779/I779-1)</x:f>
        <x:v>-0.054023461617613844</x:v>
      </x:c>
      <x:c r="L779" s="7" t="n">
        <x:f>ABS(K779)</x:f>
        <x:v>0.054023461617613844</x:v>
      </x:c>
      <x:c r="M779" s="2" t="str">
        <x:v>Yes</x:v>
      </x:c>
    </x:row>
    <x:row r="780" ht="27" customHeight="1">
      <x:c r="A780" s="2"/>
      <x:c r="B780" s="2" t="str">
        <x:v>RSHPCS</x:v>
      </x:c>
      <x:c r="C780" s="2" t="str">
        <x:v>2025-06-30</x:v>
      </x:c>
      <x:c r="D780" s="2" t="str">
        <x:v>Origin</x:v>
      </x:c>
      <x:c r="E780" s="2" t="str">
        <x:v>2025-04-01</x:v>
      </x:c>
      <x:c r="F780" s="2" t="str">
        <x:v>2025-05-01</x:v>
      </x:c>
      <x:c r="G780" s="2" t="str">
        <x:v>Recent trend</x:v>
      </x:c>
      <x:c r="H780" s="7" t="n">
        <x:v>38963</x:v>
      </x:c>
      <x:c r="I780" s="7" t="n">
        <x:v>38807</x:v>
      </x:c>
      <x:c r="J780" s="2" t="str">
        <x:v>2025-06-17</x:v>
      </x:c>
      <x:c r="K780" s="7" t="n">
        <x:f>100*(H780/I780-1)</x:f>
        <x:v>0.4019893318215839</x:v>
      </x:c>
      <x:c r="L780" s="7" t="n">
        <x:f>ABS(K780)</x:f>
        <x:v>0.4019893318215839</x:v>
      </x:c>
      <x:c r="M780" s="2" t="str">
        <x:v>Yes</x:v>
      </x:c>
    </x:row>
    <x:row r="781" ht="27" customHeight="1">
      <x:c r="A781" s="2"/>
      <x:c r="B781" s="2" t="str">
        <x:v>RSHPCS</x:v>
      </x:c>
      <x:c r="C781" s="2" t="str">
        <x:v>2025-06-30</x:v>
      </x:c>
      <x:c r="D781" s="2" t="str">
        <x:v>Origin</x:v>
      </x:c>
      <x:c r="E781" s="2" t="str">
        <x:v>2025-04-01</x:v>
      </x:c>
      <x:c r="F781" s="2" t="str">
        <x:v>2025-06-01</x:v>
      </x:c>
      <x:c r="G781" s="2" t="str">
        <x:v>Recent trend</x:v>
      </x:c>
      <x:c r="H781" s="7" t="n">
        <x:v>39075</x:v>
      </x:c>
      <x:c r="I781" s="7" t="n">
        <x:v>39035</x:v>
      </x:c>
      <x:c r="J781" s="2" t="str">
        <x:v>2025-07-17</x:v>
      </x:c>
      <x:c r="K781" s="7" t="n">
        <x:f>100*(H781/I781-1)</x:f>
        <x:v>0.10247214038683339</x:v>
      </x:c>
      <x:c r="L781" s="7" t="n">
        <x:f>ABS(K781)</x:f>
        <x:v>0.10247214038683339</x:v>
      </x:c>
      <x:c r="M781" s="2" t="str">
        <x:v>Yes</x:v>
      </x:c>
    </x:row>
    <x:row r="782" ht="27" customHeight="1">
      <x:c r="A782" s="2"/>
      <x:c r="B782" s="2" t="str">
        <x:v>RSHPCS</x:v>
      </x:c>
      <x:c r="C782" s="2" t="str">
        <x:v>2025-06-30</x:v>
      </x:c>
      <x:c r="D782" s="2" t="str">
        <x:v>One month</x:v>
      </x:c>
      <x:c r="E782" s="2" t="str">
        <x:v>2025-05-15</x:v>
      </x:c>
      <x:c r="F782" s="2" t="str">
        <x:v>2025-05-01</x:v>
      </x:c>
      <x:c r="G782" s="2" t="str">
        <x:v>YoY carry</x:v>
      </x:c>
      <x:c r="H782" s="7" t="n">
        <x:v>39076.75293929407</x:v>
      </x:c>
      <x:c r="I782" s="7" t="n">
        <x:v>38807</x:v>
      </x:c>
      <x:c r="J782" s="2" t="str">
        <x:v>2025-06-17</x:v>
      </x:c>
      <x:c r="K782" s="7" t="n">
        <x:f>100*(H782/I782-1)</x:f>
        <x:v>0.6951141270751915</x:v>
      </x:c>
      <x:c r="L782" s="7" t="n">
        <x:f>ABS(K782)</x:f>
        <x:v>0.6951141270751915</x:v>
      </x:c>
      <x:c r="M782" s="2" t="str">
        <x:v>Yes</x:v>
      </x:c>
    </x:row>
    <x:row r="783" ht="27" customHeight="1">
      <x:c r="A783" s="2"/>
      <x:c r="B783" s="2" t="str">
        <x:v>RSHPCS</x:v>
      </x:c>
      <x:c r="C783" s="2" t="str">
        <x:v>2025-06-30</x:v>
      </x:c>
      <x:c r="D783" s="2" t="str">
        <x:v>One month</x:v>
      </x:c>
      <x:c r="E783" s="2" t="str">
        <x:v>2025-05-15</x:v>
      </x:c>
      <x:c r="F783" s="2" t="str">
        <x:v>2025-06-01</x:v>
      </x:c>
      <x:c r="G783" s="2" t="str">
        <x:v>YoY carry</x:v>
      </x:c>
      <x:c r="H783" s="7" t="n">
        <x:v>39188.58072193319</x:v>
      </x:c>
      <x:c r="I783" s="7" t="n">
        <x:v>39035</x:v>
      </x:c>
      <x:c r="J783" s="2" t="str">
        <x:v>2025-07-17</x:v>
      </x:c>
      <x:c r="K783" s="7" t="n">
        <x:f>100*(H783/I783-1)</x:f>
        <x:v>0.39344363246622827</x:v>
      </x:c>
      <x:c r="L783" s="7" t="n">
        <x:f>ABS(K783)</x:f>
        <x:v>0.39344363246622827</x:v>
      </x:c>
      <x:c r="M783" s="2" t="str">
        <x:v>Yes</x:v>
      </x:c>
    </x:row>
    <x:row r="784" ht="27" customHeight="1">
      <x:c r="A784" s="2"/>
      <x:c r="B784" s="2" t="str">
        <x:v>RSHPCS</x:v>
      </x:c>
      <x:c r="C784" s="2" t="str">
        <x:v>2025-06-30</x:v>
      </x:c>
      <x:c r="D784" s="2" t="str">
        <x:v>One month</x:v>
      </x:c>
      <x:c r="E784" s="2" t="str">
        <x:v>2025-05-15</x:v>
      </x:c>
      <x:c r="F784" s="2" t="str">
        <x:v>2025-05-01</x:v>
      </x:c>
      <x:c r="G784" s="2" t="str">
        <x:v>Flat level</x:v>
      </x:c>
      <x:c r="H784" s="7" t="n">
        <x:v>38872</x:v>
      </x:c>
      <x:c r="I784" s="7" t="n">
        <x:v>38807</x:v>
      </x:c>
      <x:c r="J784" s="2" t="str">
        <x:v>2025-06-17</x:v>
      </x:c>
      <x:c r="K784" s="7" t="n">
        <x:f>100*(H784/I784-1)</x:f>
        <x:v>0.16749555492565626</x:v>
      </x:c>
      <x:c r="L784" s="7" t="n">
        <x:f>ABS(K784)</x:f>
        <x:v>0.16749555492565626</x:v>
      </x:c>
      <x:c r="M784" s="2" t="str">
        <x:v>Yes</x:v>
      </x:c>
    </x:row>
    <x:row r="785" ht="27" customHeight="1">
      <x:c r="A785" s="2"/>
      <x:c r="B785" s="2" t="str">
        <x:v>RSHPCS</x:v>
      </x:c>
      <x:c r="C785" s="2" t="str">
        <x:v>2025-06-30</x:v>
      </x:c>
      <x:c r="D785" s="2" t="str">
        <x:v>One month</x:v>
      </x:c>
      <x:c r="E785" s="2" t="str">
        <x:v>2025-05-15</x:v>
      </x:c>
      <x:c r="F785" s="2" t="str">
        <x:v>2025-06-01</x:v>
      </x:c>
      <x:c r="G785" s="2" t="str">
        <x:v>Flat level</x:v>
      </x:c>
      <x:c r="H785" s="7" t="n">
        <x:v>38872</x:v>
      </x:c>
      <x:c r="I785" s="7" t="n">
        <x:v>39035</x:v>
      </x:c>
      <x:c r="J785" s="2" t="str">
        <x:v>2025-07-17</x:v>
      </x:c>
      <x:c r="K785" s="7" t="n">
        <x:f>100*(H785/I785-1)</x:f>
        <x:v>-0.41757397207634606</x:v>
      </x:c>
      <x:c r="L785" s="7" t="n">
        <x:f>ABS(K785)</x:f>
        <x:v>0.41757397207634606</x:v>
      </x:c>
      <x:c r="M785" s="2" t="str">
        <x:v>Yes</x:v>
      </x:c>
    </x:row>
    <x:row r="786" ht="27" customHeight="1">
      <x:c r="A786" s="2"/>
      <x:c r="B786" s="2" t="str">
        <x:v>RSHPCS</x:v>
      </x:c>
      <x:c r="C786" s="2" t="str">
        <x:v>2025-06-30</x:v>
      </x:c>
      <x:c r="D786" s="2" t="str">
        <x:v>One month</x:v>
      </x:c>
      <x:c r="E786" s="2" t="str">
        <x:v>2025-05-15</x:v>
      </x:c>
      <x:c r="F786" s="2" t="str">
        <x:v>2025-05-01</x:v>
      </x:c>
      <x:c r="G786" s="2" t="str">
        <x:v>Recent trend</x:v>
      </x:c>
      <x:c r="H786" s="7" t="n">
        <x:v>39023</x:v>
      </x:c>
      <x:c r="I786" s="7" t="n">
        <x:v>38807</x:v>
      </x:c>
      <x:c r="J786" s="2" t="str">
        <x:v>2025-06-17</x:v>
      </x:c>
      <x:c r="K786" s="7" t="n">
        <x:f>100*(H786/I786-1)</x:f>
        <x:v>0.5566006132914136</x:v>
      </x:c>
      <x:c r="L786" s="7" t="n">
        <x:f>ABS(K786)</x:f>
        <x:v>0.5566006132914136</x:v>
      </x:c>
      <x:c r="M786" s="2" t="str">
        <x:v>Yes</x:v>
      </x:c>
    </x:row>
    <x:row r="787" ht="27" customHeight="1">
      <x:c r="A787" s="2"/>
      <x:c r="B787" s="2" t="str">
        <x:v>RSHPCS</x:v>
      </x:c>
      <x:c r="C787" s="2" t="str">
        <x:v>2025-06-30</x:v>
      </x:c>
      <x:c r="D787" s="2" t="str">
        <x:v>One month</x:v>
      </x:c>
      <x:c r="E787" s="2" t="str">
        <x:v>2025-05-15</x:v>
      </x:c>
      <x:c r="F787" s="2" t="str">
        <x:v>2025-06-01</x:v>
      </x:c>
      <x:c r="G787" s="2" t="str">
        <x:v>Recent trend</x:v>
      </x:c>
      <x:c r="H787" s="7" t="n">
        <x:v>39174</x:v>
      </x:c>
      <x:c r="I787" s="7" t="n">
        <x:v>39035</x:v>
      </x:c>
      <x:c r="J787" s="2" t="str">
        <x:v>2025-07-17</x:v>
      </x:c>
      <x:c r="K787" s="7" t="n">
        <x:f>100*(H787/I787-1)</x:f>
        <x:v>0.3560906878442349</x:v>
      </x:c>
      <x:c r="L787" s="7" t="n">
        <x:f>ABS(K787)</x:f>
        <x:v>0.3560906878442349</x:v>
      </x:c>
      <x:c r="M787" s="2" t="str">
        <x:v>Yes</x:v>
      </x:c>
    </x:row>
    <x:row r="788" ht="27" customHeight="1">
      <x:c r="A788" s="2"/>
      <x:c r="B788" s="2" t="str">
        <x:v>RSHPCS</x:v>
      </x:c>
      <x:c r="C788" s="2" t="str">
        <x:v>2025-06-30</x:v>
      </x:c>
      <x:c r="D788" s="2" t="str">
        <x:v>Two months</x:v>
      </x:c>
      <x:c r="E788" s="2" t="str">
        <x:v>2025-06-17</x:v>
      </x:c>
      <x:c r="F788" s="2" t="str">
        <x:v>2025-06-01</x:v>
      </x:c>
      <x:c r="G788" s="2" t="str">
        <x:v>YoY carry</x:v>
      </x:c>
      <x:c r="H788" s="7" t="n">
        <x:v>39192.960370766516</x:v>
      </x:c>
      <x:c r="I788" s="7" t="n">
        <x:v>39035</x:v>
      </x:c>
      <x:c r="J788" s="2" t="str">
        <x:v>2025-07-17</x:v>
      </x:c>
      <x:c r="K788" s="7" t="n">
        <x:f>100*(H788/I788-1)</x:f>
        <x:v>0.40466343221856604</x:v>
      </x:c>
      <x:c r="L788" s="7" t="n">
        <x:f>ABS(K788)</x:f>
        <x:v>0.40466343221856604</x:v>
      </x:c>
      <x:c r="M788" s="2" t="str">
        <x:v>Yes</x:v>
      </x:c>
    </x:row>
    <x:row r="789" ht="27" customHeight="1">
      <x:c r="A789" s="2"/>
      <x:c r="B789" s="2" t="str">
        <x:v>RSHPCS</x:v>
      </x:c>
      <x:c r="C789" s="2" t="str">
        <x:v>2025-06-30</x:v>
      </x:c>
      <x:c r="D789" s="2" t="str">
        <x:v>Two months</x:v>
      </x:c>
      <x:c r="E789" s="2" t="str">
        <x:v>2025-06-17</x:v>
      </x:c>
      <x:c r="F789" s="2" t="str">
        <x:v>2025-06-01</x:v>
      </x:c>
      <x:c r="G789" s="2" t="str">
        <x:v>Flat level</x:v>
      </x:c>
      <x:c r="H789" s="7" t="n">
        <x:v>38807</x:v>
      </x:c>
      <x:c r="I789" s="7" t="n">
        <x:v>39035</x:v>
      </x:c>
      <x:c r="J789" s="2" t="str">
        <x:v>2025-07-17</x:v>
      </x:c>
      <x:c r="K789" s="7" t="n">
        <x:f>100*(H789/I789-1)</x:f>
        <x:v>-0.5840912002049392</x:v>
      </x:c>
      <x:c r="L789" s="7" t="n">
        <x:f>ABS(K789)</x:f>
        <x:v>0.5840912002049392</x:v>
      </x:c>
      <x:c r="M789" s="2" t="str">
        <x:v>Yes</x:v>
      </x:c>
    </x:row>
    <x:row r="790" ht="27" customHeight="1">
      <x:c r="A790" s="2"/>
      <x:c r="B790" s="2" t="str">
        <x:v>RSHPCS</x:v>
      </x:c>
      <x:c r="C790" s="2" t="str">
        <x:v>2025-06-30</x:v>
      </x:c>
      <x:c r="D790" s="2" t="str">
        <x:v>Two months</x:v>
      </x:c>
      <x:c r="E790" s="2" t="str">
        <x:v>2025-06-17</x:v>
      </x:c>
      <x:c r="F790" s="2" t="str">
        <x:v>2025-06-01</x:v>
      </x:c>
      <x:c r="G790" s="2" t="str">
        <x:v>Recent trend</x:v>
      </x:c>
      <x:c r="H790" s="7" t="n">
        <x:v>38716.5</x:v>
      </x:c>
      <x:c r="I790" s="7" t="n">
        <x:v>39035</x:v>
      </x:c>
      <x:c r="J790" s="2" t="str">
        <x:v>2025-07-17</x:v>
      </x:c>
      <x:c r="K790" s="7" t="n">
        <x:f>100*(H790/I790-1)</x:f>
        <x:v>-0.8159344178301553</x:v>
      </x:c>
      <x:c r="L790" s="7" t="n">
        <x:f>ABS(K790)</x:f>
        <x:v>0.8159344178301553</x:v>
      </x:c>
      <x:c r="M790" s="2" t="str">
        <x:v>Yes</x:v>
      </x:c>
    </x:row>
    <x:row r="791" ht="27" customHeight="1">
      <x:c r="A791" s="2"/>
      <x:c r="B791" s="2" t="str">
        <x:v>RSHPCS</x:v>
      </x:c>
      <x:c r="C791" s="2" t="str">
        <x:v>2025-09-30</x:v>
      </x:c>
      <x:c r="D791" s="2" t="str">
        <x:v>Origin</x:v>
      </x:c>
      <x:c r="E791" s="2" t="str">
        <x:v>2025-07-01</x:v>
      </x:c>
      <x:c r="F791" s="2" t="str">
        <x:v>2025-07-01</x:v>
      </x:c>
      <x:c r="G791" s="2" t="str">
        <x:v>YoY carry</x:v>
      </x:c>
      <x:c r="H791" s="7" t="n">
        <x:v>40921.598489903794</x:v>
      </x:c>
      <x:c r="I791" s="7" t="n">
        <x:v>39655</x:v>
      </x:c>
      <x:c r="J791" s="2" t="str">
        <x:v>2025-08-15</x:v>
      </x:c>
      <x:c r="K791" s="7" t="n">
        <x:f>100*(H791/I791-1)</x:f>
        <x:v>3.1940448616915695</x:v>
      </x:c>
      <x:c r="L791" s="7" t="n">
        <x:f>ABS(K791)</x:f>
        <x:v>3.1940448616915695</x:v>
      </x:c>
      <x:c r="M791" s="2" t="str">
        <x:v>Yes</x:v>
      </x:c>
    </x:row>
    <x:row r="792" ht="27" customHeight="1">
      <x:c r="A792" s="2"/>
      <x:c r="B792" s="2" t="str">
        <x:v>RSHPCS</x:v>
      </x:c>
      <x:c r="C792" s="2" t="str">
        <x:v>2025-09-30</x:v>
      </x:c>
      <x:c r="D792" s="2" t="str">
        <x:v>Origin</x:v>
      </x:c>
      <x:c r="E792" s="2" t="str">
        <x:v>2025-07-01</x:v>
      </x:c>
      <x:c r="F792" s="2" t="str">
        <x:v>2025-08-01</x:v>
      </x:c>
      <x:c r="G792" s="2" t="str">
        <x:v>YoY carry</x:v>
      </x:c>
      <x:c r="H792" s="7" t="n">
        <x:v>40952.0016729037</x:v>
      </x:c>
      <x:c r="I792" s="7" t="n">
        <x:v>39644</x:v>
      </x:c>
      <x:c r="J792" s="2" t="str">
        <x:v>2025-09-16</x:v>
      </x:c>
      <x:c r="K792" s="7" t="n">
        <x:f>100*(H792/I792-1)</x:f>
        <x:v>3.299368562465199</x:v>
      </x:c>
      <x:c r="L792" s="7" t="n">
        <x:f>ABS(K792)</x:f>
        <x:v>3.299368562465199</x:v>
      </x:c>
      <x:c r="M792" s="2" t="str">
        <x:v>Yes</x:v>
      </x:c>
    </x:row>
    <x:row r="793" ht="27" customHeight="1">
      <x:c r="A793" s="2"/>
      <x:c r="B793" s="2" t="str">
        <x:v>RSHPCS</x:v>
      </x:c>
      <x:c r="C793" s="2" t="str">
        <x:v>2025-09-30</x:v>
      </x:c>
      <x:c r="D793" s="2" t="str">
        <x:v>Origin</x:v>
      </x:c>
      <x:c r="E793" s="2" t="str">
        <x:v>2025-07-01</x:v>
      </x:c>
      <x:c r="F793" s="2" t="str">
        <x:v>2025-09-01</x:v>
      </x:c>
      <x:c r="G793" s="2" t="str">
        <x:v>YoY carry</x:v>
      </x:c>
      <x:c r="H793" s="7" t="n">
        <x:v>41865.18299086504</x:v>
      </x:c>
      <x:c r="I793" s="7" t="n">
        <x:v>40584</x:v>
      </x:c>
      <x:c r="J793" s="2" t="str">
        <x:v>2025-11-25</x:v>
      </x:c>
      <x:c r="K793" s="7" t="n">
        <x:f>100*(H793/I793-1)</x:f>
        <x:v>3.156867215811743</x:v>
      </x:c>
      <x:c r="L793" s="7" t="n">
        <x:f>ABS(K793)</x:f>
        <x:v>3.156867215811743</x:v>
      </x:c>
      <x:c r="M793" s="2" t="str">
        <x:v>Yes</x:v>
      </x:c>
    </x:row>
    <x:row r="794" ht="27" customHeight="1">
      <x:c r="A794" s="2"/>
      <x:c r="B794" s="2" t="str">
        <x:v>RSHPCS</x:v>
      </x:c>
      <x:c r="C794" s="2" t="str">
        <x:v>2025-09-30</x:v>
      </x:c>
      <x:c r="D794" s="2" t="str">
        <x:v>Origin</x:v>
      </x:c>
      <x:c r="E794" s="2" t="str">
        <x:v>2025-07-01</x:v>
      </x:c>
      <x:c r="F794" s="2" t="str">
        <x:v>2025-07-01</x:v>
      </x:c>
      <x:c r="G794" s="2" t="str">
        <x:v>Flat level</x:v>
      </x:c>
      <x:c r="H794" s="7" t="n">
        <x:v>38807</x:v>
      </x:c>
      <x:c r="I794" s="7" t="n">
        <x:v>39655</x:v>
      </x:c>
      <x:c r="J794" s="2" t="str">
        <x:v>2025-08-15</x:v>
      </x:c>
      <x:c r="K794" s="7" t="n">
        <x:f>100*(H794/I794-1)</x:f>
        <x:v>-2.1384440801916482</x:v>
      </x:c>
      <x:c r="L794" s="7" t="n">
        <x:f>ABS(K794)</x:f>
        <x:v>2.1384440801916482</x:v>
      </x:c>
      <x:c r="M794" s="2" t="str">
        <x:v>Yes</x:v>
      </x:c>
    </x:row>
    <x:row r="795" ht="27" customHeight="1">
      <x:c r="A795" s="2"/>
      <x:c r="B795" s="2" t="str">
        <x:v>RSHPCS</x:v>
      </x:c>
      <x:c r="C795" s="2" t="str">
        <x:v>2025-09-30</x:v>
      </x:c>
      <x:c r="D795" s="2" t="str">
        <x:v>Origin</x:v>
      </x:c>
      <x:c r="E795" s="2" t="str">
        <x:v>2025-07-01</x:v>
      </x:c>
      <x:c r="F795" s="2" t="str">
        <x:v>2025-08-01</x:v>
      </x:c>
      <x:c r="G795" s="2" t="str">
        <x:v>Flat level</x:v>
      </x:c>
      <x:c r="H795" s="7" t="n">
        <x:v>38807</x:v>
      </x:c>
      <x:c r="I795" s="7" t="n">
        <x:v>39644</x:v>
      </x:c>
      <x:c r="J795" s="2" t="str">
        <x:v>2025-09-16</x:v>
      </x:c>
      <x:c r="K795" s="7" t="n">
        <x:f>100*(H795/I795-1)</x:f>
        <x:v>-2.1112904853193393</x:v>
      </x:c>
      <x:c r="L795" s="7" t="n">
        <x:f>ABS(K795)</x:f>
        <x:v>2.1112904853193393</x:v>
      </x:c>
      <x:c r="M795" s="2" t="str">
        <x:v>Yes</x:v>
      </x:c>
    </x:row>
    <x:row r="796" ht="27" customHeight="1">
      <x:c r="A796" s="2"/>
      <x:c r="B796" s="2" t="str">
        <x:v>RSHPCS</x:v>
      </x:c>
      <x:c r="C796" s="2" t="str">
        <x:v>2025-09-30</x:v>
      </x:c>
      <x:c r="D796" s="2" t="str">
        <x:v>Origin</x:v>
      </x:c>
      <x:c r="E796" s="2" t="str">
        <x:v>2025-07-01</x:v>
      </x:c>
      <x:c r="F796" s="2" t="str">
        <x:v>2025-09-01</x:v>
      </x:c>
      <x:c r="G796" s="2" t="str">
        <x:v>Flat level</x:v>
      </x:c>
      <x:c r="H796" s="7" t="n">
        <x:v>38807</x:v>
      </x:c>
      <x:c r="I796" s="7" t="n">
        <x:v>40584</x:v>
      </x:c>
      <x:c r="J796" s="2" t="str">
        <x:v>2025-11-25</x:v>
      </x:c>
      <x:c r="K796" s="7" t="n">
        <x:f>100*(H796/I796-1)</x:f>
        <x:v>-4.378572836585848</x:v>
      </x:c>
      <x:c r="L796" s="7" t="n">
        <x:f>ABS(K796)</x:f>
        <x:v>4.378572836585848</x:v>
      </x:c>
      <x:c r="M796" s="2" t="str">
        <x:v>Yes</x:v>
      </x:c>
    </x:row>
    <x:row r="797" ht="27" customHeight="1">
      <x:c r="A797" s="2"/>
      <x:c r="B797" s="2" t="str">
        <x:v>RSHPCS</x:v>
      </x:c>
      <x:c r="C797" s="2" t="str">
        <x:v>2025-09-30</x:v>
      </x:c>
      <x:c r="D797" s="2" t="str">
        <x:v>Origin</x:v>
      </x:c>
      <x:c r="E797" s="2" t="str">
        <x:v>2025-07-01</x:v>
      </x:c>
      <x:c r="F797" s="2" t="str">
        <x:v>2025-07-01</x:v>
      </x:c>
      <x:c r="G797" s="2" t="str">
        <x:v>Recent trend</x:v>
      </x:c>
      <x:c r="H797" s="7" t="n">
        <x:v>38626</x:v>
      </x:c>
      <x:c r="I797" s="7" t="n">
        <x:v>39655</x:v>
      </x:c>
      <x:c r="J797" s="2" t="str">
        <x:v>2025-08-15</x:v>
      </x:c>
      <x:c r="K797" s="7" t="n">
        <x:f>100*(H797/I797-1)</x:f>
        <x:v>-2.5948808473080343</x:v>
      </x:c>
      <x:c r="L797" s="7" t="n">
        <x:f>ABS(K797)</x:f>
        <x:v>2.5948808473080343</x:v>
      </x:c>
      <x:c r="M797" s="2" t="str">
        <x:v>Yes</x:v>
      </x:c>
    </x:row>
    <x:row r="798" ht="27" customHeight="1">
      <x:c r="A798" s="2"/>
      <x:c r="B798" s="2" t="str">
        <x:v>RSHPCS</x:v>
      </x:c>
      <x:c r="C798" s="2" t="str">
        <x:v>2025-09-30</x:v>
      </x:c>
      <x:c r="D798" s="2" t="str">
        <x:v>Origin</x:v>
      </x:c>
      <x:c r="E798" s="2" t="str">
        <x:v>2025-07-01</x:v>
      </x:c>
      <x:c r="F798" s="2" t="str">
        <x:v>2025-08-01</x:v>
      </x:c>
      <x:c r="G798" s="2" t="str">
        <x:v>Recent trend</x:v>
      </x:c>
      <x:c r="H798" s="7" t="n">
        <x:v>38535.5</x:v>
      </x:c>
      <x:c r="I798" s="7" t="n">
        <x:v>39644</x:v>
      </x:c>
      <x:c r="J798" s="2" t="str">
        <x:v>2025-09-16</x:v>
      </x:c>
      <x:c r="K798" s="7" t="n">
        <x:f>100*(H798/I798-1)</x:f>
        <x:v>-2.7961356069014176</x:v>
      </x:c>
      <x:c r="L798" s="7" t="n">
        <x:f>ABS(K798)</x:f>
        <x:v>2.7961356069014176</x:v>
      </x:c>
      <x:c r="M798" s="2" t="str">
        <x:v>Yes</x:v>
      </x:c>
    </x:row>
    <x:row r="799" ht="27" customHeight="1">
      <x:c r="A799" s="2"/>
      <x:c r="B799" s="2" t="str">
        <x:v>RSHPCS</x:v>
      </x:c>
      <x:c r="C799" s="2" t="str">
        <x:v>2025-09-30</x:v>
      </x:c>
      <x:c r="D799" s="2" t="str">
        <x:v>Origin</x:v>
      </x:c>
      <x:c r="E799" s="2" t="str">
        <x:v>2025-07-01</x:v>
      </x:c>
      <x:c r="F799" s="2" t="str">
        <x:v>2025-09-01</x:v>
      </x:c>
      <x:c r="G799" s="2" t="str">
        <x:v>Recent trend</x:v>
      </x:c>
      <x:c r="H799" s="7" t="n">
        <x:v>38445</x:v>
      </x:c>
      <x:c r="I799" s="7" t="n">
        <x:v>40584</x:v>
      </x:c>
      <x:c r="J799" s="2" t="str">
        <x:v>2025-11-25</x:v>
      </x:c>
      <x:c r="K799" s="7" t="n">
        <x:f>100*(H799/I799-1)</x:f>
        <x:v>-5.270549970431693</x:v>
      </x:c>
      <x:c r="L799" s="7" t="n">
        <x:f>ABS(K799)</x:f>
        <x:v>5.270549970431693</x:v>
      </x:c>
      <x:c r="M799" s="2" t="str">
        <x:v>Yes</x:v>
      </x:c>
    </x:row>
    <x:row r="800" ht="27" customHeight="1">
      <x:c r="A800" s="2"/>
      <x:c r="B800" s="2" t="str">
        <x:v>RSHPCS</x:v>
      </x:c>
      <x:c r="C800" s="2" t="str">
        <x:v>2025-09-30</x:v>
      </x:c>
      <x:c r="D800" s="2" t="str">
        <x:v>One month</x:v>
      </x:c>
      <x:c r="E800" s="2" t="str">
        <x:v>2025-08-15</x:v>
      </x:c>
      <x:c r="F800" s="2" t="str">
        <x:v>2025-08-01</x:v>
      </x:c>
      <x:c r="G800" s="2" t="str">
        <x:v>YoY carry</x:v>
      </x:c>
      <x:c r="H800" s="7" t="n">
        <x:v>40712.95237660154</x:v>
      </x:c>
      <x:c r="I800" s="7" t="n">
        <x:v>39644</x:v>
      </x:c>
      <x:c r="J800" s="2" t="str">
        <x:v>2025-09-16</x:v>
      </x:c>
      <x:c r="K800" s="7" t="n">
        <x:f>100*(H800/I800-1)</x:f>
        <x:v>2.6963787120410254</x:v>
      </x:c>
      <x:c r="L800" s="7" t="n">
        <x:f>ABS(K800)</x:f>
        <x:v>2.6963787120410254</x:v>
      </x:c>
      <x:c r="M800" s="2" t="str">
        <x:v>Yes</x:v>
      </x:c>
    </x:row>
    <x:row r="801" ht="27" customHeight="1">
      <x:c r="A801" s="2"/>
      <x:c r="B801" s="2" t="str">
        <x:v>RSHPCS</x:v>
      </x:c>
      <x:c r="C801" s="2" t="str">
        <x:v>2025-09-30</x:v>
      </x:c>
      <x:c r="D801" s="2" t="str">
        <x:v>One month</x:v>
      </x:c>
      <x:c r="E801" s="2" t="str">
        <x:v>2025-08-15</x:v>
      </x:c>
      <x:c r="F801" s="2" t="str">
        <x:v>2025-09-01</x:v>
      </x:c>
      <x:c r="G801" s="2" t="str">
        <x:v>YoY carry</x:v>
      </x:c>
      <x:c r="H801" s="7" t="n">
        <x:v>41620.80317731006</x:v>
      </x:c>
      <x:c r="I801" s="7" t="n">
        <x:v>40584</x:v>
      </x:c>
      <x:c r="J801" s="2" t="str">
        <x:v>2025-11-25</x:v>
      </x:c>
      <x:c r="K801" s="7" t="n">
        <x:f>100*(H801/I801-1)</x:f>
        <x:v>2.5547091891140905</x:v>
      </x:c>
      <x:c r="L801" s="7" t="n">
        <x:f>ABS(K801)</x:f>
        <x:v>2.5547091891140905</x:v>
      </x:c>
      <x:c r="M801" s="2" t="str">
        <x:v>Yes</x:v>
      </x:c>
    </x:row>
    <x:row r="802" ht="27" customHeight="1">
      <x:c r="A802" s="2"/>
      <x:c r="B802" s="2" t="str">
        <x:v>RSHPCS</x:v>
      </x:c>
      <x:c r="C802" s="2" t="str">
        <x:v>2025-09-30</x:v>
      </x:c>
      <x:c r="D802" s="2" t="str">
        <x:v>One month</x:v>
      </x:c>
      <x:c r="E802" s="2" t="str">
        <x:v>2025-08-15</x:v>
      </x:c>
      <x:c r="F802" s="2" t="str">
        <x:v>2025-08-01</x:v>
      </x:c>
      <x:c r="G802" s="2" t="str">
        <x:v>Flat level</x:v>
      </x:c>
      <x:c r="H802" s="7" t="n">
        <x:v>39655</x:v>
      </x:c>
      <x:c r="I802" s="7" t="n">
        <x:v>39644</x:v>
      </x:c>
      <x:c r="J802" s="2" t="str">
        <x:v>2025-09-16</x:v>
      </x:c>
      <x:c r="K802" s="7" t="n">
        <x:f>100*(H802/I802-1)</x:f>
        <x:v>0.02774694783573839</x:v>
      </x:c>
      <x:c r="L802" s="7" t="n">
        <x:f>ABS(K802)</x:f>
        <x:v>0.02774694783573839</x:v>
      </x:c>
      <x:c r="M802" s="2" t="str">
        <x:v>Yes</x:v>
      </x:c>
    </x:row>
    <x:row r="803" ht="27" customHeight="1">
      <x:c r="A803" s="2"/>
      <x:c r="B803" s="2" t="str">
        <x:v>RSHPCS</x:v>
      </x:c>
      <x:c r="C803" s="2" t="str">
        <x:v>2025-09-30</x:v>
      </x:c>
      <x:c r="D803" s="2" t="str">
        <x:v>One month</x:v>
      </x:c>
      <x:c r="E803" s="2" t="str">
        <x:v>2025-08-15</x:v>
      </x:c>
      <x:c r="F803" s="2" t="str">
        <x:v>2025-09-01</x:v>
      </x:c>
      <x:c r="G803" s="2" t="str">
        <x:v>Flat level</x:v>
      </x:c>
      <x:c r="H803" s="7" t="n">
        <x:v>39655</x:v>
      </x:c>
      <x:c r="I803" s="7" t="n">
        <x:v>40584</x:v>
      </x:c>
      <x:c r="J803" s="2" t="str">
        <x:v>2025-11-25</x:v>
      </x:c>
      <x:c r="K803" s="7" t="n">
        <x:f>100*(H803/I803-1)</x:f>
        <x:v>-2.2890794401734693</x:v>
      </x:c>
      <x:c r="L803" s="7" t="n">
        <x:f>ABS(K803)</x:f>
        <x:v>2.2890794401734693</x:v>
      </x:c>
      <x:c r="M803" s="2" t="str">
        <x:v>Yes</x:v>
      </x:c>
    </x:row>
    <x:row r="804" ht="27" customHeight="1">
      <x:c r="A804" s="2"/>
      <x:c r="B804" s="2" t="str">
        <x:v>RSHPCS</x:v>
      </x:c>
      <x:c r="C804" s="2" t="str">
        <x:v>2025-09-30</x:v>
      </x:c>
      <x:c r="D804" s="2" t="str">
        <x:v>One month</x:v>
      </x:c>
      <x:c r="E804" s="2" t="str">
        <x:v>2025-08-15</x:v>
      </x:c>
      <x:c r="F804" s="2" t="str">
        <x:v>2025-08-01</x:v>
      </x:c>
      <x:c r="G804" s="2" t="str">
        <x:v>Recent trend</x:v>
      </x:c>
      <x:c r="H804" s="7" t="n">
        <x:v>39930.5</x:v>
      </x:c>
      <x:c r="I804" s="7" t="n">
        <x:v>39644</x:v>
      </x:c>
      <x:c r="J804" s="2" t="str">
        <x:v>2025-09-16</x:v>
      </x:c>
      <x:c r="K804" s="7" t="n">
        <x:f>100*(H804/I804-1)</x:f>
        <x:v>0.7226818686308034</x:v>
      </x:c>
      <x:c r="L804" s="7" t="n">
        <x:f>ABS(K804)</x:f>
        <x:v>0.7226818686308034</x:v>
      </x:c>
      <x:c r="M804" s="2" t="str">
        <x:v>Yes</x:v>
      </x:c>
    </x:row>
    <x:row r="805" ht="27" customHeight="1">
      <x:c r="A805" s="2"/>
      <x:c r="B805" s="2" t="str">
        <x:v>RSHPCS</x:v>
      </x:c>
      <x:c r="C805" s="2" t="str">
        <x:v>2025-09-30</x:v>
      </x:c>
      <x:c r="D805" s="2" t="str">
        <x:v>One month</x:v>
      </x:c>
      <x:c r="E805" s="2" t="str">
        <x:v>2025-08-15</x:v>
      </x:c>
      <x:c r="F805" s="2" t="str">
        <x:v>2025-09-01</x:v>
      </x:c>
      <x:c r="G805" s="2" t="str">
        <x:v>Recent trend</x:v>
      </x:c>
      <x:c r="H805" s="7" t="n">
        <x:v>40206</x:v>
      </x:c>
      <x:c r="I805" s="7" t="n">
        <x:v>40584</x:v>
      </x:c>
      <x:c r="J805" s="2" t="str">
        <x:v>2025-11-25</x:v>
      </x:c>
      <x:c r="K805" s="7" t="n">
        <x:f>100*(H805/I805-1)</x:f>
        <x:v>-0.9314015375517459</x:v>
      </x:c>
      <x:c r="L805" s="7" t="n">
        <x:f>ABS(K805)</x:f>
        <x:v>0.9314015375517459</x:v>
      </x:c>
      <x:c r="M805" s="2" t="str">
        <x:v>Yes</x:v>
      </x:c>
    </x:row>
    <x:row r="806" ht="27" customHeight="1">
      <x:c r="A806" s="2"/>
      <x:c r="B806" s="2" t="str">
        <x:v>RSHPCS</x:v>
      </x:c>
      <x:c r="C806" s="2" t="str">
        <x:v>2025-09-30</x:v>
      </x:c>
      <x:c r="D806" s="2" t="str">
        <x:v>Two months</x:v>
      </x:c>
      <x:c r="E806" s="2" t="str">
        <x:v>2025-09-16</x:v>
      </x:c>
      <x:c r="F806" s="2" t="str">
        <x:v>2025-09-01</x:v>
      </x:c>
      <x:c r="G806" s="2" t="str">
        <x:v>YoY carry</x:v>
      </x:c>
      <x:c r="H806" s="7" t="n">
        <x:v>41196.158639392066</x:v>
      </x:c>
      <x:c r="I806" s="7" t="n">
        <x:v>40584</x:v>
      </x:c>
      <x:c r="J806" s="2" t="str">
        <x:v>2025-11-25</x:v>
      </x:c>
      <x:c r="K806" s="7" t="n">
        <x:f>100*(H806/I806-1)</x:f>
        <x:v>1.5083743332152233</x:v>
      </x:c>
      <x:c r="L806" s="7" t="n">
        <x:f>ABS(K806)</x:f>
        <x:v>1.5083743332152233</x:v>
      </x:c>
      <x:c r="M806" s="2" t="str">
        <x:v>Yes</x:v>
      </x:c>
    </x:row>
    <x:row r="807" ht="27" customHeight="1">
      <x:c r="A807" s="2"/>
      <x:c r="B807" s="2" t="str">
        <x:v>RSHPCS</x:v>
      </x:c>
      <x:c r="C807" s="2" t="str">
        <x:v>2025-09-30</x:v>
      </x:c>
      <x:c r="D807" s="2" t="str">
        <x:v>Two months</x:v>
      </x:c>
      <x:c r="E807" s="2" t="str">
        <x:v>2025-09-16</x:v>
      </x:c>
      <x:c r="F807" s="2" t="str">
        <x:v>2025-09-01</x:v>
      </x:c>
      <x:c r="G807" s="2" t="str">
        <x:v>Flat level</x:v>
      </x:c>
      <x:c r="H807" s="7" t="n">
        <x:v>39644</x:v>
      </x:c>
      <x:c r="I807" s="7" t="n">
        <x:v>40584</x:v>
      </x:c>
      <x:c r="J807" s="2" t="str">
        <x:v>2025-11-25</x:v>
      </x:c>
      <x:c r="K807" s="7" t="n">
        <x:f>100*(H807/I807-1)</x:f>
        <x:v>-2.316183717721265</x:v>
      </x:c>
      <x:c r="L807" s="7" t="n">
        <x:f>ABS(K807)</x:f>
        <x:v>2.316183717721265</x:v>
      </x:c>
      <x:c r="M807" s="2" t="str">
        <x:v>Yes</x:v>
      </x:c>
    </x:row>
    <x:row r="808" ht="27" customHeight="1">
      <x:c r="A808" s="2"/>
      <x:c r="B808" s="2" t="str">
        <x:v>RSHPCS</x:v>
      </x:c>
      <x:c r="C808" s="2" t="str">
        <x:v>2025-09-30</x:v>
      </x:c>
      <x:c r="D808" s="2" t="str">
        <x:v>Two months</x:v>
      </x:c>
      <x:c r="E808" s="2" t="str">
        <x:v>2025-09-16</x:v>
      </x:c>
      <x:c r="F808" s="2" t="str">
        <x:v>2025-09-01</x:v>
      </x:c>
      <x:c r="G808" s="2" t="str">
        <x:v>Recent trend</x:v>
      </x:c>
      <x:c r="H808" s="7" t="n">
        <x:v>39707.5</x:v>
      </x:c>
      <x:c r="I808" s="7" t="n">
        <x:v>40584</x:v>
      </x:c>
      <x:c r="J808" s="2" t="str">
        <x:v>2025-11-25</x:v>
      </x:c>
      <x:c r="K808" s="7" t="n">
        <x:f>100*(H808/I808-1)</x:f>
        <x:v>-2.159718115513498</x:v>
      </x:c>
      <x:c r="L808" s="7" t="n">
        <x:f>ABS(K808)</x:f>
        <x:v>2.159718115513498</x:v>
      </x:c>
      <x:c r="M808" s="2" t="str">
        <x:v>Yes</x:v>
      </x:c>
    </x:row>
    <x:row r="809" ht="27" customHeight="1">
      <x:c r="A809" s="2"/>
      <x:c r="B809" s="2" t="str">
        <x:v>RSHPCS</x:v>
      </x:c>
      <x:c r="C809" s="2" t="str">
        <x:v>2025-09-30</x:v>
      </x:c>
      <x:c r="D809" s="2" t="str">
        <x:v>Pre-earnings</x:v>
      </x:c>
      <x:c r="E809" s="2" t="str">
        <x:v>2025-10-23</x:v>
      </x:c>
      <x:c r="F809" s="2" t="str">
        <x:v>2025-09-01</x:v>
      </x:c>
      <x:c r="G809" s="2" t="str">
        <x:v>YoY carry</x:v>
      </x:c>
      <x:c r="H809" s="7" t="n">
        <x:v>41196.158639392066</x:v>
      </x:c>
      <x:c r="I809" s="7" t="n">
        <x:v>40584</x:v>
      </x:c>
      <x:c r="J809" s="2" t="str">
        <x:v>2025-11-25</x:v>
      </x:c>
      <x:c r="K809" s="7" t="n">
        <x:f>100*(H809/I809-1)</x:f>
        <x:v>1.5083743332152233</x:v>
      </x:c>
      <x:c r="L809" s="7" t="n">
        <x:f>ABS(K809)</x:f>
        <x:v>1.5083743332152233</x:v>
      </x:c>
      <x:c r="M809" s="2" t="str">
        <x:v>Yes</x:v>
      </x:c>
    </x:row>
    <x:row r="810" ht="27" customHeight="1">
      <x:c r="A810" s="2"/>
      <x:c r="B810" s="2" t="str">
        <x:v>RSHPCS</x:v>
      </x:c>
      <x:c r="C810" s="2" t="str">
        <x:v>2025-09-30</x:v>
      </x:c>
      <x:c r="D810" s="2" t="str">
        <x:v>Pre-earnings</x:v>
      </x:c>
      <x:c r="E810" s="2" t="str">
        <x:v>2025-10-23</x:v>
      </x:c>
      <x:c r="F810" s="2" t="str">
        <x:v>2025-09-01</x:v>
      </x:c>
      <x:c r="G810" s="2" t="str">
        <x:v>Flat level</x:v>
      </x:c>
      <x:c r="H810" s="7" t="n">
        <x:v>39644</x:v>
      </x:c>
      <x:c r="I810" s="7" t="n">
        <x:v>40584</x:v>
      </x:c>
      <x:c r="J810" s="2" t="str">
        <x:v>2025-11-25</x:v>
      </x:c>
      <x:c r="K810" s="7" t="n">
        <x:f>100*(H810/I810-1)</x:f>
        <x:v>-2.316183717721265</x:v>
      </x:c>
      <x:c r="L810" s="7" t="n">
        <x:f>ABS(K810)</x:f>
        <x:v>2.316183717721265</x:v>
      </x:c>
      <x:c r="M810" s="2" t="str">
        <x:v>Yes</x:v>
      </x:c>
    </x:row>
    <x:row r="811" ht="27" customHeight="1">
      <x:c r="A811" s="2"/>
      <x:c r="B811" s="2" t="str">
        <x:v>RSHPCS</x:v>
      </x:c>
      <x:c r="C811" s="2" t="str">
        <x:v>2025-09-30</x:v>
      </x:c>
      <x:c r="D811" s="2" t="str">
        <x:v>Pre-earnings</x:v>
      </x:c>
      <x:c r="E811" s="2" t="str">
        <x:v>2025-10-23</x:v>
      </x:c>
      <x:c r="F811" s="2" t="str">
        <x:v>2025-09-01</x:v>
      </x:c>
      <x:c r="G811" s="2" t="str">
        <x:v>Recent trend</x:v>
      </x:c>
      <x:c r="H811" s="7" t="n">
        <x:v>39707.5</x:v>
      </x:c>
      <x:c r="I811" s="7" t="n">
        <x:v>40584</x:v>
      </x:c>
      <x:c r="J811" s="2" t="str">
        <x:v>2025-11-25</x:v>
      </x:c>
      <x:c r="K811" s="7" t="n">
        <x:f>100*(H811/I811-1)</x:f>
        <x:v>-2.159718115513498</x:v>
      </x:c>
      <x:c r="L811" s="7" t="n">
        <x:f>ABS(K811)</x:f>
        <x:v>2.159718115513498</x:v>
      </x:c>
      <x:c r="M811" s="2" t="str">
        <x:v>Yes</x:v>
      </x:c>
    </x:row>
    <x:row r="812" ht="27" customHeight="1">
      <x:c r="A812" s="2"/>
      <x:c r="B812" s="2" t="str">
        <x:v>RSHPCS</x:v>
      </x:c>
      <x:c r="C812" s="2" t="str">
        <x:v>2025-12-31</x:v>
      </x:c>
      <x:c r="D812" s="2" t="str">
        <x:v>Origin</x:v>
      </x:c>
      <x:c r="E812" s="2" t="str">
        <x:v>2025-10-01</x:v>
      </x:c>
      <x:c r="F812" s="2" t="str">
        <x:v>2025-10-01</x:v>
      </x:c>
      <x:c r="G812" s="2" t="str">
        <x:v>YoY carry</x:v>
      </x:c>
      <x:c r="H812" s="7" t="n">
        <x:v>40849.97243233835</x:v>
      </x:c>
      <x:c r="I812" s="7" t="n">
        <x:v>40399</x:v>
      </x:c>
      <x:c r="J812" s="2" t="str">
        <x:v>2025-12-16</x:v>
      </x:c>
      <x:c r="K812" s="7" t="n">
        <x:f>100*(H812/I812-1)</x:f>
        <x:v>1.116296027966901</x:v>
      </x:c>
      <x:c r="L812" s="7" t="n">
        <x:f>ABS(K812)</x:f>
        <x:v>1.116296027966901</x:v>
      </x:c>
      <x:c r="M812" s="2" t="str">
        <x:v>Yes</x:v>
      </x:c>
    </x:row>
    <x:row r="813" ht="27" customHeight="1">
      <x:c r="A813" s="2"/>
      <x:c r="B813" s="2" t="str">
        <x:v>RSHPCS</x:v>
      </x:c>
      <x:c r="C813" s="2" t="str">
        <x:v>2025-12-31</x:v>
      </x:c>
      <x:c r="D813" s="2" t="str">
        <x:v>Origin</x:v>
      </x:c>
      <x:c r="E813" s="2" t="str">
        <x:v>2025-10-01</x:v>
      </x:c>
      <x:c r="F813" s="2" t="str">
        <x:v>2025-11-01</x:v>
      </x:c>
      <x:c r="G813" s="2" t="str">
        <x:v>YoY carry</x:v>
      </x:c>
      <x:c r="H813" s="7" t="n">
        <x:v>40692.906468026944</x:v>
      </x:c>
      <x:c r="I813" s="7" t="n">
        <x:v>40677</x:v>
      </x:c>
      <x:c r="J813" s="2" t="str">
        <x:v>2026-01-14</x:v>
      </x:c>
      <x:c r="K813" s="7" t="n">
        <x:f>100*(H813/I813-1)</x:f>
        <x:v>0.0391043292940596</x:v>
      </x:c>
      <x:c r="L813" s="7" t="n">
        <x:f>ABS(K813)</x:f>
        <x:v>0.0391043292940596</x:v>
      </x:c>
      <x:c r="M813" s="2" t="str">
        <x:v>Yes</x:v>
      </x:c>
    </x:row>
    <x:row r="814" ht="27" customHeight="1">
      <x:c r="A814" s="2"/>
      <x:c r="B814" s="2" t="str">
        <x:v>RSHPCS</x:v>
      </x:c>
      <x:c r="C814" s="2" t="str">
        <x:v>2025-12-31</x:v>
      </x:c>
      <x:c r="D814" s="2" t="str">
        <x:v>Origin</x:v>
      </x:c>
      <x:c r="E814" s="2" t="str">
        <x:v>2025-10-01</x:v>
      </x:c>
      <x:c r="F814" s="2" t="str">
        <x:v>2025-12-01</x:v>
      </x:c>
      <x:c r="G814" s="2" t="str">
        <x:v>YoY carry</x:v>
      </x:c>
      <x:c r="H814" s="7" t="n">
        <x:v>40494.16994175537</x:v>
      </x:c>
      <x:c r="I814" s="7" t="n">
        <x:v>40512</x:v>
      </x:c>
      <x:c r="J814" s="2" t="str">
        <x:v>2026-02-10</x:v>
      </x:c>
      <x:c r="K814" s="7" t="n">
        <x:f>100*(H814/I814-1)</x:f>
        <x:v>-0.04401179464018634</x:v>
      </x:c>
      <x:c r="L814" s="7" t="n">
        <x:f>ABS(K814)</x:f>
        <x:v>0.04401179464018634</x:v>
      </x:c>
      <x:c r="M814" s="2" t="str">
        <x:v>Yes</x:v>
      </x:c>
    </x:row>
    <x:row r="815" ht="27" customHeight="1">
      <x:c r="A815" s="2"/>
      <x:c r="B815" s="2" t="str">
        <x:v>RSHPCS</x:v>
      </x:c>
      <x:c r="C815" s="2" t="str">
        <x:v>2025-12-31</x:v>
      </x:c>
      <x:c r="D815" s="2" t="str">
        <x:v>Origin</x:v>
      </x:c>
      <x:c r="E815" s="2" t="str">
        <x:v>2025-10-01</x:v>
      </x:c>
      <x:c r="F815" s="2" t="str">
        <x:v>2025-10-01</x:v>
      </x:c>
      <x:c r="G815" s="2" t="str">
        <x:v>Flat level</x:v>
      </x:c>
      <x:c r="H815" s="7" t="n">
        <x:v>39644</x:v>
      </x:c>
      <x:c r="I815" s="7" t="n">
        <x:v>40399</x:v>
      </x:c>
      <x:c r="J815" s="2" t="str">
        <x:v>2025-12-16</x:v>
      </x:c>
      <x:c r="K815" s="7" t="n">
        <x:f>100*(H815/I815-1)</x:f>
        <x:v>-1.8688581400529758</x:v>
      </x:c>
      <x:c r="L815" s="7" t="n">
        <x:f>ABS(K815)</x:f>
        <x:v>1.8688581400529758</x:v>
      </x:c>
      <x:c r="M815" s="2" t="str">
        <x:v>Yes</x:v>
      </x:c>
    </x:row>
    <x:row r="816" ht="27" customHeight="1">
      <x:c r="A816" s="2"/>
      <x:c r="B816" s="2" t="str">
        <x:v>RSHPCS</x:v>
      </x:c>
      <x:c r="C816" s="2" t="str">
        <x:v>2025-12-31</x:v>
      </x:c>
      <x:c r="D816" s="2" t="str">
        <x:v>Origin</x:v>
      </x:c>
      <x:c r="E816" s="2" t="str">
        <x:v>2025-10-01</x:v>
      </x:c>
      <x:c r="F816" s="2" t="str">
        <x:v>2025-11-01</x:v>
      </x:c>
      <x:c r="G816" s="2" t="str">
        <x:v>Flat level</x:v>
      </x:c>
      <x:c r="H816" s="7" t="n">
        <x:v>39644</x:v>
      </x:c>
      <x:c r="I816" s="7" t="n">
        <x:v>40677</x:v>
      </x:c>
      <x:c r="J816" s="2" t="str">
        <x:v>2026-01-14</x:v>
      </x:c>
      <x:c r="K816" s="7" t="n">
        <x:f>100*(H816/I816-1)</x:f>
        <x:v>-2.5395186469011954</x:v>
      </x:c>
      <x:c r="L816" s="7" t="n">
        <x:f>ABS(K816)</x:f>
        <x:v>2.5395186469011954</x:v>
      </x:c>
      <x:c r="M816" s="2" t="str">
        <x:v>Yes</x:v>
      </x:c>
    </x:row>
    <x:row r="817" ht="27" customHeight="1">
      <x:c r="A817" s="2"/>
      <x:c r="B817" s="2" t="str">
        <x:v>RSHPCS</x:v>
      </x:c>
      <x:c r="C817" s="2" t="str">
        <x:v>2025-12-31</x:v>
      </x:c>
      <x:c r="D817" s="2" t="str">
        <x:v>Origin</x:v>
      </x:c>
      <x:c r="E817" s="2" t="str">
        <x:v>2025-10-01</x:v>
      </x:c>
      <x:c r="F817" s="2" t="str">
        <x:v>2025-12-01</x:v>
      </x:c>
      <x:c r="G817" s="2" t="str">
        <x:v>Flat level</x:v>
      </x:c>
      <x:c r="H817" s="7" t="n">
        <x:v>39644</x:v>
      </x:c>
      <x:c r="I817" s="7" t="n">
        <x:v>40512</x:v>
      </x:c>
      <x:c r="J817" s="2" t="str">
        <x:v>2026-02-10</x:v>
      </x:c>
      <x:c r="K817" s="7" t="n">
        <x:f>100*(H817/I817-1)</x:f>
        <x:v>-2.1425750394944654</x:v>
      </x:c>
      <x:c r="L817" s="7" t="n">
        <x:f>ABS(K817)</x:f>
        <x:v>2.1425750394944654</x:v>
      </x:c>
      <x:c r="M817" s="2" t="str">
        <x:v>Yes</x:v>
      </x:c>
    </x:row>
    <x:row r="818" ht="27" customHeight="1">
      <x:c r="A818" s="2"/>
      <x:c r="B818" s="2" t="str">
        <x:v>RSHPCS</x:v>
      </x:c>
      <x:c r="C818" s="2" t="str">
        <x:v>2025-12-31</x:v>
      </x:c>
      <x:c r="D818" s="2" t="str">
        <x:v>Origin</x:v>
      </x:c>
      <x:c r="E818" s="2" t="str">
        <x:v>2025-10-01</x:v>
      </x:c>
      <x:c r="F818" s="2" t="str">
        <x:v>2025-10-01</x:v>
      </x:c>
      <x:c r="G818" s="2" t="str">
        <x:v>Recent trend</x:v>
      </x:c>
      <x:c r="H818" s="7" t="n">
        <x:v>39771</x:v>
      </x:c>
      <x:c r="I818" s="7" t="n">
        <x:v>40399</x:v>
      </x:c>
      <x:c r="J818" s="2" t="str">
        <x:v>2025-12-16</x:v>
      </x:c>
      <x:c r="K818" s="7" t="n">
        <x:f>100*(H818/I818-1)</x:f>
        <x:v>-1.5544939231169064</x:v>
      </x:c>
      <x:c r="L818" s="7" t="n">
        <x:f>ABS(K818)</x:f>
        <x:v>1.5544939231169064</x:v>
      </x:c>
      <x:c r="M818" s="2" t="str">
        <x:v>Yes</x:v>
      </x:c>
    </x:row>
    <x:row r="819" ht="27" customHeight="1">
      <x:c r="A819" s="2"/>
      <x:c r="B819" s="2" t="str">
        <x:v>RSHPCS</x:v>
      </x:c>
      <x:c r="C819" s="2" t="str">
        <x:v>2025-12-31</x:v>
      </x:c>
      <x:c r="D819" s="2" t="str">
        <x:v>Origin</x:v>
      </x:c>
      <x:c r="E819" s="2" t="str">
        <x:v>2025-10-01</x:v>
      </x:c>
      <x:c r="F819" s="2" t="str">
        <x:v>2025-11-01</x:v>
      </x:c>
      <x:c r="G819" s="2" t="str">
        <x:v>Recent trend</x:v>
      </x:c>
      <x:c r="H819" s="7" t="n">
        <x:v>39834.5</x:v>
      </x:c>
      <x:c r="I819" s="7" t="n">
        <x:v>40677</x:v>
      </x:c>
      <x:c r="J819" s="2" t="str">
        <x:v>2026-01-14</x:v>
      </x:c>
      <x:c r="K819" s="7" t="n">
        <x:f>100*(H819/I819-1)</x:f>
        <x:v>-2.0711950242151556</x:v>
      </x:c>
      <x:c r="L819" s="7" t="n">
        <x:f>ABS(K819)</x:f>
        <x:v>2.0711950242151556</x:v>
      </x:c>
      <x:c r="M819" s="2" t="str">
        <x:v>Yes</x:v>
      </x:c>
    </x:row>
    <x:row r="820" ht="27" customHeight="1">
      <x:c r="A820" s="2"/>
      <x:c r="B820" s="2" t="str">
        <x:v>RSHPCS</x:v>
      </x:c>
      <x:c r="C820" s="2" t="str">
        <x:v>2025-12-31</x:v>
      </x:c>
      <x:c r="D820" s="2" t="str">
        <x:v>Origin</x:v>
      </x:c>
      <x:c r="E820" s="2" t="str">
        <x:v>2025-10-01</x:v>
      </x:c>
      <x:c r="F820" s="2" t="str">
        <x:v>2025-12-01</x:v>
      </x:c>
      <x:c r="G820" s="2" t="str">
        <x:v>Recent trend</x:v>
      </x:c>
      <x:c r="H820" s="7" t="n">
        <x:v>39898</x:v>
      </x:c>
      <x:c r="I820" s="7" t="n">
        <x:v>40512</x:v>
      </x:c>
      <x:c r="J820" s="2" t="str">
        <x:v>2026-02-10</x:v>
      </x:c>
      <x:c r="K820" s="7" t="n">
        <x:f>100*(H820/I820-1)</x:f>
        <x:v>-1.5156003159557674</x:v>
      </x:c>
      <x:c r="L820" s="7" t="n">
        <x:f>ABS(K820)</x:f>
        <x:v>1.5156003159557674</x:v>
      </x:c>
      <x:c r="M820" s="2" t="str">
        <x:v>Yes</x:v>
      </x:c>
    </x:row>
    <x:row r="821" ht="27" customHeight="1">
      <x:c r="A821" s="2"/>
      <x:c r="B821" s="2" t="str">
        <x:v>RSHPCS</x:v>
      </x:c>
      <x:c r="C821" s="2" t="str">
        <x:v>2025-12-31</x:v>
      </x:c>
      <x:c r="D821" s="2" t="str">
        <x:v>One month</x:v>
      </x:c>
      <x:c r="E821" s="2" t="str">
        <x:v>2025-12-16</x:v>
      </x:c>
      <x:c r="F821" s="2" t="str">
        <x:v>2025-11-01</x:v>
      </x:c>
      <x:c r="G821" s="2" t="str">
        <x:v>YoY carry</x:v>
      </x:c>
      <x:c r="H821" s="7" t="n">
        <x:v>40377.25530061999</x:v>
      </x:c>
      <x:c r="I821" s="7" t="n">
        <x:v>40677</x:v>
      </x:c>
      <x:c r="J821" s="2" t="str">
        <x:v>2026-01-14</x:v>
      </x:c>
      <x:c r="K821" s="7" t="n">
        <x:f>100*(H821/I821-1)</x:f>
        <x:v>-0.736889887110681</x:v>
      </x:c>
      <x:c r="L821" s="7" t="n">
        <x:f>ABS(K821)</x:f>
        <x:v>0.736889887110681</x:v>
      </x:c>
      <x:c r="M821" s="2" t="str">
        <x:v>Yes</x:v>
      </x:c>
    </x:row>
    <x:row r="822" ht="27" customHeight="1">
      <x:c r="A822" s="2"/>
      <x:c r="B822" s="2" t="str">
        <x:v>RSHPCS</x:v>
      </x:c>
      <x:c r="C822" s="2" t="str">
        <x:v>2025-12-31</x:v>
      </x:c>
      <x:c r="D822" s="2" t="str">
        <x:v>One month</x:v>
      </x:c>
      <x:c r="E822" s="2" t="str">
        <x:v>2025-12-16</x:v>
      </x:c>
      <x:c r="F822" s="2" t="str">
        <x:v>2025-12-01</x:v>
      </x:c>
      <x:c r="G822" s="2" t="str">
        <x:v>YoY carry</x:v>
      </x:c>
      <x:c r="H822" s="7" t="n">
        <x:v>40180.0603554732</x:v>
      </x:c>
      <x:c r="I822" s="7" t="n">
        <x:v>40512</x:v>
      </x:c>
      <x:c r="J822" s="2" t="str">
        <x:v>2026-02-10</x:v>
      </x:c>
      <x:c r="K822" s="7" t="n">
        <x:f>100*(H822/I822-1)</x:f>
        <x:v>-0.819361286845377</x:v>
      </x:c>
      <x:c r="L822" s="7" t="n">
        <x:f>ABS(K822)</x:f>
        <x:v>0.819361286845377</x:v>
      </x:c>
      <x:c r="M822" s="2" t="str">
        <x:v>Yes</x:v>
      </x:c>
    </x:row>
    <x:row r="823" ht="27" customHeight="1">
      <x:c r="A823" s="2"/>
      <x:c r="B823" s="2" t="str">
        <x:v>RSHPCS</x:v>
      </x:c>
      <x:c r="C823" s="2" t="str">
        <x:v>2025-12-31</x:v>
      </x:c>
      <x:c r="D823" s="2" t="str">
        <x:v>One month</x:v>
      </x:c>
      <x:c r="E823" s="2" t="str">
        <x:v>2025-12-16</x:v>
      </x:c>
      <x:c r="F823" s="2" t="str">
        <x:v>2025-11-01</x:v>
      </x:c>
      <x:c r="G823" s="2" t="str">
        <x:v>Flat level</x:v>
      </x:c>
      <x:c r="H823" s="7" t="n">
        <x:v>40399</x:v>
      </x:c>
      <x:c r="I823" s="7" t="n">
        <x:v>40677</x:v>
      </x:c>
      <x:c r="J823" s="2" t="str">
        <x:v>2026-01-14</x:v>
      </x:c>
      <x:c r="K823" s="7" t="n">
        <x:f>100*(H823/I823-1)</x:f>
        <x:v>-0.6834328981979998</x:v>
      </x:c>
      <x:c r="L823" s="7" t="n">
        <x:f>ABS(K823)</x:f>
        <x:v>0.6834328981979998</x:v>
      </x:c>
      <x:c r="M823" s="2" t="str">
        <x:v>Yes</x:v>
      </x:c>
    </x:row>
    <x:row r="824" ht="27" customHeight="1">
      <x:c r="A824" s="2"/>
      <x:c r="B824" s="2" t="str">
        <x:v>RSHPCS</x:v>
      </x:c>
      <x:c r="C824" s="2" t="str">
        <x:v>2025-12-31</x:v>
      </x:c>
      <x:c r="D824" s="2" t="str">
        <x:v>One month</x:v>
      </x:c>
      <x:c r="E824" s="2" t="str">
        <x:v>2025-12-16</x:v>
      </x:c>
      <x:c r="F824" s="2" t="str">
        <x:v>2025-12-01</x:v>
      </x:c>
      <x:c r="G824" s="2" t="str">
        <x:v>Flat level</x:v>
      </x:c>
      <x:c r="H824" s="7" t="n">
        <x:v>40399</x:v>
      </x:c>
      <x:c r="I824" s="7" t="n">
        <x:v>40512</x:v>
      </x:c>
      <x:c r="J824" s="2" t="str">
        <x:v>2026-02-10</x:v>
      </x:c>
      <x:c r="K824" s="7" t="n">
        <x:f>100*(H824/I824-1)</x:f>
        <x:v>-0.2789296998420232</x:v>
      </x:c>
      <x:c r="L824" s="7" t="n">
        <x:f>ABS(K824)</x:f>
        <x:v>0.2789296998420232</x:v>
      </x:c>
      <x:c r="M824" s="2" t="str">
        <x:v>Yes</x:v>
      </x:c>
    </x:row>
    <x:row r="825" ht="27" customHeight="1">
      <x:c r="A825" s="2"/>
      <x:c r="B825" s="2" t="str">
        <x:v>RSHPCS</x:v>
      </x:c>
      <x:c r="C825" s="2" t="str">
        <x:v>2025-12-31</x:v>
      </x:c>
      <x:c r="D825" s="2" t="str">
        <x:v>One month</x:v>
      </x:c>
      <x:c r="E825" s="2" t="str">
        <x:v>2025-12-16</x:v>
      </x:c>
      <x:c r="F825" s="2" t="str">
        <x:v>2025-11-01</x:v>
      </x:c>
      <x:c r="G825" s="2" t="str">
        <x:v>Recent trend</x:v>
      </x:c>
      <x:c r="H825" s="7" t="n">
        <x:v>40539.5</x:v>
      </x:c>
      <x:c r="I825" s="7" t="n">
        <x:v>40677</x:v>
      </x:c>
      <x:c r="J825" s="2" t="str">
        <x:v>2026-01-14</x:v>
      </x:c>
      <x:c r="K825" s="7" t="n">
        <x:f>100*(H825/I825-1)</x:f>
        <x:v>-0.33802886151879097</x:v>
      </x:c>
      <x:c r="L825" s="7" t="n">
        <x:f>ABS(K825)</x:f>
        <x:v>0.33802886151879097</x:v>
      </x:c>
      <x:c r="M825" s="2" t="str">
        <x:v>Yes</x:v>
      </x:c>
    </x:row>
    <x:row r="826" ht="27" customHeight="1">
      <x:c r="A826" s="2"/>
      <x:c r="B826" s="2" t="str">
        <x:v>RSHPCS</x:v>
      </x:c>
      <x:c r="C826" s="2" t="str">
        <x:v>2025-12-31</x:v>
      </x:c>
      <x:c r="D826" s="2" t="str">
        <x:v>One month</x:v>
      </x:c>
      <x:c r="E826" s="2" t="str">
        <x:v>2025-12-16</x:v>
      </x:c>
      <x:c r="F826" s="2" t="str">
        <x:v>2025-12-01</x:v>
      </x:c>
      <x:c r="G826" s="2" t="str">
        <x:v>Recent trend</x:v>
      </x:c>
      <x:c r="H826" s="7" t="n">
        <x:v>40680</x:v>
      </x:c>
      <x:c r="I826" s="7" t="n">
        <x:v>40512</x:v>
      </x:c>
      <x:c r="J826" s="2" t="str">
        <x:v>2026-02-10</x:v>
      </x:c>
      <x:c r="K826" s="7" t="n">
        <x:f>100*(H826/I826-1)</x:f>
        <x:v>0.4146919431279539</x:v>
      </x:c>
      <x:c r="L826" s="7" t="n">
        <x:f>ABS(K826)</x:f>
        <x:v>0.4146919431279539</x:v>
      </x:c>
      <x:c r="M826" s="2" t="str">
        <x:v>Yes</x:v>
      </x:c>
    </x:row>
    <x:row r="827" ht="27" customHeight="1">
      <x:c r="A827" s="2"/>
      <x:c r="B827" s="2" t="str">
        <x:v>RSHPCS</x:v>
      </x:c>
      <x:c r="C827" s="2" t="str">
        <x:v>2025-12-31</x:v>
      </x:c>
      <x:c r="D827" s="2" t="str">
        <x:v>Two months</x:v>
      </x:c>
      <x:c r="E827" s="2" t="str">
        <x:v>2026-01-14</x:v>
      </x:c>
      <x:c r="F827" s="2" t="str">
        <x:v>2025-12-01</x:v>
      </x:c>
      <x:c r="G827" s="2" t="str">
        <x:v>YoY carry</x:v>
      </x:c>
      <x:c r="H827" s="7" t="n">
        <x:v>40275.73665577103</x:v>
      </x:c>
      <x:c r="I827" s="7" t="n">
        <x:v>40512</x:v>
      </x:c>
      <x:c r="J827" s="2" t="str">
        <x:v>2026-02-10</x:v>
      </x:c>
      <x:c r="K827" s="7" t="n">
        <x:f>100*(H827/I827-1)</x:f>
        <x:v>-0.5831934839775177</x:v>
      </x:c>
      <x:c r="L827" s="7" t="n">
        <x:f>ABS(K827)</x:f>
        <x:v>0.5831934839775177</x:v>
      </x:c>
      <x:c r="M827" s="2" t="str">
        <x:v>Yes</x:v>
      </x:c>
    </x:row>
    <x:row r="828" ht="27" customHeight="1">
      <x:c r="A828" s="2"/>
      <x:c r="B828" s="2" t="str">
        <x:v>RSHPCS</x:v>
      </x:c>
      <x:c r="C828" s="2" t="str">
        <x:v>2025-12-31</x:v>
      </x:c>
      <x:c r="D828" s="2" t="str">
        <x:v>Two months</x:v>
      </x:c>
      <x:c r="E828" s="2" t="str">
        <x:v>2026-01-14</x:v>
      </x:c>
      <x:c r="F828" s="2" t="str">
        <x:v>2025-12-01</x:v>
      </x:c>
      <x:c r="G828" s="2" t="str">
        <x:v>Flat level</x:v>
      </x:c>
      <x:c r="H828" s="7" t="n">
        <x:v>40677</x:v>
      </x:c>
      <x:c r="I828" s="7" t="n">
        <x:v>40512</x:v>
      </x:c>
      <x:c r="J828" s="2" t="str">
        <x:v>2026-02-10</x:v>
      </x:c>
      <x:c r="K828" s="7" t="n">
        <x:f>100*(H828/I828-1)</x:f>
        <x:v>0.4072867298578142</x:v>
      </x:c>
      <x:c r="L828" s="7" t="n">
        <x:f>ABS(K828)</x:f>
        <x:v>0.4072867298578142</x:v>
      </x:c>
      <x:c r="M828" s="2" t="str">
        <x:v>Yes</x:v>
      </x:c>
    </x:row>
    <x:row r="829" ht="27" customHeight="1">
      <x:c r="A829" s="2"/>
      <x:c r="B829" s="2" t="str">
        <x:v>RSHPCS</x:v>
      </x:c>
      <x:c r="C829" s="2" t="str">
        <x:v>2025-12-31</x:v>
      </x:c>
      <x:c r="D829" s="2" t="str">
        <x:v>Two months</x:v>
      </x:c>
      <x:c r="E829" s="2" t="str">
        <x:v>2026-01-14</x:v>
      </x:c>
      <x:c r="F829" s="2" t="str">
        <x:v>2025-12-01</x:v>
      </x:c>
      <x:c r="G829" s="2" t="str">
        <x:v>Recent trend</x:v>
      </x:c>
      <x:c r="H829" s="7" t="n">
        <x:v>40697</x:v>
      </x:c>
      <x:c r="I829" s="7" t="n">
        <x:v>40512</x:v>
      </x:c>
      <x:c r="J829" s="2" t="str">
        <x:v>2026-02-10</x:v>
      </x:c>
      <x:c r="K829" s="7" t="n">
        <x:f>100*(H829/I829-1)</x:f>
        <x:v>0.4566548183254415</x:v>
      </x:c>
      <x:c r="L829" s="7" t="n">
        <x:f>ABS(K829)</x:f>
        <x:v>0.4566548183254415</x:v>
      </x:c>
      <x:c r="M829" s="2" t="str">
        <x:v>Yes</x:v>
      </x:c>
    </x:row>
    <x:row r="830" ht="27" customHeight="1">
      <x:c r="A830" s="2"/>
      <x:c r="B830" s="2" t="str">
        <x:v>RSHPCS</x:v>
      </x:c>
      <x:c r="C830" s="2" t="str">
        <x:v>2025-12-31</x:v>
      </x:c>
      <x:c r="D830" s="2" t="str">
        <x:v>Pre-earnings</x:v>
      </x:c>
      <x:c r="E830" s="2" t="str">
        <x:v>2026-01-22</x:v>
      </x:c>
      <x:c r="F830" s="2" t="str">
        <x:v>2025-12-01</x:v>
      </x:c>
      <x:c r="G830" s="2" t="str">
        <x:v>YoY carry</x:v>
      </x:c>
      <x:c r="H830" s="7" t="n">
        <x:v>40275.73665577103</x:v>
      </x:c>
      <x:c r="I830" s="7" t="n">
        <x:v>40512</x:v>
      </x:c>
      <x:c r="J830" s="2" t="str">
        <x:v>2026-02-10</x:v>
      </x:c>
      <x:c r="K830" s="7" t="n">
        <x:f>100*(H830/I830-1)</x:f>
        <x:v>-0.5831934839775177</x:v>
      </x:c>
      <x:c r="L830" s="7" t="n">
        <x:f>ABS(K830)</x:f>
        <x:v>0.5831934839775177</x:v>
      </x:c>
      <x:c r="M830" s="2" t="str">
        <x:v>Yes</x:v>
      </x:c>
    </x:row>
    <x:row r="831" ht="27" customHeight="1">
      <x:c r="A831" s="2"/>
      <x:c r="B831" s="2" t="str">
        <x:v>RSHPCS</x:v>
      </x:c>
      <x:c r="C831" s="2" t="str">
        <x:v>2025-12-31</x:v>
      </x:c>
      <x:c r="D831" s="2" t="str">
        <x:v>Pre-earnings</x:v>
      </x:c>
      <x:c r="E831" s="2" t="str">
        <x:v>2026-01-22</x:v>
      </x:c>
      <x:c r="F831" s="2" t="str">
        <x:v>2025-12-01</x:v>
      </x:c>
      <x:c r="G831" s="2" t="str">
        <x:v>Flat level</x:v>
      </x:c>
      <x:c r="H831" s="7" t="n">
        <x:v>40677</x:v>
      </x:c>
      <x:c r="I831" s="7" t="n">
        <x:v>40512</x:v>
      </x:c>
      <x:c r="J831" s="2" t="str">
        <x:v>2026-02-10</x:v>
      </x:c>
      <x:c r="K831" s="7" t="n">
        <x:f>100*(H831/I831-1)</x:f>
        <x:v>0.4072867298578142</x:v>
      </x:c>
      <x:c r="L831" s="7" t="n">
        <x:f>ABS(K831)</x:f>
        <x:v>0.4072867298578142</x:v>
      </x:c>
      <x:c r="M831" s="2" t="str">
        <x:v>Yes</x:v>
      </x:c>
    </x:row>
    <x:row r="832" ht="27" customHeight="1">
      <x:c r="A832" s="2"/>
      <x:c r="B832" s="2" t="str">
        <x:v>RSHPCS</x:v>
      </x:c>
      <x:c r="C832" s="2" t="str">
        <x:v>2025-12-31</x:v>
      </x:c>
      <x:c r="D832" s="2" t="str">
        <x:v>Pre-earnings</x:v>
      </x:c>
      <x:c r="E832" s="2" t="str">
        <x:v>2026-01-22</x:v>
      </x:c>
      <x:c r="F832" s="2" t="str">
        <x:v>2025-12-01</x:v>
      </x:c>
      <x:c r="G832" s="2" t="str">
        <x:v>Recent trend</x:v>
      </x:c>
      <x:c r="H832" s="7" t="n">
        <x:v>40697</x:v>
      </x:c>
      <x:c r="I832" s="7" t="n">
        <x:v>40512</x:v>
      </x:c>
      <x:c r="J832" s="2" t="str">
        <x:v>2026-02-10</x:v>
      </x:c>
      <x:c r="K832" s="7" t="n">
        <x:f>100*(H832/I832-1)</x:f>
        <x:v>0.4566548183254415</x:v>
      </x:c>
      <x:c r="L832" s="7" t="n">
        <x:f>ABS(K832)</x:f>
        <x:v>0.4566548183254415</x:v>
      </x:c>
      <x:c r="M832" s="2" t="str">
        <x:v>Yes</x:v>
      </x:c>
    </x:row>
    <x:row r="833" ht="27" customHeight="1">
      <x:c r="A833" s="2"/>
      <x:c r="B833" s="2" t="str">
        <x:v>RSHPCS</x:v>
      </x:c>
      <x:c r="C833" s="2" t="str">
        <x:v>2026-03-31</x:v>
      </x:c>
      <x:c r="D833" s="2" t="str">
        <x:v>Origin</x:v>
      </x:c>
      <x:c r="E833" s="2" t="str">
        <x:v>2026-01-01</x:v>
      </x:c>
      <x:c r="F833" s="2" t="str">
        <x:v>2026-01-01</x:v>
      </x:c>
      <x:c r="G833" s="2" t="str">
        <x:v>YoY carry</x:v>
      </x:c>
      <x:c r="H833" s="7" t="n">
        <x:v>39718.87862892024</x:v>
      </x:c>
      <x:c r="I833" s="7" t="n">
        <x:v>38910</x:v>
      </x:c>
      <x:c r="J833" s="2" t="str">
        <x:v>2026-03-06</x:v>
      </x:c>
      <x:c r="K833" s="7" t="n">
        <x:f>100*(H833/I833-1)</x:f>
        <x:v>2.078845101311333</x:v>
      </x:c>
      <x:c r="L833" s="7" t="n">
        <x:f>ABS(K833)</x:f>
        <x:v>2.078845101311333</x:v>
      </x:c>
      <x:c r="M833" s="2" t="str">
        <x:v>Yes</x:v>
      </x:c>
    </x:row>
    <x:row r="834" ht="27" customHeight="1">
      <x:c r="A834" s="2"/>
      <x:c r="B834" s="2" t="str">
        <x:v>RSHPCS</x:v>
      </x:c>
      <x:c r="C834" s="2" t="str">
        <x:v>2026-03-31</x:v>
      </x:c>
      <x:c r="D834" s="2" t="str">
        <x:v>Origin</x:v>
      </x:c>
      <x:c r="E834" s="2" t="str">
        <x:v>2026-01-01</x:v>
      </x:c>
      <x:c r="F834" s="2" t="str">
        <x:v>2026-02-01</x:v>
      </x:c>
      <x:c r="G834" s="2" t="str">
        <x:v>YoY carry</x:v>
      </x:c>
      <x:c r="H834" s="7" t="n">
        <x:v>40891.446421029614</x:v>
      </x:c>
      <x:c r="I834" s="7" t="n">
        <x:v>39850</x:v>
      </x:c>
      <x:c r="J834" s="2" t="str">
        <x:v>2026-04-01</x:v>
      </x:c>
      <x:c r="K834" s="7" t="n">
        <x:f>100*(H834/I834-1)</x:f>
        <x:v>2.613416363938814</x:v>
      </x:c>
      <x:c r="L834" s="7" t="n">
        <x:f>ABS(K834)</x:f>
        <x:v>2.613416363938814</x:v>
      </x:c>
      <x:c r="M834" s="2" t="str">
        <x:v>Yes</x:v>
      </x:c>
    </x:row>
    <x:row r="835" ht="27" customHeight="1">
      <x:c r="A835" s="2"/>
      <x:c r="B835" s="2" t="str">
        <x:v>RSHPCS</x:v>
      </x:c>
      <x:c r="C835" s="2" t="str">
        <x:v>2026-03-31</x:v>
      </x:c>
      <x:c r="D835" s="2" t="str">
        <x:v>Origin</x:v>
      </x:c>
      <x:c r="E835" s="2" t="str">
        <x:v>2026-01-01</x:v>
      </x:c>
      <x:c r="F835" s="2" t="str">
        <x:v>2026-03-01</x:v>
      </x:c>
      <x:c r="G835" s="2" t="str">
        <x:v>YoY carry</x:v>
      </x:c>
      <x:c r="H835" s="7" t="n">
        <x:v>41334.60495367132</x:v>
      </x:c>
      <x:c r="I835" s="7" t="n">
        <x:v>39866</x:v>
      </x:c>
      <x:c r="J835" s="2" t="str">
        <x:v>2026-04-21</x:v>
      </x:c>
      <x:c r="K835" s="7" t="n">
        <x:f>100*(H835/I835-1)</x:f>
        <x:v>3.6838532927088607</x:v>
      </x:c>
      <x:c r="L835" s="7" t="n">
        <x:f>ABS(K835)</x:f>
        <x:v>3.6838532927088607</x:v>
      </x:c>
      <x:c r="M835" s="2" t="str">
        <x:v>Yes</x:v>
      </x:c>
    </x:row>
    <x:row r="836" ht="27" customHeight="1">
      <x:c r="A836" s="2"/>
      <x:c r="B836" s="2" t="str">
        <x:v>RSHPCS</x:v>
      </x:c>
      <x:c r="C836" s="2" t="str">
        <x:v>2026-03-31</x:v>
      </x:c>
      <x:c r="D836" s="2" t="str">
        <x:v>Origin</x:v>
      </x:c>
      <x:c r="E836" s="2" t="str">
        <x:v>2026-01-01</x:v>
      </x:c>
      <x:c r="F836" s="2" t="str">
        <x:v>2026-01-01</x:v>
      </x:c>
      <x:c r="G836" s="2" t="str">
        <x:v>Flat level</x:v>
      </x:c>
      <x:c r="H836" s="7" t="n">
        <x:v>40399</x:v>
      </x:c>
      <x:c r="I836" s="7" t="n">
        <x:v>38910</x:v>
      </x:c>
      <x:c r="J836" s="2" t="str">
        <x:v>2026-03-06</x:v>
      </x:c>
      <x:c r="K836" s="7" t="n">
        <x:f>100*(H836/I836-1)</x:f>
        <x:v>3.8267797481367216</x:v>
      </x:c>
      <x:c r="L836" s="7" t="n">
        <x:f>ABS(K836)</x:f>
        <x:v>3.8267797481367216</x:v>
      </x:c>
      <x:c r="M836" s="2" t="str">
        <x:v>Yes</x:v>
      </x:c>
    </x:row>
    <x:row r="837" ht="27" customHeight="1">
      <x:c r="A837" s="2"/>
      <x:c r="B837" s="2" t="str">
        <x:v>RSHPCS</x:v>
      </x:c>
      <x:c r="C837" s="2" t="str">
        <x:v>2026-03-31</x:v>
      </x:c>
      <x:c r="D837" s="2" t="str">
        <x:v>Origin</x:v>
      </x:c>
      <x:c r="E837" s="2" t="str">
        <x:v>2026-01-01</x:v>
      </x:c>
      <x:c r="F837" s="2" t="str">
        <x:v>2026-02-01</x:v>
      </x:c>
      <x:c r="G837" s="2" t="str">
        <x:v>Flat level</x:v>
      </x:c>
      <x:c r="H837" s="7" t="n">
        <x:v>40399</x:v>
      </x:c>
      <x:c r="I837" s="7" t="n">
        <x:v>39850</x:v>
      </x:c>
      <x:c r="J837" s="2" t="str">
        <x:v>2026-04-01</x:v>
      </x:c>
      <x:c r="K837" s="7" t="n">
        <x:f>100*(H837/I837-1)</x:f>
        <x:v>1.3776662484316082</x:v>
      </x:c>
      <x:c r="L837" s="7" t="n">
        <x:f>ABS(K837)</x:f>
        <x:v>1.3776662484316082</x:v>
      </x:c>
      <x:c r="M837" s="2" t="str">
        <x:v>Yes</x:v>
      </x:c>
    </x:row>
    <x:row r="838" ht="27" customHeight="1">
      <x:c r="A838" s="2"/>
      <x:c r="B838" s="2" t="str">
        <x:v>RSHPCS</x:v>
      </x:c>
      <x:c r="C838" s="2" t="str">
        <x:v>2026-03-31</x:v>
      </x:c>
      <x:c r="D838" s="2" t="str">
        <x:v>Origin</x:v>
      </x:c>
      <x:c r="E838" s="2" t="str">
        <x:v>2026-01-01</x:v>
      </x:c>
      <x:c r="F838" s="2" t="str">
        <x:v>2026-03-01</x:v>
      </x:c>
      <x:c r="G838" s="2" t="str">
        <x:v>Flat level</x:v>
      </x:c>
      <x:c r="H838" s="7" t="n">
        <x:v>40399</x:v>
      </x:c>
      <x:c r="I838" s="7" t="n">
        <x:v>39866</x:v>
      </x:c>
      <x:c r="J838" s="2" t="str">
        <x:v>2026-04-21</x:v>
      </x:c>
      <x:c r="K838" s="7" t="n">
        <x:f>100*(H838/I838-1)</x:f>
        <x:v>1.336978879245465</x:v>
      </x:c>
      <x:c r="L838" s="7" t="n">
        <x:f>ABS(K838)</x:f>
        <x:v>1.336978879245465</x:v>
      </x:c>
      <x:c r="M838" s="2" t="str">
        <x:v>Yes</x:v>
      </x:c>
    </x:row>
    <x:row r="839" ht="27" customHeight="1">
      <x:c r="A839" s="2"/>
      <x:c r="B839" s="2" t="str">
        <x:v>RSHPCS</x:v>
      </x:c>
      <x:c r="C839" s="2" t="str">
        <x:v>2026-03-31</x:v>
      </x:c>
      <x:c r="D839" s="2" t="str">
        <x:v>Origin</x:v>
      </x:c>
      <x:c r="E839" s="2" t="str">
        <x:v>2026-01-01</x:v>
      </x:c>
      <x:c r="F839" s="2" t="str">
        <x:v>2026-01-01</x:v>
      </x:c>
      <x:c r="G839" s="2" t="str">
        <x:v>Recent trend</x:v>
      </x:c>
      <x:c r="H839" s="7" t="n">
        <x:v>40820.5</x:v>
      </x:c>
      <x:c r="I839" s="7" t="n">
        <x:v>38910</x:v>
      </x:c>
      <x:c r="J839" s="2" t="str">
        <x:v>2026-03-06</x:v>
      </x:c>
      <x:c r="K839" s="7" t="n">
        <x:f>100*(H839/I839-1)</x:f>
        <x:v>4.9100488306347945</x:v>
      </x:c>
      <x:c r="L839" s="7" t="n">
        <x:f>ABS(K839)</x:f>
        <x:v>4.9100488306347945</x:v>
      </x:c>
      <x:c r="M839" s="2" t="str">
        <x:v>Yes</x:v>
      </x:c>
    </x:row>
    <x:row r="840" ht="27" customHeight="1">
      <x:c r="A840" s="2"/>
      <x:c r="B840" s="2" t="str">
        <x:v>RSHPCS</x:v>
      </x:c>
      <x:c r="C840" s="2" t="str">
        <x:v>2026-03-31</x:v>
      </x:c>
      <x:c r="D840" s="2" t="str">
        <x:v>Origin</x:v>
      </x:c>
      <x:c r="E840" s="2" t="str">
        <x:v>2026-01-01</x:v>
      </x:c>
      <x:c r="F840" s="2" t="str">
        <x:v>2026-02-01</x:v>
      </x:c>
      <x:c r="G840" s="2" t="str">
        <x:v>Recent trend</x:v>
      </x:c>
      <x:c r="H840" s="7" t="n">
        <x:v>40961</x:v>
      </x:c>
      <x:c r="I840" s="7" t="n">
        <x:v>39850</x:v>
      </x:c>
      <x:c r="J840" s="2" t="str">
        <x:v>2026-04-01</x:v>
      </x:c>
      <x:c r="K840" s="7" t="n">
        <x:f>100*(H840/I840-1)</x:f>
        <x:v>2.7879548306148028</x:v>
      </x:c>
      <x:c r="L840" s="7" t="n">
        <x:f>ABS(K840)</x:f>
        <x:v>2.7879548306148028</x:v>
      </x:c>
      <x:c r="M840" s="2" t="str">
        <x:v>Yes</x:v>
      </x:c>
    </x:row>
    <x:row r="841" ht="27" customHeight="1">
      <x:c r="A841" s="2"/>
      <x:c r="B841" s="2" t="str">
        <x:v>RSHPCS</x:v>
      </x:c>
      <x:c r="C841" s="2" t="str">
        <x:v>2026-03-31</x:v>
      </x:c>
      <x:c r="D841" s="2" t="str">
        <x:v>Origin</x:v>
      </x:c>
      <x:c r="E841" s="2" t="str">
        <x:v>2026-01-01</x:v>
      </x:c>
      <x:c r="F841" s="2" t="str">
        <x:v>2026-03-01</x:v>
      </x:c>
      <x:c r="G841" s="2" t="str">
        <x:v>Recent trend</x:v>
      </x:c>
      <x:c r="H841" s="7" t="n">
        <x:v>41101.5</x:v>
      </x:c>
      <x:c r="I841" s="7" t="n">
        <x:v>39866</x:v>
      </x:c>
      <x:c r="J841" s="2" t="str">
        <x:v>2026-04-21</x:v>
      </x:c>
      <x:c r="K841" s="7" t="n">
        <x:f>100*(H841/I841-1)</x:f>
        <x:v>3.0991320925099153</x:v>
      </x:c>
      <x:c r="L841" s="7" t="n">
        <x:f>ABS(K841)</x:f>
        <x:v>3.0991320925099153</x:v>
      </x:c>
      <x:c r="M841" s="2" t="str">
        <x:v>Yes</x:v>
      </x:c>
    </x:row>
    <x:row r="842" ht="27" customHeight="1">
      <x:c r="A842" s="2"/>
      <x:c r="B842" s="2" t="str">
        <x:v>RSHPCS</x:v>
      </x:c>
      <x:c r="C842" s="2" t="str">
        <x:v>2026-03-31</x:v>
      </x:c>
      <x:c r="D842" s="2" t="str">
        <x:v>One month</x:v>
      </x:c>
      <x:c r="E842" s="2" t="str">
        <x:v>2026-03-06</x:v>
      </x:c>
      <x:c r="F842" s="2" t="str">
        <x:v>2026-02-01</x:v>
      </x:c>
      <x:c r="G842" s="2" t="str">
        <x:v>YoY carry</x:v>
      </x:c>
      <x:c r="H842" s="7" t="n">
        <x:v>40439.30848068168</x:v>
      </x:c>
      <x:c r="I842" s="7" t="n">
        <x:v>39850</x:v>
      </x:c>
      <x:c r="J842" s="2" t="str">
        <x:v>2026-04-01</x:v>
      </x:c>
      <x:c r="K842" s="7" t="n">
        <x:f>100*(H842/I842-1)</x:f>
        <x:v>1.4788167645713335</x:v>
      </x:c>
      <x:c r="L842" s="7" t="n">
        <x:f>ABS(K842)</x:f>
        <x:v>1.4788167645713335</x:v>
      </x:c>
      <x:c r="M842" s="2" t="str">
        <x:v>Yes</x:v>
      </x:c>
    </x:row>
    <x:row r="843" ht="27" customHeight="1">
      <x:c r="A843" s="2"/>
      <x:c r="B843" s="2" t="str">
        <x:v>RSHPCS</x:v>
      </x:c>
      <x:c r="C843" s="2" t="str">
        <x:v>2026-03-31</x:v>
      </x:c>
      <x:c r="D843" s="2" t="str">
        <x:v>One month</x:v>
      </x:c>
      <x:c r="E843" s="2" t="str">
        <x:v>2026-03-06</x:v>
      </x:c>
      <x:c r="F843" s="2" t="str">
        <x:v>2026-03-01</x:v>
      </x:c>
      <x:c r="G843" s="2" t="str">
        <x:v>YoY carry</x:v>
      </x:c>
      <x:c r="H843" s="7" t="n">
        <x:v>40877.56699623586</x:v>
      </x:c>
      <x:c r="I843" s="7" t="n">
        <x:v>39866</x:v>
      </x:c>
      <x:c r="J843" s="2" t="str">
        <x:v>2026-04-21</x:v>
      </x:c>
      <x:c r="K843" s="7" t="n">
        <x:f>100*(H843/I843-1)</x:f>
        <x:v>2.5374178403548386</x:v>
      </x:c>
      <x:c r="L843" s="7" t="n">
        <x:f>ABS(K843)</x:f>
        <x:v>2.5374178403548386</x:v>
      </x:c>
      <x:c r="M843" s="2" t="str">
        <x:v>Yes</x:v>
      </x:c>
    </x:row>
    <x:row r="844" ht="27" customHeight="1">
      <x:c r="A844" s="2"/>
      <x:c r="B844" s="2" t="str">
        <x:v>RSHPCS</x:v>
      </x:c>
      <x:c r="C844" s="2" t="str">
        <x:v>2026-03-31</x:v>
      </x:c>
      <x:c r="D844" s="2" t="str">
        <x:v>One month</x:v>
      </x:c>
      <x:c r="E844" s="2" t="str">
        <x:v>2026-03-06</x:v>
      </x:c>
      <x:c r="F844" s="2" t="str">
        <x:v>2026-02-01</x:v>
      </x:c>
      <x:c r="G844" s="2" t="str">
        <x:v>Flat level</x:v>
      </x:c>
      <x:c r="H844" s="7" t="n">
        <x:v>38910</x:v>
      </x:c>
      <x:c r="I844" s="7" t="n">
        <x:v>39850</x:v>
      </x:c>
      <x:c r="J844" s="2" t="str">
        <x:v>2026-04-01</x:v>
      </x:c>
      <x:c r="K844" s="7" t="n">
        <x:f>100*(H844/I844-1)</x:f>
        <x:v>-2.358845671267251</x:v>
      </x:c>
      <x:c r="L844" s="7" t="n">
        <x:f>ABS(K844)</x:f>
        <x:v>2.358845671267251</x:v>
      </x:c>
      <x:c r="M844" s="2" t="str">
        <x:v>Yes</x:v>
      </x:c>
    </x:row>
    <x:row r="845" ht="27" customHeight="1">
      <x:c r="A845" s="2"/>
      <x:c r="B845" s="2" t="str">
        <x:v>RSHPCS</x:v>
      </x:c>
      <x:c r="C845" s="2" t="str">
        <x:v>2026-03-31</x:v>
      </x:c>
      <x:c r="D845" s="2" t="str">
        <x:v>One month</x:v>
      </x:c>
      <x:c r="E845" s="2" t="str">
        <x:v>2026-03-06</x:v>
      </x:c>
      <x:c r="F845" s="2" t="str">
        <x:v>2026-03-01</x:v>
      </x:c>
      <x:c r="G845" s="2" t="str">
        <x:v>Flat level</x:v>
      </x:c>
      <x:c r="H845" s="7" t="n">
        <x:v>38910</x:v>
      </x:c>
      <x:c r="I845" s="7" t="n">
        <x:v>39866</x:v>
      </x:c>
      <x:c r="J845" s="2" t="str">
        <x:v>2026-04-21</x:v>
      </x:c>
      <x:c r="K845" s="7" t="n">
        <x:f>100*(H845/I845-1)</x:f>
        <x:v>-2.3980334119299673</x:v>
      </x:c>
      <x:c r="L845" s="7" t="n">
        <x:f>ABS(K845)</x:f>
        <x:v>2.3980334119299673</x:v>
      </x:c>
      <x:c r="M845" s="2" t="str">
        <x:v>Yes</x:v>
      </x:c>
    </x:row>
    <x:row r="846" ht="27" customHeight="1">
      <x:c r="A846" s="2"/>
      <x:c r="B846" s="2" t="str">
        <x:v>RSHPCS</x:v>
      </x:c>
      <x:c r="C846" s="2" t="str">
        <x:v>2026-03-31</x:v>
      </x:c>
      <x:c r="D846" s="2" t="str">
        <x:v>One month</x:v>
      </x:c>
      <x:c r="E846" s="2" t="str">
        <x:v>2026-03-06</x:v>
      </x:c>
      <x:c r="F846" s="2" t="str">
        <x:v>2026-02-01</x:v>
      </x:c>
      <x:c r="G846" s="2" t="str">
        <x:v>Recent trend</x:v>
      </x:c>
      <x:c r="H846" s="7" t="n">
        <x:v>38254</x:v>
      </x:c>
      <x:c r="I846" s="7" t="n">
        <x:v>39850</x:v>
      </x:c>
      <x:c r="J846" s="2" t="str">
        <x:v>2026-04-01</x:v>
      </x:c>
      <x:c r="K846" s="7" t="n">
        <x:f>100*(H846/I846-1)</x:f>
        <x:v>-4.005018820577167</x:v>
      </x:c>
      <x:c r="L846" s="7" t="n">
        <x:f>ABS(K846)</x:f>
        <x:v>4.005018820577167</x:v>
      </x:c>
      <x:c r="M846" s="2" t="str">
        <x:v>Yes</x:v>
      </x:c>
    </x:row>
    <x:row r="847" ht="27" customHeight="1">
      <x:c r="A847" s="2"/>
      <x:c r="B847" s="2" t="str">
        <x:v>RSHPCS</x:v>
      </x:c>
      <x:c r="C847" s="2" t="str">
        <x:v>2026-03-31</x:v>
      </x:c>
      <x:c r="D847" s="2" t="str">
        <x:v>One month</x:v>
      </x:c>
      <x:c r="E847" s="2" t="str">
        <x:v>2026-03-06</x:v>
      </x:c>
      <x:c r="F847" s="2" t="str">
        <x:v>2026-03-01</x:v>
      </x:c>
      <x:c r="G847" s="2" t="str">
        <x:v>Recent trend</x:v>
      </x:c>
      <x:c r="H847" s="7" t="n">
        <x:v>37598</x:v>
      </x:c>
      <x:c r="I847" s="7" t="n">
        <x:v>39866</x:v>
      </x:c>
      <x:c r="J847" s="2" t="str">
        <x:v>2026-04-21</x:v>
      </x:c>
      <x:c r="K847" s="7" t="n">
        <x:f>100*(H847/I847-1)</x:f>
        <x:v>-5.689058345457287</x:v>
      </x:c>
      <x:c r="L847" s="7" t="n">
        <x:f>ABS(K847)</x:f>
        <x:v>5.689058345457287</x:v>
      </x:c>
      <x:c r="M847" s="2" t="str">
        <x:v>Yes</x:v>
      </x:c>
    </x:row>
    <x:row r="848" ht="27" customHeight="1">
      <x:c r="A848" s="2"/>
      <x:c r="B848" s="2" t="str">
        <x:v>RSHPCS</x:v>
      </x:c>
      <x:c r="C848" s="2" t="str">
        <x:v>2026-03-31</x:v>
      </x:c>
      <x:c r="D848" s="2" t="str">
        <x:v>Two months</x:v>
      </x:c>
      <x:c r="E848" s="2" t="str">
        <x:v>2026-04-01</x:v>
      </x:c>
      <x:c r="F848" s="2" t="str">
        <x:v>2026-03-01</x:v>
      </x:c>
      <x:c r="G848" s="2" t="str">
        <x:v>YoY carry</x:v>
      </x:c>
      <x:c r="H848" s="7" t="n">
        <x:v>40510.69178277834</x:v>
      </x:c>
      <x:c r="I848" s="7" t="n">
        <x:v>39866</x:v>
      </x:c>
      <x:c r="J848" s="2" t="str">
        <x:v>2026-04-21</x:v>
      </x:c>
      <x:c r="K848" s="7" t="n">
        <x:f>100*(H848/I848-1)</x:f>
        <x:v>1.6171468990576976</x:v>
      </x:c>
      <x:c r="L848" s="7" t="n">
        <x:f>ABS(K848)</x:f>
        <x:v>1.6171468990576976</x:v>
      </x:c>
      <x:c r="M848" s="2" t="str">
        <x:v>Yes</x:v>
      </x:c>
    </x:row>
    <x:row r="849" ht="27" customHeight="1">
      <x:c r="A849" s="2"/>
      <x:c r="B849" s="2" t="str">
        <x:v>RSHPCS</x:v>
      </x:c>
      <x:c r="C849" s="2" t="str">
        <x:v>2026-03-31</x:v>
      </x:c>
      <x:c r="D849" s="2" t="str">
        <x:v>Two months</x:v>
      </x:c>
      <x:c r="E849" s="2" t="str">
        <x:v>2026-04-01</x:v>
      </x:c>
      <x:c r="F849" s="2" t="str">
        <x:v>2026-03-01</x:v>
      </x:c>
      <x:c r="G849" s="2" t="str">
        <x:v>Flat level</x:v>
      </x:c>
      <x:c r="H849" s="7" t="n">
        <x:v>39850</x:v>
      </x:c>
      <x:c r="I849" s="7" t="n">
        <x:v>39866</x:v>
      </x:c>
      <x:c r="J849" s="2" t="str">
        <x:v>2026-04-21</x:v>
      </x:c>
      <x:c r="K849" s="7" t="n">
        <x:f>100*(H849/I849-1)</x:f>
        <x:v>-0.04013445040886854</x:v>
      </x:c>
      <x:c r="L849" s="7" t="n">
        <x:f>ABS(K849)</x:f>
        <x:v>0.04013445040886854</x:v>
      </x:c>
      <x:c r="M849" s="2" t="str">
        <x:v>Yes</x:v>
      </x:c>
    </x:row>
    <x:row r="850" ht="27" customHeight="1">
      <x:c r="A850" s="2"/>
      <x:c r="B850" s="2" t="str">
        <x:v>RSHPCS</x:v>
      </x:c>
      <x:c r="C850" s="2" t="str">
        <x:v>2026-03-31</x:v>
      </x:c>
      <x:c r="D850" s="2" t="str">
        <x:v>Two months</x:v>
      </x:c>
      <x:c r="E850" s="2" t="str">
        <x:v>2026-04-01</x:v>
      </x:c>
      <x:c r="F850" s="2" t="str">
        <x:v>2026-03-01</x:v>
      </x:c>
      <x:c r="G850" s="2" t="str">
        <x:v>Recent trend</x:v>
      </x:c>
      <x:c r="H850" s="7" t="n">
        <x:v>39715.5</x:v>
      </x:c>
      <x:c r="I850" s="7" t="n">
        <x:v>39866</x:v>
      </x:c>
      <x:c r="J850" s="2" t="str">
        <x:v>2026-04-21</x:v>
      </x:c>
      <x:c r="K850" s="7" t="n">
        <x:f>100*(H850/I850-1)</x:f>
        <x:v>-0.3775146741584301</x:v>
      </x:c>
      <x:c r="L850" s="7" t="n">
        <x:f>ABS(K850)</x:f>
        <x:v>0.3775146741584301</x:v>
      </x:c>
      <x:c r="M850" s="2" t="str">
        <x:v>Yes</x:v>
      </x:c>
    </x:row>
    <x:row r="851" ht="27" customHeight="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  <x:c r="L851" s="2"/>
      <x:c r="M851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59" hidden="0" customWidth="1"/>
    <x:col min="3" max="3" width="18" hidden="0" customWidth="1"/>
    <x:col min="4" max="4" width="20" hidden="0" customWidth="1"/>
    <x:col min="5" max="5" width="18" hidden="0" customWidth="1"/>
    <x:col min="6" max="6" width="2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7" customHeight="1">
      <x:c r="A2" s="2"/>
      <x:c r="B2" s="3" t="str">
        <x:v>3 | Feed the market estimate into P&amp;G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27" customHeight="1">
      <x:c r="A3" s="2"/>
      <x:c r="B3" s="2" t="str">
        <x:v>Later-filled columns are hindsight diagnostics ONLY. Coefficients are fitted from training_pairs.csv; rerun Python to refit.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46" customHeight="1">
      <x:c r="A5" s="2"/>
      <x:c r="B5" s="6" t="str">
        <x:v>P&amp;G measure / series</x:v>
      </x:c>
      <x:c r="C5" s="6" t="str">
        <x:v>Quarter</x:v>
      </x:c>
      <x:c r="D5" s="6" t="str">
        <x:v>Checkpoint</x:v>
      </x:c>
      <x:c r="E5" s="6" t="str">
        <x:v>Known by</x:v>
      </x:c>
      <x:c r="F5" s="6" t="str">
        <x:v>Method</x:v>
      </x:c>
      <x:c r="G5" s="6" t="str">
        <x:v>Training n</x:v>
      </x:c>
      <x:c r="H5" s="6" t="str">
        <x:v>Intercept</x:v>
      </x:c>
      <x:c r="I5" s="6" t="str">
        <x:v>Slope</x:v>
      </x:c>
      <x:c r="J5" s="6" t="str">
        <x:v>Market YoY %</x:v>
      </x:c>
      <x:c r="K5" s="6" t="str">
        <x:v>Prediction</x:v>
      </x:c>
      <x:c r="L5" s="6" t="str">
        <x:v>Actual</x:v>
      </x:c>
      <x:c r="M5" s="6" t="str">
        <x:v>Error pp</x:v>
      </x:c>
      <x:c r="N5" s="6" t="str">
        <x:v>Squared error</x:v>
      </x:c>
      <x:c r="O5" s="6" t="str">
        <x:v>Last actual</x:v>
      </x:c>
      <x:c r="P5" s="6" t="str">
        <x:v>4-qtr mean</x:v>
      </x:c>
      <x:c r="Q5" s="6" t="str">
        <x:v>Later-filled market %</x:v>
      </x:c>
      <x:c r="R5" s="6" t="str">
        <x:v>Later-filled prediction</x:v>
      </x:c>
      <x:c r="S5" s="6" t="str">
        <x:v>Relationship error</x:v>
      </x:c>
      <x:c r="T5" s="6" t="str">
        <x:v>Missing-input error</x:v>
      </x:c>
      <x:c r="U5" s="6" t="str">
        <x:v>Error check</x:v>
      </x:c>
    </x:row>
    <x:row r="6" ht="27" customHeight="1">
      <x:c r="A6" s="2"/>
      <x:c r="B6" s="2" t="str">
        <x:v>Health Care | price_contribution | CUUR0000SEGB</x:v>
      </x:c>
      <x:c r="C6" s="2" t="str">
        <x:v>2024-09-30</x:v>
      </x:c>
      <x:c r="D6" s="2" t="str">
        <x:v>Origin</x:v>
      </x:c>
      <x:c r="E6" s="2" t="str">
        <x:v>2024-07-01</x:v>
      </x:c>
      <x:c r="F6" s="2" t="str">
        <x:v>YoY carry</x:v>
      </x:c>
      <x:c r="G6" s="2" t="n">
        <x:v>13</x:v>
      </x:c>
      <x:c r="H6" s="7" t="n">
        <x:v>1.4240774162255865</x:v>
      </x:c>
      <x:c r="I6" s="7" t="n">
        <x:v>0.7034112072834454</x:v>
      </x:c>
      <x:c r="J6" s="7" t="n">
        <x:v>2.4448012966521437</x:v>
      </x:c>
      <x:c r="K6" s="7" t="n">
        <x:f>H6+I6*J6</x:f>
        <x:v>3.1437780478718036</x:v>
      </x:c>
      <x:c r="L6" s="7" t="n">
        <x:v>1</x:v>
      </x:c>
      <x:c r="M6" s="7" t="n">
        <x:f>K6-L6</x:f>
        <x:v>2.1437780478718036</x:v>
      </x:c>
      <x:c r="N6" s="7" t="n">
        <x:f>M6^2</x:f>
        <x:v>4.595784318537041</x:v>
      </x:c>
      <x:c r="O6" s="7" t="n">
        <x:v>4</x:v>
      </x:c>
      <x:c r="P6" s="7" t="n">
        <x:v>5.25</x:v>
      </x:c>
      <x:c r="Q6" s="7" t="n">
        <x:v>0.373301115227731</x:v>
      </x:c>
      <x:c r="R6" s="7" t="n">
        <x:f>H6+I6*Q6</x:f>
        <x:v>1.6866616043681812</x:v>
      </x:c>
      <x:c r="S6" s="7" t="n">
        <x:f>R6-L6</x:f>
        <x:v>0.6866616043681812</x:v>
      </x:c>
      <x:c r="T6" s="7" t="n">
        <x:f>K6-R6</x:f>
        <x:v>1.4571164435036223</x:v>
      </x:c>
      <x:c r="U6" s="7" t="n">
        <x:f>M6-S6-T6</x:f>
        <x:v>0</x:v>
      </x:c>
    </x:row>
    <x:row r="7" ht="27" customHeight="1">
      <x:c r="A7" s="2"/>
      <x:c r="B7" s="2" t="str">
        <x:v>Health Care | price_contribution | CUUR0000SEGB</x:v>
      </x:c>
      <x:c r="C7" s="2" t="str">
        <x:v>2024-09-30</x:v>
      </x:c>
      <x:c r="D7" s="2" t="str">
        <x:v>Origin</x:v>
      </x:c>
      <x:c r="E7" s="2" t="str">
        <x:v>2024-07-01</x:v>
      </x:c>
      <x:c r="F7" s="2" t="str">
        <x:v>Flat level</x:v>
      </x:c>
      <x:c r="G7" s="2" t="n">
        <x:v>13</x:v>
      </x:c>
      <x:c r="H7" s="7" t="n">
        <x:v>1.4240774162255865</x:v>
      </x:c>
      <x:c r="I7" s="7" t="n">
        <x:v>0.7034112072834454</x:v>
      </x:c>
      <x:c r="J7" s="7" t="n">
        <x:v>0.3368313168963688</x:v>
      </x:c>
      <x:c r="K7" s="7" t="n">
        <x:f>H7+I7*J7</x:f>
        <x:v>1.661008339494534</x:v>
      </x:c>
      <x:c r="L7" s="7" t="n">
        <x:v>1</x:v>
      </x:c>
      <x:c r="M7" s="7" t="n">
        <x:f>K7-L7</x:f>
        <x:v>0.6610083394945341</x:v>
      </x:c>
      <x:c r="N7" s="7" t="n">
        <x:f>M7^2</x:f>
        <x:v>0.4369320248813212</x:v>
      </x:c>
      <x:c r="O7" s="7" t="n">
        <x:v>4</x:v>
      </x:c>
      <x:c r="P7" s="7" t="n">
        <x:v>5.25</x:v>
      </x:c>
      <x:c r="Q7" s="7" t="n">
        <x:v>0.373301115227731</x:v>
      </x:c>
      <x:c r="R7" s="7" t="n">
        <x:f>H7+I7*Q7</x:f>
        <x:v>1.6866616043681812</x:v>
      </x:c>
      <x:c r="S7" s="7" t="n">
        <x:f>R7-L7</x:f>
        <x:v>0.6866616043681812</x:v>
      </x:c>
      <x:c r="T7" s="7" t="n">
        <x:f>K7-R7</x:f>
        <x:v>-0.025653264873647164</x:v>
      </x:c>
      <x:c r="U7" s="7" t="n">
        <x:f>M7-S7-T7</x:f>
        <x:v>0</x:v>
      </x:c>
    </x:row>
    <x:row r="8" ht="27" customHeight="1">
      <x:c r="A8" s="2"/>
      <x:c r="B8" s="2" t="str">
        <x:v>Health Care | price_contribution | CUUR0000SEGB</x:v>
      </x:c>
      <x:c r="C8" s="2" t="str">
        <x:v>2024-09-30</x:v>
      </x:c>
      <x:c r="D8" s="2" t="str">
        <x:v>Origin</x:v>
      </x:c>
      <x:c r="E8" s="2" t="str">
        <x:v>2024-07-01</x:v>
      </x:c>
      <x:c r="F8" s="2" t="str">
        <x:v>Recent trend</x:v>
      </x:c>
      <x:c r="G8" s="2" t="n">
        <x:v>13</x:v>
      </x:c>
      <x:c r="H8" s="7" t="n">
        <x:v>1.4240774162255865</x:v>
      </x:c>
      <x:c r="I8" s="7" t="n">
        <x:v>0.7034112072834454</x:v>
      </x:c>
      <x:c r="J8" s="7" t="n">
        <x:v>-0.40041968321770094</x:v>
      </x:c>
      <x:c r="K8" s="7" t="n">
        <x:f>H8+I8*J8</x:f>
        <x:v>1.1424177234333688</x:v>
      </x:c>
      <x:c r="L8" s="7" t="n">
        <x:v>1</x:v>
      </x:c>
      <x:c r="M8" s="7" t="n">
        <x:f>K8-L8</x:f>
        <x:v>0.14241772343336878</x:v>
      </x:c>
      <x:c r="N8" s="7" t="n">
        <x:f>M8^2</x:f>
        <x:v>0.02028280794794352</x:v>
      </x:c>
      <x:c r="O8" s="7" t="n">
        <x:v>4</x:v>
      </x:c>
      <x:c r="P8" s="7" t="n">
        <x:v>5.25</x:v>
      </x:c>
      <x:c r="Q8" s="7" t="n">
        <x:v>0.373301115227731</x:v>
      </x:c>
      <x:c r="R8" s="7" t="n">
        <x:f>H8+I8*Q8</x:f>
        <x:v>1.6866616043681812</x:v>
      </x:c>
      <x:c r="S8" s="7" t="n">
        <x:f>R8-L8</x:f>
        <x:v>0.6866616043681812</x:v>
      </x:c>
      <x:c r="T8" s="7" t="n">
        <x:f>K8-R8</x:f>
        <x:v>-0.5442438809348125</x:v>
      </x:c>
      <x:c r="U8" s="7" t="n">
        <x:f>M8-S8-T8</x:f>
        <x:v>0</x:v>
      </x:c>
    </x:row>
    <x:row r="9" ht="27" customHeight="1">
      <x:c r="A9" s="2"/>
      <x:c r="B9" s="2" t="str">
        <x:v>Health Care | price_contribution | CUUR0000SEGB</x:v>
      </x:c>
      <x:c r="C9" s="2" t="str">
        <x:v>2024-09-30</x:v>
      </x:c>
      <x:c r="D9" s="2" t="str">
        <x:v>Origin</x:v>
      </x:c>
      <x:c r="E9" s="2" t="str">
        <x:v>2024-07-01</x:v>
      </x:c>
      <x:c r="F9" s="2" t="str">
        <x:v>Seasonal step</x:v>
      </x:c>
      <x:c r="G9" s="2" t="n">
        <x:v>13</x:v>
      </x:c>
      <x:c r="H9" s="7" t="n">
        <x:v>1.4240774162255865</x:v>
      </x:c>
      <x:c r="I9" s="7" t="n">
        <x:v>0.7034112072834454</x:v>
      </x:c>
      <x:c r="J9" s="7" t="n">
        <x:v>1.4900771199476637</x:v>
      </x:c>
      <x:c r="K9" s="7" t="n">
        <x:f>H9+I9*J9</x:f>
        <x:v>2.472214362113412</x:v>
      </x:c>
      <x:c r="L9" s="7" t="n">
        <x:v>1</x:v>
      </x:c>
      <x:c r="M9" s="7" t="n">
        <x:f>K9-L9</x:f>
        <x:v>1.4722143621134118</x:v>
      </x:c>
      <x:c r="N9" s="7" t="n">
        <x:f>M9^2</x:f>
        <x:v>2.1674151280130003</x:v>
      </x:c>
      <x:c r="O9" s="7" t="n">
        <x:v>4</x:v>
      </x:c>
      <x:c r="P9" s="7" t="n">
        <x:v>5.25</x:v>
      </x:c>
      <x:c r="Q9" s="7" t="n">
        <x:v>0.373301115227731</x:v>
      </x:c>
      <x:c r="R9" s="7" t="n">
        <x:f>H9+I9*Q9</x:f>
        <x:v>1.6866616043681812</x:v>
      </x:c>
      <x:c r="S9" s="7" t="n">
        <x:f>R9-L9</x:f>
        <x:v>0.6866616043681812</x:v>
      </x:c>
      <x:c r="T9" s="7" t="n">
        <x:f>K9-R9</x:f>
        <x:v>0.7855527577452306</x:v>
      </x:c>
      <x:c r="U9" s="7" t="n">
        <x:f>M9-S9-T9</x:f>
        <x:v>0</x:v>
      </x:c>
    </x:row>
    <x:row r="10" ht="27" customHeight="1">
      <x:c r="A10" s="2"/>
      <x:c r="B10" s="2" t="str">
        <x:v>Health Care | price_contribution | CUUR0000SEGB</x:v>
      </x:c>
      <x:c r="C10" s="2" t="str">
        <x:v>2024-09-30</x:v>
      </x:c>
      <x:c r="D10" s="2" t="str">
        <x:v>One month</x:v>
      </x:c>
      <x:c r="E10" s="2" t="str">
        <x:v>2024-08-14</x:v>
      </x:c>
      <x:c r="F10" s="2" t="str">
        <x:v>YoY carry</x:v>
      </x:c>
      <x:c r="G10" s="2" t="n">
        <x:v>10</x:v>
      </x:c>
      <x:c r="H10" s="7" t="n">
        <x:v>2.4132031844812296</x:v>
      </x:c>
      <x:c r="I10" s="7" t="n">
        <x:v>0.5202874585826232</x:v>
      </x:c>
      <x:c r="J10" s="7" t="n">
        <x:v>0.9729515490539242</x:v>
      </x:c>
      <x:c r="K10" s="7" t="n">
        <x:f>H10+I10*J10</x:f>
        <x:v>2.9194176732625223</x:v>
      </x:c>
      <x:c r="L10" s="7" t="n">
        <x:v>1</x:v>
      </x:c>
      <x:c r="M10" s="7" t="n">
        <x:f>K10-L10</x:f>
        <x:v>1.9194176732625223</x:v>
      </x:c>
      <x:c r="N10" s="7" t="n">
        <x:f>M10^2</x:f>
        <x:v>3.684164204432515</x:v>
      </x:c>
      <x:c r="O10" s="7" t="n">
        <x:v>2</x:v>
      </x:c>
      <x:c r="P10" s="7" t="n">
        <x:v>4.25</x:v>
      </x:c>
      <x:c r="Q10" s="7" t="n">
        <x:v>0.373301115227731</x:v>
      </x:c>
      <x:c r="R10" s="7" t="n">
        <x:f>H10+I10*Q10</x:f>
        <x:v>2.607427073009125</x:v>
      </x:c>
      <x:c r="S10" s="7" t="n">
        <x:f>R10-L10</x:f>
        <x:v>1.607427073009125</x:v>
      </x:c>
      <x:c r="T10" s="7" t="n">
        <x:f>K10-R10</x:f>
        <x:v>0.3119906002533974</x:v>
      </x:c>
      <x:c r="U10" s="7" t="n">
        <x:f>M10-S10-T10</x:f>
        <x:v>0</x:v>
      </x:c>
    </x:row>
    <x:row r="11" ht="27" customHeight="1">
      <x:c r="A11" s="2"/>
      <x:c r="B11" s="2" t="str">
        <x:v>Health Care | price_contribution | CUUR0000SEGB</x:v>
      </x:c>
      <x:c r="C11" s="2" t="str">
        <x:v>2024-09-30</x:v>
      </x:c>
      <x:c r="D11" s="2" t="str">
        <x:v>One month</x:v>
      </x:c>
      <x:c r="E11" s="2" t="str">
        <x:v>2024-08-14</x:v>
      </x:c>
      <x:c r="F11" s="2" t="str">
        <x:v>Flat level</x:v>
      </x:c>
      <x:c r="G11" s="2" t="n">
        <x:v>10</x:v>
      </x:c>
      <x:c r="H11" s="7" t="n">
        <x:v>2.4132031844812296</x:v>
      </x:c>
      <x:c r="I11" s="7" t="n">
        <x:v>0.5202874585826232</x:v>
      </x:c>
      <x:c r="J11" s="7" t="n">
        <x:v>0.47653869819652694</x:v>
      </x:c>
      <x:c r="K11" s="7" t="n">
        <x:f>H11+I11*J11</x:f>
        <x:v>2.6611402926821723</x:v>
      </x:c>
      <x:c r="L11" s="7" t="n">
        <x:v>1</x:v>
      </x:c>
      <x:c r="M11" s="7" t="n">
        <x:f>K11-L11</x:f>
        <x:v>1.6611402926821723</x:v>
      </x:c>
      <x:c r="N11" s="7" t="n">
        <x:f>M11^2</x:f>
        <x:v>2.7593870719722133</x:v>
      </x:c>
      <x:c r="O11" s="7" t="n">
        <x:v>2</x:v>
      </x:c>
      <x:c r="P11" s="7" t="n">
        <x:v>4.25</x:v>
      </x:c>
      <x:c r="Q11" s="7" t="n">
        <x:v>0.373301115227731</x:v>
      </x:c>
      <x:c r="R11" s="7" t="n">
        <x:f>H11+I11*Q11</x:f>
        <x:v>2.607427073009125</x:v>
      </x:c>
      <x:c r="S11" s="7" t="n">
        <x:f>R11-L11</x:f>
        <x:v>1.607427073009125</x:v>
      </x:c>
      <x:c r="T11" s="7" t="n">
        <x:f>K11-R11</x:f>
        <x:v>0.05371321967304743</x:v>
      </x:c>
      <x:c r="U11" s="7" t="n">
        <x:f>M11-S11-T11</x:f>
        <x:v>0</x:v>
      </x:c>
    </x:row>
    <x:row r="12" ht="27" customHeight="1">
      <x:c r="A12" s="2"/>
      <x:c r="B12" s="2" t="str">
        <x:v>Health Care | price_contribution | CUUR0000SEGB</x:v>
      </x:c>
      <x:c r="C12" s="2" t="str">
        <x:v>2024-09-30</x:v>
      </x:c>
      <x:c r="D12" s="2" t="str">
        <x:v>One month</x:v>
      </x:c>
      <x:c r="E12" s="2" t="str">
        <x:v>2024-08-14</x:v>
      </x:c>
      <x:c r="F12" s="2" t="str">
        <x:v>Recent trend</x:v>
      </x:c>
      <x:c r="G12" s="2" t="n">
        <x:v>10</x:v>
      </x:c>
      <x:c r="H12" s="7" t="n">
        <x:v>2.4132031844812296</x:v>
      </x:c>
      <x:c r="I12" s="7" t="n">
        <x:v>0.5202874585826232</x:v>
      </x:c>
      <x:c r="J12" s="7" t="n">
        <x:v>0.5463923888466171</x:v>
      </x:c>
      <x:c r="K12" s="7" t="n">
        <x:f>H12+I12*J12</x:f>
        <x:v>2.6974842918631246</x:v>
      </x:c>
      <x:c r="L12" s="7" t="n">
        <x:v>1</x:v>
      </x:c>
      <x:c r="M12" s="7" t="n">
        <x:f>K12-L12</x:f>
        <x:v>1.6974842918631246</x:v>
      </x:c>
      <x:c r="N12" s="7" t="n">
        <x:f>M12^2</x:f>
        <x:v>2.881452921122053</x:v>
      </x:c>
      <x:c r="O12" s="7" t="n">
        <x:v>2</x:v>
      </x:c>
      <x:c r="P12" s="7" t="n">
        <x:v>4.25</x:v>
      </x:c>
      <x:c r="Q12" s="7" t="n">
        <x:v>0.373301115227731</x:v>
      </x:c>
      <x:c r="R12" s="7" t="n">
        <x:f>H12+I12*Q12</x:f>
        <x:v>2.607427073009125</x:v>
      </x:c>
      <x:c r="S12" s="7" t="n">
        <x:f>R12-L12</x:f>
        <x:v>1.607427073009125</x:v>
      </x:c>
      <x:c r="T12" s="7" t="n">
        <x:f>K12-R12</x:f>
        <x:v>0.09005721885399964</x:v>
      </x:c>
      <x:c r="U12" s="7" t="n">
        <x:f>M12-S12-T12</x:f>
        <x:v>0</x:v>
      </x:c>
    </x:row>
    <x:row r="13" ht="27" customHeight="1">
      <x:c r="A13" s="2"/>
      <x:c r="B13" s="2" t="str">
        <x:v>Health Care | price_contribution | CUUR0000SEGB</x:v>
      </x:c>
      <x:c r="C13" s="2" t="str">
        <x:v>2024-09-30</x:v>
      </x:c>
      <x:c r="D13" s="2" t="str">
        <x:v>One month</x:v>
      </x:c>
      <x:c r="E13" s="2" t="str">
        <x:v>2024-08-14</x:v>
      </x:c>
      <x:c r="F13" s="2" t="str">
        <x:v>Seasonal step</x:v>
      </x:c>
      <x:c r="G13" s="2" t="n">
        <x:v>10</x:v>
      </x:c>
      <x:c r="H13" s="7" t="n">
        <x:v>2.4132031844812296</x:v>
      </x:c>
      <x:c r="I13" s="7" t="n">
        <x:v>0.5202874585826232</x:v>
      </x:c>
      <x:c r="J13" s="7" t="n">
        <x:v>0.9637676061960088</x:v>
      </x:c>
      <x:c r="K13" s="7" t="n">
        <x:f>H13+I13*J13</x:f>
        <x:v>2.9146393829732093</x:v>
      </x:c>
      <x:c r="L13" s="7" t="n">
        <x:v>1</x:v>
      </x:c>
      <x:c r="M13" s="7" t="n">
        <x:f>K13-L13</x:f>
        <x:v>1.9146393829732093</x:v>
      </x:c>
      <x:c r="N13" s="7" t="n">
        <x:f>M13^2</x:f>
        <x:v>3.665843966832032</x:v>
      </x:c>
      <x:c r="O13" s="7" t="n">
        <x:v>2</x:v>
      </x:c>
      <x:c r="P13" s="7" t="n">
        <x:v>4.25</x:v>
      </x:c>
      <x:c r="Q13" s="7" t="n">
        <x:v>0.373301115227731</x:v>
      </x:c>
      <x:c r="R13" s="7" t="n">
        <x:f>H13+I13*Q13</x:f>
        <x:v>2.607427073009125</x:v>
      </x:c>
      <x:c r="S13" s="7" t="n">
        <x:f>R13-L13</x:f>
        <x:v>1.607427073009125</x:v>
      </x:c>
      <x:c r="T13" s="7" t="n">
        <x:f>K13-R13</x:f>
        <x:v>0.30721230996408444</x:v>
      </x:c>
      <x:c r="U13" s="7" t="n">
        <x:f>M13-S13-T13</x:f>
        <x:v>0</x:v>
      </x:c>
    </x:row>
    <x:row r="14" ht="27" customHeight="1">
      <x:c r="A14" s="2"/>
      <x:c r="B14" s="2" t="str">
        <x:v>Health Care | price_contribution | CUUR0000SEGB</x:v>
      </x:c>
      <x:c r="C14" s="2" t="str">
        <x:v>2024-09-30</x:v>
      </x:c>
      <x:c r="D14" s="2" t="str">
        <x:v>Two months</x:v>
      </x:c>
      <x:c r="E14" s="2" t="str">
        <x:v>2024-09-11</x:v>
      </x:c>
      <x:c r="F14" s="2" t="str">
        <x:v>YoY carry</x:v>
      </x:c>
      <x:c r="G14" s="2" t="n">
        <x:v>10</x:v>
      </x:c>
      <x:c r="H14" s="7" t="n">
        <x:v>2.4132031844812296</x:v>
      </x:c>
      <x:c r="I14" s="7" t="n">
        <x:v>0.5202874585826232</x:v>
      </x:c>
      <x:c r="J14" s="7" t="n">
        <x:v>0.5503919068613472</x:v>
      </x:c>
      <x:c r="K14" s="7" t="n">
        <x:f>H14+I14*J14</x:f>
        <x:v>2.6995651909265637</x:v>
      </x:c>
      <x:c r="L14" s="7" t="n">
        <x:v>1</x:v>
      </x:c>
      <x:c r="M14" s="7" t="n">
        <x:f>K14-L14</x:f>
        <x:v>1.6995651909265637</x:v>
      </x:c>
      <x:c r="N14" s="7" t="n">
        <x:f>M14^2</x:f>
        <x:v>2.888521838209247</x:v>
      </x:c>
      <x:c r="O14" s="7" t="n">
        <x:v>2</x:v>
      </x:c>
      <x:c r="P14" s="7" t="n">
        <x:v>4.25</x:v>
      </x:c>
      <x:c r="Q14" s="7" t="n">
        <x:v>0.373301115227731</x:v>
      </x:c>
      <x:c r="R14" s="7" t="n">
        <x:f>H14+I14*Q14</x:f>
        <x:v>2.607427073009125</x:v>
      </x:c>
      <x:c r="S14" s="7" t="n">
        <x:f>R14-L14</x:f>
        <x:v>1.607427073009125</x:v>
      </x:c>
      <x:c r="T14" s="7" t="n">
        <x:f>K14-R14</x:f>
        <x:v>0.09213811791743876</x:v>
      </x:c>
      <x:c r="U14" s="7" t="n">
        <x:f>M14-S14-T14</x:f>
        <x:v>0</x:v>
      </x:c>
    </x:row>
    <x:row r="15" ht="27" customHeight="1">
      <x:c r="A15" s="2"/>
      <x:c r="B15" s="2" t="str">
        <x:v>Health Care | price_contribution | CUUR0000SEGB</x:v>
      </x:c>
      <x:c r="C15" s="2" t="str">
        <x:v>2024-09-30</x:v>
      </x:c>
      <x:c r="D15" s="2" t="str">
        <x:v>Two months</x:v>
      </x:c>
      <x:c r="E15" s="2" t="str">
        <x:v>2024-09-11</x:v>
      </x:c>
      <x:c r="F15" s="2" t="str">
        <x:v>Flat level</x:v>
      </x:c>
      <x:c r="G15" s="2" t="n">
        <x:v>10</x:v>
      </x:c>
      <x:c r="H15" s="7" t="n">
        <x:v>2.4132031844812296</x:v>
      </x:c>
      <x:c r="I15" s="7" t="n">
        <x:v>0.5202874585826232</x:v>
      </x:c>
      <x:c r="J15" s="7" t="n">
        <x:v>0.24200984123481373</x:v>
      </x:c>
      <x:c r="K15" s="7" t="n">
        <x:f>H15+I15*J15</x:f>
        <x:v>2.539117869729275</x:v>
      </x:c>
      <x:c r="L15" s="7" t="n">
        <x:v>1</x:v>
      </x:c>
      <x:c r="M15" s="7" t="n">
        <x:f>K15-L15</x:f>
        <x:v>1.539117869729275</x:v>
      </x:c>
      <x:c r="N15" s="7" t="n">
        <x:f>M15^2</x:f>
        <x:v>2.3688838169199813</x:v>
      </x:c>
      <x:c r="O15" s="7" t="n">
        <x:v>2</x:v>
      </x:c>
      <x:c r="P15" s="7" t="n">
        <x:v>4.25</x:v>
      </x:c>
      <x:c r="Q15" s="7" t="n">
        <x:v>0.373301115227731</x:v>
      </x:c>
      <x:c r="R15" s="7" t="n">
        <x:f>H15+I15*Q15</x:f>
        <x:v>2.607427073009125</x:v>
      </x:c>
      <x:c r="S15" s="7" t="n">
        <x:f>R15-L15</x:f>
        <x:v>1.607427073009125</x:v>
      </x:c>
      <x:c r="T15" s="7" t="n">
        <x:f>K15-R15</x:f>
        <x:v>-0.06830920327985002</x:v>
      </x:c>
      <x:c r="U15" s="7" t="n">
        <x:f>M15-S15-T15</x:f>
        <x:v>0</x:v>
      </x:c>
    </x:row>
    <x:row r="16" ht="27" customHeight="1">
      <x:c r="A16" s="2"/>
      <x:c r="B16" s="2" t="str">
        <x:v>Health Care | price_contribution | CUUR0000SEGB</x:v>
      </x:c>
      <x:c r="C16" s="2" t="str">
        <x:v>2024-09-30</x:v>
      </x:c>
      <x:c r="D16" s="2" t="str">
        <x:v>Two months</x:v>
      </x:c>
      <x:c r="E16" s="2" t="str">
        <x:v>2024-09-11</x:v>
      </x:c>
      <x:c r="F16" s="2" t="str">
        <x:v>Recent trend</x:v>
      </x:c>
      <x:c r="G16" s="2" t="n">
        <x:v>10</x:v>
      </x:c>
      <x:c r="H16" s="7" t="n">
        <x:v>2.4132031844812296</x:v>
      </x:c>
      <x:c r="I16" s="7" t="n">
        <x:v>0.5202874585826232</x:v>
      </x:c>
      <x:c r="J16" s="7" t="n">
        <x:v>0.22050201144965254</x:v>
      </x:c>
      <x:c r="K16" s="7" t="n">
        <x:f>H16+I16*J16</x:f>
        <x:v>2.527927615630726</x:v>
      </x:c>
      <x:c r="L16" s="7" t="n">
        <x:v>1</x:v>
      </x:c>
      <x:c r="M16" s="7" t="n">
        <x:f>K16-L16</x:f>
        <x:v>1.527927615630726</x:v>
      </x:c>
      <x:c r="N16" s="7" t="n">
        <x:f>M16^2</x:f>
        <x:v>2.3345627986069957</x:v>
      </x:c>
      <x:c r="O16" s="7" t="n">
        <x:v>2</x:v>
      </x:c>
      <x:c r="P16" s="7" t="n">
        <x:v>4.25</x:v>
      </x:c>
      <x:c r="Q16" s="7" t="n">
        <x:v>0.373301115227731</x:v>
      </x:c>
      <x:c r="R16" s="7" t="n">
        <x:f>H16+I16*Q16</x:f>
        <x:v>2.607427073009125</x:v>
      </x:c>
      <x:c r="S16" s="7" t="n">
        <x:f>R16-L16</x:f>
        <x:v>1.607427073009125</x:v>
      </x:c>
      <x:c r="T16" s="7" t="n">
        <x:f>K16-R16</x:f>
        <x:v>-0.07949945737839892</x:v>
      </x:c>
      <x:c r="U16" s="7" t="n">
        <x:f>M16-S16-T16</x:f>
        <x:v>0</x:v>
      </x:c>
    </x:row>
    <x:row r="17" ht="27" customHeight="1">
      <x:c r="A17" s="2"/>
      <x:c r="B17" s="2" t="str">
        <x:v>Health Care | price_contribution | CUUR0000SEGB</x:v>
      </x:c>
      <x:c r="C17" s="2" t="str">
        <x:v>2024-09-30</x:v>
      </x:c>
      <x:c r="D17" s="2" t="str">
        <x:v>Two months</x:v>
      </x:c>
      <x:c r="E17" s="2" t="str">
        <x:v>2024-09-11</x:v>
      </x:c>
      <x:c r="F17" s="2" t="str">
        <x:v>Seasonal step</x:v>
      </x:c>
      <x:c r="G17" s="2" t="n">
        <x:v>10</x:v>
      </x:c>
      <x:c r="H17" s="7" t="n">
        <x:v>2.4132031844812296</x:v>
      </x:c>
      <x:c r="I17" s="7" t="n">
        <x:v>0.5202874585826232</x:v>
      </x:c>
      <x:c r="J17" s="7" t="n">
        <x:v>0.3681675557887232</x:v>
      </x:c>
      <x:c r="K17" s="7" t="n">
        <x:f>H17+I17*J17</x:f>
        <x:v>2.6047561464151205</x:v>
      </x:c>
      <x:c r="L17" s="7" t="n">
        <x:v>1</x:v>
      </x:c>
      <x:c r="M17" s="7" t="n">
        <x:f>K17-L17</x:f>
        <x:v>1.6047561464151205</x:v>
      </x:c>
      <x:c r="N17" s="7" t="n">
        <x:f>M17^2</x:f>
        <x:v>2.575242289457108</x:v>
      </x:c>
      <x:c r="O17" s="7" t="n">
        <x:v>2</x:v>
      </x:c>
      <x:c r="P17" s="7" t="n">
        <x:v>4.25</x:v>
      </x:c>
      <x:c r="Q17" s="7" t="n">
        <x:v>0.373301115227731</x:v>
      </x:c>
      <x:c r="R17" s="7" t="n">
        <x:f>H17+I17*Q17</x:f>
        <x:v>2.607427073009125</x:v>
      </x:c>
      <x:c r="S17" s="7" t="n">
        <x:f>R17-L17</x:f>
        <x:v>1.607427073009125</x:v>
      </x:c>
      <x:c r="T17" s="7" t="n">
        <x:f>K17-R17</x:f>
        <x:v>-0.0026709265940043636</x:v>
      </x:c>
      <x:c r="U17" s="7" t="n">
        <x:f>M17-S17-T17</x:f>
        <x:v>0</x:v>
      </x:c>
    </x:row>
    <x:row r="18" ht="27" customHeight="1">
      <x:c r="A18" s="2"/>
      <x:c r="B18" s="2" t="str">
        <x:v>Health Care | price_contribution | CUUR0000SEGB</x:v>
      </x:c>
      <x:c r="C18" s="2" t="str">
        <x:v>2024-09-30</x:v>
      </x:c>
      <x:c r="D18" s="2" t="str">
        <x:v>Pre-earnings</x:v>
      </x:c>
      <x:c r="E18" s="2" t="str">
        <x:v>2024-10-17</x:v>
      </x:c>
      <x:c r="F18" s="2" t="str">
        <x:v>YoY carry</x:v>
      </x:c>
      <x:c r="G18" s="2" t="n">
        <x:v>14</x:v>
      </x:c>
      <x:c r="H18" s="7" t="n">
        <x:v>1.3556789650290924</x:v>
      </x:c>
      <x:c r="I18" s="7" t="n">
        <x:v>0.7116235919433743</x:v>
      </x:c>
      <x:c r="J18" s="7" t="n">
        <x:v>0.373301115227731</x:v>
      </x:c>
      <x:c r="K18" s="7" t="n">
        <x:f>H18+I18*J18</x:f>
        <x:v>1.6213288455239176</x:v>
      </x:c>
      <x:c r="L18" s="7" t="n">
        <x:v>1</x:v>
      </x:c>
      <x:c r="M18" s="7" t="n">
        <x:f>K18-L18</x:f>
        <x:v>0.6213288455239176</x:v>
      </x:c>
      <x:c r="N18" s="7" t="n">
        <x:f>M18^2</x:f>
        <x:v>0.3860495342800843</x:v>
      </x:c>
      <x:c r="O18" s="7" t="n">
        <x:v>2</x:v>
      </x:c>
      <x:c r="P18" s="7" t="n">
        <x:v>4.25</x:v>
      </x:c>
      <x:c r="Q18" s="7" t="n">
        <x:v>0.373301115227731</x:v>
      </x:c>
      <x:c r="R18" s="7" t="n">
        <x:f>H18+I18*Q18</x:f>
        <x:v>1.6213288455239176</x:v>
      </x:c>
      <x:c r="S18" s="7" t="n">
        <x:f>R18-L18</x:f>
        <x:v>0.6213288455239176</x:v>
      </x:c>
      <x:c r="T18" s="7" t="n">
        <x:f>K18-R18</x:f>
        <x:v>0</x:v>
      </x:c>
      <x:c r="U18" s="7" t="n">
        <x:f>M18-S18-T18</x:f>
        <x:v>0</x:v>
      </x:c>
    </x:row>
    <x:row r="19" ht="27" customHeight="1">
      <x:c r="A19" s="2"/>
      <x:c r="B19" s="2" t="str">
        <x:v>Health Care | price_contribution | CUUR0000SEGB</x:v>
      </x:c>
      <x:c r="C19" s="2" t="str">
        <x:v>2024-09-30</x:v>
      </x:c>
      <x:c r="D19" s="2" t="str">
        <x:v>Pre-earnings</x:v>
      </x:c>
      <x:c r="E19" s="2" t="str">
        <x:v>2024-10-17</x:v>
      </x:c>
      <x:c r="F19" s="2" t="str">
        <x:v>Flat level</x:v>
      </x:c>
      <x:c r="G19" s="2" t="n">
        <x:v>14</x:v>
      </x:c>
      <x:c r="H19" s="7" t="n">
        <x:v>1.3556789650290924</x:v>
      </x:c>
      <x:c r="I19" s="7" t="n">
        <x:v>0.7116235919433743</x:v>
      </x:c>
      <x:c r="J19" s="7" t="n">
        <x:v>0.373301115227731</x:v>
      </x:c>
      <x:c r="K19" s="7" t="n">
        <x:f>H19+I19*J19</x:f>
        <x:v>1.6213288455239176</x:v>
      </x:c>
      <x:c r="L19" s="7" t="n">
        <x:v>1</x:v>
      </x:c>
      <x:c r="M19" s="7" t="n">
        <x:f>K19-L19</x:f>
        <x:v>0.6213288455239176</x:v>
      </x:c>
      <x:c r="N19" s="7" t="n">
        <x:f>M19^2</x:f>
        <x:v>0.3860495342800843</x:v>
      </x:c>
      <x:c r="O19" s="7" t="n">
        <x:v>2</x:v>
      </x:c>
      <x:c r="P19" s="7" t="n">
        <x:v>4.25</x:v>
      </x:c>
      <x:c r="Q19" s="7" t="n">
        <x:v>0.373301115227731</x:v>
      </x:c>
      <x:c r="R19" s="7" t="n">
        <x:f>H19+I19*Q19</x:f>
        <x:v>1.6213288455239176</x:v>
      </x:c>
      <x:c r="S19" s="7" t="n">
        <x:f>R19-L19</x:f>
        <x:v>0.6213288455239176</x:v>
      </x:c>
      <x:c r="T19" s="7" t="n">
        <x:f>K19-R19</x:f>
        <x:v>0</x:v>
      </x:c>
      <x:c r="U19" s="7" t="n">
        <x:f>M19-S19-T19</x:f>
        <x:v>0</x:v>
      </x:c>
    </x:row>
    <x:row r="20" ht="27" customHeight="1">
      <x:c r="A20" s="2"/>
      <x:c r="B20" s="2" t="str">
        <x:v>Health Care | price_contribution | CUUR0000SEGB</x:v>
      </x:c>
      <x:c r="C20" s="2" t="str">
        <x:v>2024-09-30</x:v>
      </x:c>
      <x:c r="D20" s="2" t="str">
        <x:v>Pre-earnings</x:v>
      </x:c>
      <x:c r="E20" s="2" t="str">
        <x:v>2024-10-17</x:v>
      </x:c>
      <x:c r="F20" s="2" t="str">
        <x:v>Recent trend</x:v>
      </x:c>
      <x:c r="G20" s="2" t="n">
        <x:v>14</x:v>
      </x:c>
      <x:c r="H20" s="7" t="n">
        <x:v>1.3556789650290924</x:v>
      </x:c>
      <x:c r="I20" s="7" t="n">
        <x:v>0.7116235919433743</x:v>
      </x:c>
      <x:c r="J20" s="7" t="n">
        <x:v>0.373301115227731</x:v>
      </x:c>
      <x:c r="K20" s="7" t="n">
        <x:f>H20+I20*J20</x:f>
        <x:v>1.6213288455239176</x:v>
      </x:c>
      <x:c r="L20" s="7" t="n">
        <x:v>1</x:v>
      </x:c>
      <x:c r="M20" s="7" t="n">
        <x:f>K20-L20</x:f>
        <x:v>0.6213288455239176</x:v>
      </x:c>
      <x:c r="N20" s="7" t="n">
        <x:f>M20^2</x:f>
        <x:v>0.3860495342800843</x:v>
      </x:c>
      <x:c r="O20" s="7" t="n">
        <x:v>2</x:v>
      </x:c>
      <x:c r="P20" s="7" t="n">
        <x:v>4.25</x:v>
      </x:c>
      <x:c r="Q20" s="7" t="n">
        <x:v>0.373301115227731</x:v>
      </x:c>
      <x:c r="R20" s="7" t="n">
        <x:f>H20+I20*Q20</x:f>
        <x:v>1.6213288455239176</x:v>
      </x:c>
      <x:c r="S20" s="7" t="n">
        <x:f>R20-L20</x:f>
        <x:v>0.6213288455239176</x:v>
      </x:c>
      <x:c r="T20" s="7" t="n">
        <x:f>K20-R20</x:f>
        <x:v>0</x:v>
      </x:c>
      <x:c r="U20" s="7" t="n">
        <x:f>M20-S20-T20</x:f>
        <x:v>0</x:v>
      </x:c>
    </x:row>
    <x:row r="21" ht="27" customHeight="1">
      <x:c r="A21" s="2"/>
      <x:c r="B21" s="2" t="str">
        <x:v>Health Care | price_contribution | CUUR0000SEGB</x:v>
      </x:c>
      <x:c r="C21" s="2" t="str">
        <x:v>2024-09-30</x:v>
      </x:c>
      <x:c r="D21" s="2" t="str">
        <x:v>Pre-earnings</x:v>
      </x:c>
      <x:c r="E21" s="2" t="str">
        <x:v>2024-10-17</x:v>
      </x:c>
      <x:c r="F21" s="2" t="str">
        <x:v>Seasonal step</x:v>
      </x:c>
      <x:c r="G21" s="2" t="n">
        <x:v>14</x:v>
      </x:c>
      <x:c r="H21" s="7" t="n">
        <x:v>1.3556789650290924</x:v>
      </x:c>
      <x:c r="I21" s="7" t="n">
        <x:v>0.7116235919433743</x:v>
      </x:c>
      <x:c r="J21" s="7" t="n">
        <x:v>0.373301115227731</x:v>
      </x:c>
      <x:c r="K21" s="7" t="n">
        <x:f>H21+I21*J21</x:f>
        <x:v>1.6213288455239176</x:v>
      </x:c>
      <x:c r="L21" s="7" t="n">
        <x:v>1</x:v>
      </x:c>
      <x:c r="M21" s="7" t="n">
        <x:f>K21-L21</x:f>
        <x:v>0.6213288455239176</x:v>
      </x:c>
      <x:c r="N21" s="7" t="n">
        <x:f>M21^2</x:f>
        <x:v>0.3860495342800843</x:v>
      </x:c>
      <x:c r="O21" s="7" t="n">
        <x:v>2</x:v>
      </x:c>
      <x:c r="P21" s="7" t="n">
        <x:v>4.25</x:v>
      </x:c>
      <x:c r="Q21" s="7" t="n">
        <x:v>0.373301115227731</x:v>
      </x:c>
      <x:c r="R21" s="7" t="n">
        <x:f>H21+I21*Q21</x:f>
        <x:v>1.6213288455239176</x:v>
      </x:c>
      <x:c r="S21" s="7" t="n">
        <x:f>R21-L21</x:f>
        <x:v>0.6213288455239176</x:v>
      </x:c>
      <x:c r="T21" s="7" t="n">
        <x:f>K21-R21</x:f>
        <x:v>0</x:v>
      </x:c>
      <x:c r="U21" s="7" t="n">
        <x:f>M21-S21-T21</x:f>
        <x:v>0</x:v>
      </x:c>
    </x:row>
    <x:row r="22" ht="27" customHeight="1">
      <x:c r="A22" s="2"/>
      <x:c r="B22" s="2" t="str">
        <x:v>Health Care | price_contribution | CUUR0000SEGB</x:v>
      </x:c>
      <x:c r="C22" s="2" t="str">
        <x:v>2024-12-31</x:v>
      </x:c>
      <x:c r="D22" s="2" t="str">
        <x:v>Origin</x:v>
      </x:c>
      <x:c r="E22" s="2" t="str">
        <x:v>2024-10-01</x:v>
      </x:c>
      <x:c r="F22" s="2" t="str">
        <x:v>YoY carry</x:v>
      </x:c>
      <x:c r="G22" s="2" t="n">
        <x:v>14</x:v>
      </x:c>
      <x:c r="H22" s="7" t="n">
        <x:v>1.3556789650290924</x:v>
      </x:c>
      <x:c r="I22" s="7" t="n">
        <x:v>0.7116235919433743</x:v>
      </x:c>
      <x:c r="J22" s="7" t="n">
        <x:v>0.672385931020969</x:v>
      </x:c>
      <x:c r="K22" s="7" t="n">
        <x:f>H22+I22*J22</x:f>
        <x:v>1.8341646564344243</x:v>
      </x:c>
      <x:c r="L22" s="7" t="n">
        <x:v>1</x:v>
      </x:c>
      <x:c r="M22" s="7" t="n">
        <x:f>K22-L22</x:f>
        <x:v>0.8341646564344243</x:v>
      </x:c>
      <x:c r="N22" s="7" t="n">
        <x:f>M22^2</x:f>
        <x:v>0.695830674044361</x:v>
      </x:c>
      <x:c r="O22" s="7" t="n">
        <x:v>2</x:v>
      </x:c>
      <x:c r="P22" s="7" t="n">
        <x:v>4.25</x:v>
      </x:c>
      <x:c r="Q22" s="7" t="n">
        <x:v>0.341068456777438</x:v>
      </x:c>
      <x:c r="R22" s="7" t="n">
        <x:f>H22+I22*Q22</x:f>
        <x:v>1.5983913253396362</x:v>
      </x:c>
      <x:c r="S22" s="7" t="n">
        <x:f>R22-L22</x:f>
        <x:v>0.5983913253396362</x:v>
      </x:c>
      <x:c r="T22" s="7" t="n">
        <x:f>K22-R22</x:f>
        <x:v>0.23577333109478804</x:v>
      </x:c>
      <x:c r="U22" s="7" t="n">
        <x:f>M22-S22-T22</x:f>
        <x:v>0</x:v>
      </x:c>
    </x:row>
    <x:row r="23" ht="27" customHeight="1">
      <x:c r="A23" s="2"/>
      <x:c r="B23" s="2" t="str">
        <x:v>Health Care | price_contribution | CUUR0000SEGB</x:v>
      </x:c>
      <x:c r="C23" s="2" t="str">
        <x:v>2024-12-31</x:v>
      </x:c>
      <x:c r="D23" s="2" t="str">
        <x:v>Origin</x:v>
      </x:c>
      <x:c r="E23" s="2" t="str">
        <x:v>2024-10-01</x:v>
      </x:c>
      <x:c r="F23" s="2" t="str">
        <x:v>Flat level</x:v>
      </x:c>
      <x:c r="G23" s="2" t="n">
        <x:v>14</x:v>
      </x:c>
      <x:c r="H23" s="7" t="n">
        <x:v>1.3556789650290924</x:v>
      </x:c>
      <x:c r="I23" s="7" t="n">
        <x:v>0.7116235919433743</x:v>
      </x:c>
      <x:c r="J23" s="7" t="n">
        <x:v>0.10583593560089533</x:v>
      </x:c>
      <x:c r="K23" s="7" t="n">
        <x:f>H23+I23*J23</x:f>
        <x:v>1.4309943136780892</x:v>
      </x:c>
      <x:c r="L23" s="7" t="n">
        <x:v>1</x:v>
      </x:c>
      <x:c r="M23" s="7" t="n">
        <x:f>K23-L23</x:f>
        <x:v>0.43099431367808916</x:v>
      </x:c>
      <x:c r="N23" s="7" t="n">
        <x:f>M23^2</x:f>
        <x:v>0.1857560984228471</x:v>
      </x:c>
      <x:c r="O23" s="7" t="n">
        <x:v>2</x:v>
      </x:c>
      <x:c r="P23" s="7" t="n">
        <x:v>4.25</x:v>
      </x:c>
      <x:c r="Q23" s="7" t="n">
        <x:v>0.341068456777438</x:v>
      </x:c>
      <x:c r="R23" s="7" t="n">
        <x:f>H23+I23*Q23</x:f>
        <x:v>1.5983913253396362</x:v>
      </x:c>
      <x:c r="S23" s="7" t="n">
        <x:f>R23-L23</x:f>
        <x:v>0.5983913253396362</x:v>
      </x:c>
      <x:c r="T23" s="7" t="n">
        <x:f>K23-R23</x:f>
        <x:v>-0.16739701166154708</x:v>
      </x:c>
      <x:c r="U23" s="7" t="n">
        <x:f>M23-S23-T23</x:f>
        <x:v>0</x:v>
      </x:c>
    </x:row>
    <x:row r="24" ht="27" customHeight="1">
      <x:c r="A24" s="2"/>
      <x:c r="B24" s="2" t="str">
        <x:v>Health Care | price_contribution | CUUR0000SEGB</x:v>
      </x:c>
      <x:c r="C24" s="2" t="str">
        <x:v>2024-12-31</x:v>
      </x:c>
      <x:c r="D24" s="2" t="str">
        <x:v>Origin</x:v>
      </x:c>
      <x:c r="E24" s="2" t="str">
        <x:v>2024-10-01</x:v>
      </x:c>
      <x:c r="F24" s="2" t="str">
        <x:v>Recent trend</x:v>
      </x:c>
      <x:c r="G24" s="2" t="n">
        <x:v>14</x:v>
      </x:c>
      <x:c r="H24" s="7" t="n">
        <x:v>1.3556789650290924</x:v>
      </x:c>
      <x:c r="I24" s="7" t="n">
        <x:v>0.7116235919433743</x:v>
      </x:c>
      <x:c r="J24" s="7" t="n">
        <x:v>-0.08769797490602027</x:v>
      </x:c>
      <x:c r="K24" s="7" t="n">
        <x:f>H24+I24*J24</x:f>
        <x:v>1.2932710171203103</x:v>
      </x:c>
      <x:c r="L24" s="7" t="n">
        <x:v>1</x:v>
      </x:c>
      <x:c r="M24" s="7" t="n">
        <x:f>K24-L24</x:f>
        <x:v>0.29327101712031034</x:v>
      </x:c>
      <x:c r="N24" s="7" t="n">
        <x:f>M24^2</x:f>
        <x:v>0.08600788948278136</x:v>
      </x:c>
      <x:c r="O24" s="7" t="n">
        <x:v>2</x:v>
      </x:c>
      <x:c r="P24" s="7" t="n">
        <x:v>4.25</x:v>
      </x:c>
      <x:c r="Q24" s="7" t="n">
        <x:v>0.341068456777438</x:v>
      </x:c>
      <x:c r="R24" s="7" t="n">
        <x:f>H24+I24*Q24</x:f>
        <x:v>1.5983913253396362</x:v>
      </x:c>
      <x:c r="S24" s="7" t="n">
        <x:f>R24-L24</x:f>
        <x:v>0.5983913253396362</x:v>
      </x:c>
      <x:c r="T24" s="7" t="n">
        <x:f>K24-R24</x:f>
        <x:v>-0.3051203082193259</x:v>
      </x:c>
      <x:c r="U24" s="7" t="n">
        <x:f>M24-S24-T24</x:f>
        <x:v>0</x:v>
      </x:c>
    </x:row>
    <x:row r="25" ht="27" customHeight="1">
      <x:c r="A25" s="2"/>
      <x:c r="B25" s="2" t="str">
        <x:v>Health Care | price_contribution | CUUR0000SEGB</x:v>
      </x:c>
      <x:c r="C25" s="2" t="str">
        <x:v>2024-12-31</x:v>
      </x:c>
      <x:c r="D25" s="2" t="str">
        <x:v>Origin</x:v>
      </x:c>
      <x:c r="E25" s="2" t="str">
        <x:v>2024-10-01</x:v>
      </x:c>
      <x:c r="F25" s="2" t="str">
        <x:v>Seasonal step</x:v>
      </x:c>
      <x:c r="G25" s="2" t="n">
        <x:v>14</x:v>
      </x:c>
      <x:c r="H25" s="7" t="n">
        <x:v>1.3556789650290924</x:v>
      </x:c>
      <x:c r="I25" s="7" t="n">
        <x:v>0.7116235919433743</x:v>
      </x:c>
      <x:c r="J25" s="7" t="n">
        <x:v>0.5333610757373597</x:v>
      </x:c>
      <x:c r="K25" s="7" t="n">
        <x:f>H25+I25*J25</x:f>
        <x:v>1.7352312895480944</x:v>
      </x:c>
      <x:c r="L25" s="7" t="n">
        <x:v>1</x:v>
      </x:c>
      <x:c r="M25" s="7" t="n">
        <x:f>K25-L25</x:f>
        <x:v>0.7352312895480944</x:v>
      </x:c>
      <x:c r="N25" s="7" t="n">
        <x:f>M25^2</x:f>
        <x:v>0.5405650491305538</x:v>
      </x:c>
      <x:c r="O25" s="7" t="n">
        <x:v>2</x:v>
      </x:c>
      <x:c r="P25" s="7" t="n">
        <x:v>4.25</x:v>
      </x:c>
      <x:c r="Q25" s="7" t="n">
        <x:v>0.341068456777438</x:v>
      </x:c>
      <x:c r="R25" s="7" t="n">
        <x:f>H25+I25*Q25</x:f>
        <x:v>1.5983913253396362</x:v>
      </x:c>
      <x:c r="S25" s="7" t="n">
        <x:f>R25-L25</x:f>
        <x:v>0.5983913253396362</x:v>
      </x:c>
      <x:c r="T25" s="7" t="n">
        <x:f>K25-R25</x:f>
        <x:v>0.13683996420845812</x:v>
      </x:c>
      <x:c r="U25" s="7" t="n">
        <x:f>M25-S25-T25</x:f>
        <x:v>0</x:v>
      </x:c>
    </x:row>
    <x:row r="26" ht="27" customHeight="1">
      <x:c r="A26" s="2"/>
      <x:c r="B26" s="2" t="str">
        <x:v>Health Care | price_contribution | CUUR0000SEGB</x:v>
      </x:c>
      <x:c r="C26" s="2" t="str">
        <x:v>2024-12-31</x:v>
      </x:c>
      <x:c r="D26" s="2" t="str">
        <x:v>One month</x:v>
      </x:c>
      <x:c r="E26" s="2" t="str">
        <x:v>2024-11-13</x:v>
      </x:c>
      <x:c r="F26" s="2" t="str">
        <x:v>YoY carry</x:v>
      </x:c>
      <x:c r="G26" s="2" t="n">
        <x:v>11</x:v>
      </x:c>
      <x:c r="H26" s="7" t="n">
        <x:v>1.8473218095476822</x:v>
      </x:c>
      <x:c r="I26" s="7" t="n">
        <x:v>0.6201248572543776</x:v>
      </x:c>
      <x:c r="J26" s="7" t="n">
        <x:v>0.07572588244633138</x:v>
      </x:c>
      <x:c r="K26" s="7" t="n">
        <x:f>H26+I26*J26</x:f>
        <x:v>1.8942813115901753</x:v>
      </x:c>
      <x:c r="L26" s="7" t="n">
        <x:v>1</x:v>
      </x:c>
      <x:c r="M26" s="7" t="n">
        <x:f>K26-L26</x:f>
        <x:v>0.8942813115901753</x:v>
      </x:c>
      <x:c r="N26" s="7" t="n">
        <x:f>M26^2</x:f>
        <x:v>0.7997390642594442</x:v>
      </x:c>
      <x:c r="O26" s="7" t="n">
        <x:v>1</x:v>
      </x:c>
      <x:c r="P26" s="7" t="n">
        <x:v>3</x:v>
      </x:c>
      <x:c r="Q26" s="7" t="n">
        <x:v>0.341068456777438</x:v>
      </x:c>
      <x:c r="R26" s="7" t="n">
        <x:f>H26+I26*Q26</x:f>
        <x:v>2.058826837620762</x:v>
      </x:c>
      <x:c r="S26" s="7" t="n">
        <x:f>R26-L26</x:f>
        <x:v>1.058826837620762</x:v>
      </x:c>
      <x:c r="T26" s="7" t="n">
        <x:f>K26-R26</x:f>
        <x:v>-0.1645455260305866</x:v>
      </x:c>
      <x:c r="U26" s="7" t="n">
        <x:f>M26-S26-T26</x:f>
        <x:v>0</x:v>
      </x:c>
    </x:row>
    <x:row r="27" ht="27" customHeight="1">
      <x:c r="A27" s="2"/>
      <x:c r="B27" s="2" t="str">
        <x:v>Health Care | price_contribution | CUUR0000SEGB</x:v>
      </x:c>
      <x:c r="C27" s="2" t="str">
        <x:v>2024-12-31</x:v>
      </x:c>
      <x:c r="D27" s="2" t="str">
        <x:v>One month</x:v>
      </x:c>
      <x:c r="E27" s="2" t="str">
        <x:v>2024-11-13</x:v>
      </x:c>
      <x:c r="F27" s="2" t="str">
        <x:v>Flat level</x:v>
      </x:c>
      <x:c r="G27" s="2" t="n">
        <x:v>11</x:v>
      </x:c>
      <x:c r="H27" s="7" t="n">
        <x:v>1.8473218095476822</x:v>
      </x:c>
      <x:c r="I27" s="7" t="n">
        <x:v>0.6201248572543776</x:v>
      </x:c>
      <x:c r="J27" s="7" t="n">
        <x:v>0.7688999420333298</x:v>
      </x:c>
      <x:c r="K27" s="7" t="n">
        <x:f>H27+I27*J27</x:f>
        <x:v>2.324135776344</x:v>
      </x:c>
      <x:c r="L27" s="7" t="n">
        <x:v>1</x:v>
      </x:c>
      <x:c r="M27" s="7" t="n">
        <x:f>K27-L27</x:f>
        <x:v>1.3241357763439998</x:v>
      </x:c>
      <x:c r="N27" s="7" t="n">
        <x:f>M27^2</x:f>
        <x:v>1.7533355541941271</x:v>
      </x:c>
      <x:c r="O27" s="7" t="n">
        <x:v>1</x:v>
      </x:c>
      <x:c r="P27" s="7" t="n">
        <x:v>3</x:v>
      </x:c>
      <x:c r="Q27" s="7" t="n">
        <x:v>0.341068456777438</x:v>
      </x:c>
      <x:c r="R27" s="7" t="n">
        <x:f>H27+I27*Q27</x:f>
        <x:v>2.058826837620762</x:v>
      </x:c>
      <x:c r="S27" s="7" t="n">
        <x:f>R27-L27</x:f>
        <x:v>1.058826837620762</x:v>
      </x:c>
      <x:c r="T27" s="7" t="n">
        <x:f>K27-R27</x:f>
        <x:v>0.2653089387232379</x:v>
      </x:c>
      <x:c r="U27" s="7" t="n">
        <x:f>M27-S27-T27</x:f>
        <x:v>0</x:v>
      </x:c>
    </x:row>
    <x:row r="28" ht="27" customHeight="1">
      <x:c r="A28" s="2"/>
      <x:c r="B28" s="2" t="str">
        <x:v>Health Care | price_contribution | CUUR0000SEGB</x:v>
      </x:c>
      <x:c r="C28" s="2" t="str">
        <x:v>2024-12-31</x:v>
      </x:c>
      <x:c r="D28" s="2" t="str">
        <x:v>One month</x:v>
      </x:c>
      <x:c r="E28" s="2" t="str">
        <x:v>2024-11-13</x:v>
      </x:c>
      <x:c r="F28" s="2" t="str">
        <x:v>Recent trend</x:v>
      </x:c>
      <x:c r="G28" s="2" t="n">
        <x:v>11</x:v>
      </x:c>
      <x:c r="H28" s="7" t="n">
        <x:v>1.8473218095476822</x:v>
      </x:c>
      <x:c r="I28" s="7" t="n">
        <x:v>0.6201248572543776</x:v>
      </x:c>
      <x:c r="J28" s="7" t="n">
        <x:v>1.100431945249536</x:v>
      </x:c>
      <x:c r="K28" s="7" t="n">
        <x:f>H28+I28*J28</x:f>
        <x:v>2.5297270125137077</x:v>
      </x:c>
      <x:c r="L28" s="7" t="n">
        <x:v>1</x:v>
      </x:c>
      <x:c r="M28" s="7" t="n">
        <x:f>K28-L28</x:f>
        <x:v>1.5297270125137077</x:v>
      </x:c>
      <x:c r="N28" s="7" t="n">
        <x:f>M28^2</x:f>
        <x:v>2.3400647328141133</x:v>
      </x:c>
      <x:c r="O28" s="7" t="n">
        <x:v>1</x:v>
      </x:c>
      <x:c r="P28" s="7" t="n">
        <x:v>3</x:v>
      </x:c>
      <x:c r="Q28" s="7" t="n">
        <x:v>0.341068456777438</x:v>
      </x:c>
      <x:c r="R28" s="7" t="n">
        <x:f>H28+I28*Q28</x:f>
        <x:v>2.058826837620762</x:v>
      </x:c>
      <x:c r="S28" s="7" t="n">
        <x:f>R28-L28</x:f>
        <x:v>1.058826837620762</x:v>
      </x:c>
      <x:c r="T28" s="7" t="n">
        <x:f>K28-R28</x:f>
        <x:v>0.4709001748929458</x:v>
      </x:c>
      <x:c r="U28" s="7" t="n">
        <x:f>M28-S28-T28</x:f>
        <x:v>0</x:v>
      </x:c>
    </x:row>
    <x:row r="29" ht="27" customHeight="1">
      <x:c r="A29" s="2"/>
      <x:c r="B29" s="2" t="str">
        <x:v>Health Care | price_contribution | CUUR0000SEGB</x:v>
      </x:c>
      <x:c r="C29" s="2" t="str">
        <x:v>2024-12-31</x:v>
      </x:c>
      <x:c r="D29" s="2" t="str">
        <x:v>One month</x:v>
      </x:c>
      <x:c r="E29" s="2" t="str">
        <x:v>2024-11-13</x:v>
      </x:c>
      <x:c r="F29" s="2" t="str">
        <x:v>Seasonal step</x:v>
      </x:c>
      <x:c r="G29" s="2" t="n">
        <x:v>11</x:v>
      </x:c>
      <x:c r="H29" s="7" t="n">
        <x:v>1.8473218095476822</x:v>
      </x:c>
      <x:c r="I29" s="7" t="n">
        <x:v>0.6201248572543776</x:v>
      </x:c>
      <x:c r="J29" s="7" t="n">
        <x:v>0.4211198997851273</x:v>
      </x:c>
      <x:c r="K29" s="7" t="n">
        <x:f>H29+I29*J29</x:f>
        <x:v>2.108468727288912</x:v>
      </x:c>
      <x:c r="L29" s="7" t="n">
        <x:v>1</x:v>
      </x:c>
      <x:c r="M29" s="7" t="n">
        <x:f>K29-L29</x:f>
        <x:v>1.108468727288912</x:v>
      </x:c>
      <x:c r="N29" s="7" t="n">
        <x:f>M29^2</x:f>
        <x:v>1.2287029193775003</x:v>
      </x:c>
      <x:c r="O29" s="7" t="n">
        <x:v>1</x:v>
      </x:c>
      <x:c r="P29" s="7" t="n">
        <x:v>3</x:v>
      </x:c>
      <x:c r="Q29" s="7" t="n">
        <x:v>0.341068456777438</x:v>
      </x:c>
      <x:c r="R29" s="7" t="n">
        <x:f>H29+I29*Q29</x:f>
        <x:v>2.058826837620762</x:v>
      </x:c>
      <x:c r="S29" s="7" t="n">
        <x:f>R29-L29</x:f>
        <x:v>1.058826837620762</x:v>
      </x:c>
      <x:c r="T29" s="7" t="n">
        <x:f>K29-R29</x:f>
        <x:v>0.049641889668150085</x:v>
      </x:c>
      <x:c r="U29" s="7" t="n">
        <x:f>M29-S29-T29</x:f>
        <x:v>0</x:v>
      </x:c>
    </x:row>
    <x:row r="30" ht="27" customHeight="1">
      <x:c r="A30" s="2"/>
      <x:c r="B30" s="2" t="str">
        <x:v>Health Care | price_contribution | CUUR0000SEGB</x:v>
      </x:c>
      <x:c r="C30" s="2" t="str">
        <x:v>2024-12-31</x:v>
      </x:c>
      <x:c r="D30" s="2" t="str">
        <x:v>Two months</x:v>
      </x:c>
      <x:c r="E30" s="2" t="str">
        <x:v>2024-12-11</x:v>
      </x:c>
      <x:c r="F30" s="2" t="str">
        <x:v>YoY carry</x:v>
      </x:c>
      <x:c r="G30" s="2" t="n">
        <x:v>11</x:v>
      </x:c>
      <x:c r="H30" s="7" t="n">
        <x:v>1.8473218095476822</x:v>
      </x:c>
      <x:c r="I30" s="7" t="n">
        <x:v>0.6201248572543776</x:v>
      </x:c>
      <x:c r="J30" s="7" t="n">
        <x:v>0.24151602653232906</x:v>
      </x:c>
      <x:c r="K30" s="7" t="n">
        <x:f>H30+I30*J30</x:f>
        <x:v>1.9970919010256873</x:v>
      </x:c>
      <x:c r="L30" s="7" t="n">
        <x:v>1</x:v>
      </x:c>
      <x:c r="M30" s="7" t="n">
        <x:f>K30-L30</x:f>
        <x:v>0.9970919010256873</x:v>
      </x:c>
      <x:c r="N30" s="7" t="n">
        <x:f>M30^2</x:f>
        <x:v>0.994192259091019</x:v>
      </x:c>
      <x:c r="O30" s="7" t="n">
        <x:v>1</x:v>
      </x:c>
      <x:c r="P30" s="7" t="n">
        <x:v>3</x:v>
      </x:c>
      <x:c r="Q30" s="7" t="n">
        <x:v>0.341068456777438</x:v>
      </x:c>
      <x:c r="R30" s="7" t="n">
        <x:f>H30+I30*Q30</x:f>
        <x:v>2.058826837620762</x:v>
      </x:c>
      <x:c r="S30" s="7" t="n">
        <x:f>R30-L30</x:f>
        <x:v>1.058826837620762</x:v>
      </x:c>
      <x:c r="T30" s="7" t="n">
        <x:f>K30-R30</x:f>
        <x:v>-0.06173493659507456</x:v>
      </x:c>
      <x:c r="U30" s="7" t="n">
        <x:f>M30-S30-T30</x:f>
        <x:v>0</x:v>
      </x:c>
    </x:row>
    <x:row r="31" ht="27" customHeight="1">
      <x:c r="A31" s="2"/>
      <x:c r="B31" s="2" t="str">
        <x:v>Health Care | price_contribution | CUUR0000SEGB</x:v>
      </x:c>
      <x:c r="C31" s="2" t="str">
        <x:v>2024-12-31</x:v>
      </x:c>
      <x:c r="D31" s="2" t="str">
        <x:v>Two months</x:v>
      </x:c>
      <x:c r="E31" s="2" t="str">
        <x:v>2024-12-11</x:v>
      </x:c>
      <x:c r="F31" s="2" t="str">
        <x:v>Flat level</x:v>
      </x:c>
      <x:c r="G31" s="2" t="n">
        <x:v>11</x:v>
      </x:c>
      <x:c r="H31" s="7" t="n">
        <x:v>1.8473218095476822</x:v>
      </x:c>
      <x:c r="I31" s="7" t="n">
        <x:v>0.6201248572543776</x:v>
      </x:c>
      <x:c r="J31" s="7" t="n">
        <x:v>0.6978440135380293</x:v>
      </x:c>
      <x:c r="K31" s="7" t="n">
        <x:f>H31+I31*J31</x:f>
        <x:v>2.2800722288287747</x:v>
      </x:c>
      <x:c r="L31" s="7" t="n">
        <x:v>1</x:v>
      </x:c>
      <x:c r="M31" s="7" t="n">
        <x:f>K31-L31</x:f>
        <x:v>1.2800722288287747</x:v>
      </x:c>
      <x:c r="N31" s="7" t="n">
        <x:f>M31^2</x:f>
        <x:v>1.638584911018667</x:v>
      </x:c>
      <x:c r="O31" s="7" t="n">
        <x:v>1</x:v>
      </x:c>
      <x:c r="P31" s="7" t="n">
        <x:v>3</x:v>
      </x:c>
      <x:c r="Q31" s="7" t="n">
        <x:v>0.341068456777438</x:v>
      </x:c>
      <x:c r="R31" s="7" t="n">
        <x:f>H31+I31*Q31</x:f>
        <x:v>2.058826837620762</x:v>
      </x:c>
      <x:c r="S31" s="7" t="n">
        <x:f>R31-L31</x:f>
        <x:v>1.058826837620762</x:v>
      </x:c>
      <x:c r="T31" s="7" t="n">
        <x:f>K31-R31</x:f>
        <x:v>0.2212453912080128</x:v>
      </x:c>
      <x:c r="U31" s="7" t="n">
        <x:f>M31-S31-T31</x:f>
        <x:v>0</x:v>
      </x:c>
    </x:row>
    <x:row r="32" ht="27" customHeight="1">
      <x:c r="A32" s="2"/>
      <x:c r="B32" s="2" t="str">
        <x:v>Health Care | price_contribution | CUUR0000SEGB</x:v>
      </x:c>
      <x:c r="C32" s="2" t="str">
        <x:v>2024-12-31</x:v>
      </x:c>
      <x:c r="D32" s="2" t="str">
        <x:v>Two months</x:v>
      </x:c>
      <x:c r="E32" s="2" t="str">
        <x:v>2024-12-11</x:v>
      </x:c>
      <x:c r="F32" s="2" t="str">
        <x:v>Recent trend</x:v>
      </x:c>
      <x:c r="G32" s="2" t="n">
        <x:v>11</x:v>
      </x:c>
      <x:c r="H32" s="7" t="n">
        <x:v>1.8473218095476822</x:v>
      </x:c>
      <x:c r="I32" s="7" t="n">
        <x:v>0.6201248572543776</x:v>
      </x:c>
      <x:c r="J32" s="7" t="n">
        <x:v>0.7249574599375475</x:v>
      </x:c>
      <x:c r="K32" s="7" t="n">
        <x:f>H32+I32*J32</x:f>
        <x:v>2.29688595090695</x:v>
      </x:c>
      <x:c r="L32" s="7" t="n">
        <x:v>1</x:v>
      </x:c>
      <x:c r="M32" s="7" t="n">
        <x:f>K32-L32</x:f>
        <x:v>1.2968859509069501</x:v>
      </x:c>
      <x:c r="N32" s="7" t="n">
        <x:f>M32^2</x:f>
        <x:v>1.6819131696598242</x:v>
      </x:c>
      <x:c r="O32" s="7" t="n">
        <x:v>1</x:v>
      </x:c>
      <x:c r="P32" s="7" t="n">
        <x:v>3</x:v>
      </x:c>
      <x:c r="Q32" s="7" t="n">
        <x:v>0.341068456777438</x:v>
      </x:c>
      <x:c r="R32" s="7" t="n">
        <x:f>H32+I32*Q32</x:f>
        <x:v>2.058826837620762</x:v>
      </x:c>
      <x:c r="S32" s="7" t="n">
        <x:f>R32-L32</x:f>
        <x:v>1.058826837620762</x:v>
      </x:c>
      <x:c r="T32" s="7" t="n">
        <x:f>K32-R32</x:f>
        <x:v>0.23805911328618823</x:v>
      </x:c>
      <x:c r="U32" s="7" t="n">
        <x:f>M32-S32-T32</x:f>
        <x:v>0</x:v>
      </x:c>
    </x:row>
    <x:row r="33" ht="27" customHeight="1">
      <x:c r="A33" s="2"/>
      <x:c r="B33" s="2" t="str">
        <x:v>Health Care | price_contribution | CUUR0000SEGB</x:v>
      </x:c>
      <x:c r="C33" s="2" t="str">
        <x:v>2024-12-31</x:v>
      </x:c>
      <x:c r="D33" s="2" t="str">
        <x:v>Two months</x:v>
      </x:c>
      <x:c r="E33" s="2" t="str">
        <x:v>2024-12-11</x:v>
      </x:c>
      <x:c r="F33" s="2" t="str">
        <x:v>Seasonal step</x:v>
      </x:c>
      <x:c r="G33" s="2" t="n">
        <x:v>11</x:v>
      </x:c>
      <x:c r="H33" s="7" t="n">
        <x:v>1.8473218095476822</x:v>
      </x:c>
      <x:c r="I33" s="7" t="n">
        <x:v>0.6201248572543776</x:v>
      </x:c>
      <x:c r="J33" s="7" t="n">
        <x:v>0.634887559873154</x:v>
      </x:c>
      <x:c r="K33" s="7" t="n">
        <x:f>H33+I33*J33</x:f>
        <x:v>2.241031366986602</x:v>
      </x:c>
      <x:c r="L33" s="7" t="n">
        <x:v>1</x:v>
      </x:c>
      <x:c r="M33" s="7" t="n">
        <x:f>K33-L33</x:f>
        <x:v>1.241031366986602</x:v>
      </x:c>
      <x:c r="N33" s="7" t="n">
        <x:f>M33^2</x:f>
        <x:v>1.540158853844634</x:v>
      </x:c>
      <x:c r="O33" s="7" t="n">
        <x:v>1</x:v>
      </x:c>
      <x:c r="P33" s="7" t="n">
        <x:v>3</x:v>
      </x:c>
      <x:c r="Q33" s="7" t="n">
        <x:v>0.341068456777438</x:v>
      </x:c>
      <x:c r="R33" s="7" t="n">
        <x:f>H33+I33*Q33</x:f>
        <x:v>2.058826837620762</x:v>
      </x:c>
      <x:c r="S33" s="7" t="n">
        <x:f>R33-L33</x:f>
        <x:v>1.058826837620762</x:v>
      </x:c>
      <x:c r="T33" s="7" t="n">
        <x:f>K33-R33</x:f>
        <x:v>0.18220452936584008</x:v>
      </x:c>
      <x:c r="U33" s="7" t="n">
        <x:f>M33-S33-T33</x:f>
        <x:v>0</x:v>
      </x:c>
    </x:row>
    <x:row r="34" ht="27" customHeight="1">
      <x:c r="A34" s="2"/>
      <x:c r="B34" s="2" t="str">
        <x:v>Health Care | price_contribution | CUUR0000SEGB</x:v>
      </x:c>
      <x:c r="C34" s="2" t="str">
        <x:v>2024-12-31</x:v>
      </x:c>
      <x:c r="D34" s="2" t="str">
        <x:v>Pre-earnings</x:v>
      </x:c>
      <x:c r="E34" s="2" t="str">
        <x:v>2025-01-21</x:v>
      </x:c>
      <x:c r="F34" s="2" t="str">
        <x:v>YoY carry</x:v>
      </x:c>
      <x:c r="G34" s="2" t="n">
        <x:v>15</x:v>
      </x:c>
      <x:c r="H34" s="7" t="n">
        <x:v>1.2724504947284347</x:v>
      </x:c>
      <x:c r="I34" s="7" t="n">
        <x:v>0.7254455545433214</x:v>
      </x:c>
      <x:c r="J34" s="7" t="n">
        <x:v>0.341068456777438</x:v>
      </x:c>
      <x:c r="K34" s="7" t="n">
        <x:f>H34+I34*J34</x:f>
        <x:v>1.519877090492578</x:v>
      </x:c>
      <x:c r="L34" s="7" t="n">
        <x:v>1</x:v>
      </x:c>
      <x:c r="M34" s="7" t="n">
        <x:f>K34-L34</x:f>
        <x:v>0.519877090492578</x:v>
      </x:c>
      <x:c r="N34" s="7" t="n">
        <x:f>M34^2</x:f>
        <x:v>0.2702721892190282</x:v>
      </x:c>
      <x:c r="O34" s="7" t="n">
        <x:v>1</x:v>
      </x:c>
      <x:c r="P34" s="7" t="n">
        <x:v>3</x:v>
      </x:c>
      <x:c r="Q34" s="7" t="n">
        <x:v>0.341068456777438</x:v>
      </x:c>
      <x:c r="R34" s="7" t="n">
        <x:f>H34+I34*Q34</x:f>
        <x:v>1.519877090492578</x:v>
      </x:c>
      <x:c r="S34" s="7" t="n">
        <x:f>R34-L34</x:f>
        <x:v>0.519877090492578</x:v>
      </x:c>
      <x:c r="T34" s="7" t="n">
        <x:f>K34-R34</x:f>
        <x:v>0</x:v>
      </x:c>
      <x:c r="U34" s="7" t="n">
        <x:f>M34-S34-T34</x:f>
        <x:v>0</x:v>
      </x:c>
    </x:row>
    <x:row r="35" ht="27" customHeight="1">
      <x:c r="A35" s="2"/>
      <x:c r="B35" s="2" t="str">
        <x:v>Health Care | price_contribution | CUUR0000SEGB</x:v>
      </x:c>
      <x:c r="C35" s="2" t="str">
        <x:v>2024-12-31</x:v>
      </x:c>
      <x:c r="D35" s="2" t="str">
        <x:v>Pre-earnings</x:v>
      </x:c>
      <x:c r="E35" s="2" t="str">
        <x:v>2025-01-21</x:v>
      </x:c>
      <x:c r="F35" s="2" t="str">
        <x:v>Flat level</x:v>
      </x:c>
      <x:c r="G35" s="2" t="n">
        <x:v>15</x:v>
      </x:c>
      <x:c r="H35" s="7" t="n">
        <x:v>1.2724504947284347</x:v>
      </x:c>
      <x:c r="I35" s="7" t="n">
        <x:v>0.7254455545433214</x:v>
      </x:c>
      <x:c r="J35" s="7" t="n">
        <x:v>0.341068456777438</x:v>
      </x:c>
      <x:c r="K35" s="7" t="n">
        <x:f>H35+I35*J35</x:f>
        <x:v>1.519877090492578</x:v>
      </x:c>
      <x:c r="L35" s="7" t="n">
        <x:v>1</x:v>
      </x:c>
      <x:c r="M35" s="7" t="n">
        <x:f>K35-L35</x:f>
        <x:v>0.519877090492578</x:v>
      </x:c>
      <x:c r="N35" s="7" t="n">
        <x:f>M35^2</x:f>
        <x:v>0.2702721892190282</x:v>
      </x:c>
      <x:c r="O35" s="7" t="n">
        <x:v>1</x:v>
      </x:c>
      <x:c r="P35" s="7" t="n">
        <x:v>3</x:v>
      </x:c>
      <x:c r="Q35" s="7" t="n">
        <x:v>0.341068456777438</x:v>
      </x:c>
      <x:c r="R35" s="7" t="n">
        <x:f>H35+I35*Q35</x:f>
        <x:v>1.519877090492578</x:v>
      </x:c>
      <x:c r="S35" s="7" t="n">
        <x:f>R35-L35</x:f>
        <x:v>0.519877090492578</x:v>
      </x:c>
      <x:c r="T35" s="7" t="n">
        <x:f>K35-R35</x:f>
        <x:v>0</x:v>
      </x:c>
      <x:c r="U35" s="7" t="n">
        <x:f>M35-S35-T35</x:f>
        <x:v>0</x:v>
      </x:c>
    </x:row>
    <x:row r="36" ht="27" customHeight="1">
      <x:c r="A36" s="2"/>
      <x:c r="B36" s="2" t="str">
        <x:v>Health Care | price_contribution | CUUR0000SEGB</x:v>
      </x:c>
      <x:c r="C36" s="2" t="str">
        <x:v>2024-12-31</x:v>
      </x:c>
      <x:c r="D36" s="2" t="str">
        <x:v>Pre-earnings</x:v>
      </x:c>
      <x:c r="E36" s="2" t="str">
        <x:v>2025-01-21</x:v>
      </x:c>
      <x:c r="F36" s="2" t="str">
        <x:v>Recent trend</x:v>
      </x:c>
      <x:c r="G36" s="2" t="n">
        <x:v>15</x:v>
      </x:c>
      <x:c r="H36" s="7" t="n">
        <x:v>1.2724504947284347</x:v>
      </x:c>
      <x:c r="I36" s="7" t="n">
        <x:v>0.7254455545433214</x:v>
      </x:c>
      <x:c r="J36" s="7" t="n">
        <x:v>0.341068456777438</x:v>
      </x:c>
      <x:c r="K36" s="7" t="n">
        <x:f>H36+I36*J36</x:f>
        <x:v>1.519877090492578</x:v>
      </x:c>
      <x:c r="L36" s="7" t="n">
        <x:v>1</x:v>
      </x:c>
      <x:c r="M36" s="7" t="n">
        <x:f>K36-L36</x:f>
        <x:v>0.519877090492578</x:v>
      </x:c>
      <x:c r="N36" s="7" t="n">
        <x:f>M36^2</x:f>
        <x:v>0.2702721892190282</x:v>
      </x:c>
      <x:c r="O36" s="7" t="n">
        <x:v>1</x:v>
      </x:c>
      <x:c r="P36" s="7" t="n">
        <x:v>3</x:v>
      </x:c>
      <x:c r="Q36" s="7" t="n">
        <x:v>0.341068456777438</x:v>
      </x:c>
      <x:c r="R36" s="7" t="n">
        <x:f>H36+I36*Q36</x:f>
        <x:v>1.519877090492578</x:v>
      </x:c>
      <x:c r="S36" s="7" t="n">
        <x:f>R36-L36</x:f>
        <x:v>0.519877090492578</x:v>
      </x:c>
      <x:c r="T36" s="7" t="n">
        <x:f>K36-R36</x:f>
        <x:v>0</x:v>
      </x:c>
      <x:c r="U36" s="7" t="n">
        <x:f>M36-S36-T36</x:f>
        <x:v>0</x:v>
      </x:c>
    </x:row>
    <x:row r="37" ht="27" customHeight="1">
      <x:c r="A37" s="2"/>
      <x:c r="B37" s="2" t="str">
        <x:v>Health Care | price_contribution | CUUR0000SEGB</x:v>
      </x:c>
      <x:c r="C37" s="2" t="str">
        <x:v>2024-12-31</x:v>
      </x:c>
      <x:c r="D37" s="2" t="str">
        <x:v>Pre-earnings</x:v>
      </x:c>
      <x:c r="E37" s="2" t="str">
        <x:v>2025-01-21</x:v>
      </x:c>
      <x:c r="F37" s="2" t="str">
        <x:v>Seasonal step</x:v>
      </x:c>
      <x:c r="G37" s="2" t="n">
        <x:v>15</x:v>
      </x:c>
      <x:c r="H37" s="7" t="n">
        <x:v>1.2724504947284347</x:v>
      </x:c>
      <x:c r="I37" s="7" t="n">
        <x:v>0.7254455545433214</x:v>
      </x:c>
      <x:c r="J37" s="7" t="n">
        <x:v>0.341068456777438</x:v>
      </x:c>
      <x:c r="K37" s="7" t="n">
        <x:f>H37+I37*J37</x:f>
        <x:v>1.519877090492578</x:v>
      </x:c>
      <x:c r="L37" s="7" t="n">
        <x:v>1</x:v>
      </x:c>
      <x:c r="M37" s="7" t="n">
        <x:f>K37-L37</x:f>
        <x:v>0.519877090492578</x:v>
      </x:c>
      <x:c r="N37" s="7" t="n">
        <x:f>M37^2</x:f>
        <x:v>0.2702721892190282</x:v>
      </x:c>
      <x:c r="O37" s="7" t="n">
        <x:v>1</x:v>
      </x:c>
      <x:c r="P37" s="7" t="n">
        <x:v>3</x:v>
      </x:c>
      <x:c r="Q37" s="7" t="n">
        <x:v>0.341068456777438</x:v>
      </x:c>
      <x:c r="R37" s="7" t="n">
        <x:f>H37+I37*Q37</x:f>
        <x:v>1.519877090492578</x:v>
      </x:c>
      <x:c r="S37" s="7" t="n">
        <x:f>R37-L37</x:f>
        <x:v>0.519877090492578</x:v>
      </x:c>
      <x:c r="T37" s="7" t="n">
        <x:f>K37-R37</x:f>
        <x:v>0</x:v>
      </x:c>
      <x:c r="U37" s="7" t="n">
        <x:f>M37-S37-T37</x:f>
        <x:v>0</x:v>
      </x:c>
    </x:row>
    <x:row r="38" ht="27" customHeight="1">
      <x:c r="A38" s="2"/>
      <x:c r="B38" s="2" t="str">
        <x:v>Health Care | price_contribution | CUUR0000SEGB</x:v>
      </x:c>
      <x:c r="C38" s="2" t="str">
        <x:v>2025-03-31</x:v>
      </x:c>
      <x:c r="D38" s="2" t="str">
        <x:v>Origin</x:v>
      </x:c>
      <x:c r="E38" s="2" t="str">
        <x:v>2025-01-01</x:v>
      </x:c>
      <x:c r="F38" s="2" t="str">
        <x:v>YoY carry</x:v>
      </x:c>
      <x:c r="G38" s="2" t="n">
        <x:v>15</x:v>
      </x:c>
      <x:c r="H38" s="7" t="n">
        <x:v>1.2724504947284347</x:v>
      </x:c>
      <x:c r="I38" s="7" t="n">
        <x:v>0.7254455545433214</x:v>
      </x:c>
      <x:c r="J38" s="7" t="n">
        <x:v>0.21719146092866737</x:v>
      </x:c>
      <x:c r="K38" s="7" t="n">
        <x:f>H38+I38*J38</x:f>
        <x:v>1.430011074543906</x:v>
      </x:c>
      <x:c r="L38" s="7" t="n">
        <x:v>1</x:v>
      </x:c>
      <x:c r="M38" s="7" t="n">
        <x:f>K38-L38</x:f>
        <x:v>0.4300110745439061</x:v>
      </x:c>
      <x:c r="N38" s="7" t="n">
        <x:f>M38^2</x:f>
        <x:v>0.18490952423040474</x:v>
      </x:c>
      <x:c r="O38" s="7" t="n">
        <x:v>1</x:v>
      </x:c>
      <x:c r="P38" s="7" t="n">
        <x:v>3</x:v>
      </x:c>
      <x:c r="Q38" s="7" t="n">
        <x:v>0.23594619830289432</x:v>
      </x:c>
      <x:c r="R38" s="7" t="n">
        <x:f>H38+I38*Q38</x:f>
        <x:v>1.4436166153986665</x:v>
      </x:c>
      <x:c r="S38" s="7" t="n">
        <x:f>R38-L38</x:f>
        <x:v>0.4436166153986665</x:v>
      </x:c>
      <x:c r="T38" s="7" t="n">
        <x:f>K38-R38</x:f>
        <x:v>-0.0136055408547604</x:v>
      </x:c>
      <x:c r="U38" s="7" t="n">
        <x:f>M38-S38-T38</x:f>
        <x:v>0</x:v>
      </x:c>
    </x:row>
    <x:row r="39" ht="27" customHeight="1">
      <x:c r="A39" s="2"/>
      <x:c r="B39" s="2" t="str">
        <x:v>Health Care | price_contribution | CUUR0000SEGB</x:v>
      </x:c>
      <x:c r="C39" s="2" t="str">
        <x:v>2025-03-31</x:v>
      </x:c>
      <x:c r="D39" s="2" t="str">
        <x:v>Origin</x:v>
      </x:c>
      <x:c r="E39" s="2" t="str">
        <x:v>2025-01-01</x:v>
      </x:c>
      <x:c r="F39" s="2" t="str">
        <x:v>Flat level</x:v>
      </x:c>
      <x:c r="G39" s="2" t="n">
        <x:v>15</x:v>
      </x:c>
      <x:c r="H39" s="7" t="n">
        <x:v>1.2724504947284347</x:v>
      </x:c>
      <x:c r="I39" s="7" t="n">
        <x:v>0.7254455545433214</x:v>
      </x:c>
      <x:c r="J39" s="7" t="n">
        <x:v>0.3296910148482102</x:v>
      </x:c>
      <x:c r="K39" s="7" t="n">
        <x:f>H39+I39*J39</x:f>
        <x:v>1.511623375822945</x:v>
      </x:c>
      <x:c r="L39" s="7" t="n">
        <x:v>1</x:v>
      </x:c>
      <x:c r="M39" s="7" t="n">
        <x:f>K39-L39</x:f>
        <x:v>0.5116233758229449</x:v>
      </x:c>
      <x:c r="N39" s="7" t="n">
        <x:f>M39^2</x:f>
        <x:v>0.26175847868846636</x:v>
      </x:c>
      <x:c r="O39" s="7" t="n">
        <x:v>1</x:v>
      </x:c>
      <x:c r="P39" s="7" t="n">
        <x:v>3</x:v>
      </x:c>
      <x:c r="Q39" s="7" t="n">
        <x:v>0.23594619830289432</x:v>
      </x:c>
      <x:c r="R39" s="7" t="n">
        <x:f>H39+I39*Q39</x:f>
        <x:v>1.4436166153986665</x:v>
      </x:c>
      <x:c r="S39" s="7" t="n">
        <x:f>R39-L39</x:f>
        <x:v>0.4436166153986665</x:v>
      </x:c>
      <x:c r="T39" s="7" t="n">
        <x:f>K39-R39</x:f>
        <x:v>0.06800676042427845</x:v>
      </x:c>
      <x:c r="U39" s="7" t="n">
        <x:f>M39-S39-T39</x:f>
        <x:v>0</x:v>
      </x:c>
    </x:row>
    <x:row r="40" ht="27" customHeight="1">
      <x:c r="A40" s="2"/>
      <x:c r="B40" s="2" t="str">
        <x:v>Health Care | price_contribution | CUUR0000SEGB</x:v>
      </x:c>
      <x:c r="C40" s="2" t="str">
        <x:v>2025-03-31</x:v>
      </x:c>
      <x:c r="D40" s="2" t="str">
        <x:v>Origin</x:v>
      </x:c>
      <x:c r="E40" s="2" t="str">
        <x:v>2025-01-01</x:v>
      </x:c>
      <x:c r="F40" s="2" t="str">
        <x:v>Recent trend</x:v>
      </x:c>
      <x:c r="G40" s="2" t="n">
        <x:v>15</x:v>
      </x:c>
      <x:c r="H40" s="7" t="n">
        <x:v>1.2724504947284347</x:v>
      </x:c>
      <x:c r="I40" s="7" t="n">
        <x:v>0.7254455545433214</x:v>
      </x:c>
      <x:c r="J40" s="7" t="n">
        <x:v>0.572905697932935</x:v>
      </x:c>
      <x:c r="K40" s="7" t="n">
        <x:f>H40+I40*J40</x:f>
        <x:v>1.6880623864664213</x:v>
      </x:c>
      <x:c r="L40" s="7" t="n">
        <x:v>1</x:v>
      </x:c>
      <x:c r="M40" s="7" t="n">
        <x:f>K40-L40</x:f>
        <x:v>0.6880623864664213</x:v>
      </x:c>
      <x:c r="N40" s="7" t="n">
        <x:f>M40^2</x:f>
        <x:v>0.47342984766986684</x:v>
      </x:c>
      <x:c r="O40" s="7" t="n">
        <x:v>1</x:v>
      </x:c>
      <x:c r="P40" s="7" t="n">
        <x:v>3</x:v>
      </x:c>
      <x:c r="Q40" s="7" t="n">
        <x:v>0.23594619830289432</x:v>
      </x:c>
      <x:c r="R40" s="7" t="n">
        <x:f>H40+I40*Q40</x:f>
        <x:v>1.4436166153986665</x:v>
      </x:c>
      <x:c r="S40" s="7" t="n">
        <x:f>R40-L40</x:f>
        <x:v>0.4436166153986665</x:v>
      </x:c>
      <x:c r="T40" s="7" t="n">
        <x:f>K40-R40</x:f>
        <x:v>0.24444577106775478</x:v>
      </x:c>
      <x:c r="U40" s="7" t="n">
        <x:f>M40-S40-T40</x:f>
        <x:v>0</x:v>
      </x:c>
    </x:row>
    <x:row r="41" ht="27" customHeight="1">
      <x:c r="A41" s="2"/>
      <x:c r="B41" s="2" t="str">
        <x:v>Health Care | price_contribution | CUUR0000SEGB</x:v>
      </x:c>
      <x:c r="C41" s="2" t="str">
        <x:v>2025-03-31</x:v>
      </x:c>
      <x:c r="D41" s="2" t="str">
        <x:v>Origin</x:v>
      </x:c>
      <x:c r="E41" s="2" t="str">
        <x:v>2025-01-01</x:v>
      </x:c>
      <x:c r="F41" s="2" t="str">
        <x:v>Seasonal step</x:v>
      </x:c>
      <x:c r="G41" s="2" t="n">
        <x:v>15</x:v>
      </x:c>
      <x:c r="H41" s="7" t="n">
        <x:v>1.2724504947284347</x:v>
      </x:c>
      <x:c r="I41" s="7" t="n">
        <x:v>0.7254455545433214</x:v>
      </x:c>
      <x:c r="J41" s="7" t="n">
        <x:v>1.4753017608673868</x:v>
      </x:c>
      <x:c r="K41" s="7" t="n">
        <x:f>H41+I41*J41</x:f>
        <x:v>2.3427015987596147</x:v>
      </x:c>
      <x:c r="L41" s="7" t="n">
        <x:v>1</x:v>
      </x:c>
      <x:c r="M41" s="7" t="n">
        <x:f>K41-L41</x:f>
        <x:v>1.3427015987596147</x:v>
      </x:c>
      <x:c r="N41" s="7" t="n">
        <x:f>M41^2</x:f>
        <x:v>1.8028475833116253</x:v>
      </x:c>
      <x:c r="O41" s="7" t="n">
        <x:v>1</x:v>
      </x:c>
      <x:c r="P41" s="7" t="n">
        <x:v>3</x:v>
      </x:c>
      <x:c r="Q41" s="7" t="n">
        <x:v>0.23594619830289432</x:v>
      </x:c>
      <x:c r="R41" s="7" t="n">
        <x:f>H41+I41*Q41</x:f>
        <x:v>1.4436166153986665</x:v>
      </x:c>
      <x:c r="S41" s="7" t="n">
        <x:f>R41-L41</x:f>
        <x:v>0.4436166153986665</x:v>
      </x:c>
      <x:c r="T41" s="7" t="n">
        <x:f>K41-R41</x:f>
        <x:v>0.8990849833609482</x:v>
      </x:c>
      <x:c r="U41" s="7" t="n">
        <x:f>M41-S41-T41</x:f>
        <x:v>0</x:v>
      </x:c>
    </x:row>
    <x:row r="42" ht="27" customHeight="1">
      <x:c r="A42" s="2"/>
      <x:c r="B42" s="2" t="str">
        <x:v>Health Care | price_contribution | CUUR0000SEGB</x:v>
      </x:c>
      <x:c r="C42" s="2" t="str">
        <x:v>2025-03-31</x:v>
      </x:c>
      <x:c r="D42" s="2" t="str">
        <x:v>One month</x:v>
      </x:c>
      <x:c r="E42" s="2" t="str">
        <x:v>2025-02-12</x:v>
      </x:c>
      <x:c r="F42" s="2" t="str">
        <x:v>YoY carry</x:v>
      </x:c>
      <x:c r="G42" s="2" t="n">
        <x:v>12</x:v>
      </x:c>
      <x:c r="H42" s="7" t="n">
        <x:v>1.5659173179731072</x:v>
      </x:c>
      <x:c r="I42" s="7" t="n">
        <x:v>0.6698797267910008</x:v>
      </x:c>
      <x:c r="J42" s="7" t="n">
        <x:v>0.44941970014988897</x:v>
      </x:c>
      <x:c r="K42" s="7" t="n">
        <x:f>H42+I42*J42</x:f>
        <x:v>1.8669744639240085</x:v>
      </x:c>
      <x:c r="L42" s="7" t="n">
        <x:v>1</x:v>
      </x:c>
      <x:c r="M42" s="7" t="n">
        <x:f>K42-L42</x:f>
        <x:v>0.8669744639240085</x:v>
      </x:c>
      <x:c r="N42" s="7" t="n">
        <x:f>M42^2</x:f>
        <x:v>0.7516447210963219</x:v>
      </x:c>
      <x:c r="O42" s="7" t="n">
        <x:v>1</x:v>
      </x:c>
      <x:c r="P42" s="7" t="n">
        <x:v>2</x:v>
      </x:c>
      <x:c r="Q42" s="7" t="n">
        <x:v>0.23594619830289432</x:v>
      </x:c>
      <x:c r="R42" s="7" t="n">
        <x:f>H42+I42*Q42</x:f>
        <x:v>1.7239728928296254</x:v>
      </x:c>
      <x:c r="S42" s="7" t="n">
        <x:f>R42-L42</x:f>
        <x:v>0.7239728928296254</x:v>
      </x:c>
      <x:c r="T42" s="7" t="n">
        <x:f>K42-R42</x:f>
        <x:v>0.14300157109438305</x:v>
      </x:c>
      <x:c r="U42" s="7" t="n">
        <x:f>M42-S42-T42</x:f>
        <x:v>0</x:v>
      </x:c>
    </x:row>
    <x:row r="43" ht="27" customHeight="1">
      <x:c r="A43" s="2"/>
      <x:c r="B43" s="2" t="str">
        <x:v>Health Care | price_contribution | CUUR0000SEGB</x:v>
      </x:c>
      <x:c r="C43" s="2" t="str">
        <x:v>2025-03-31</x:v>
      </x:c>
      <x:c r="D43" s="2" t="str">
        <x:v>One month</x:v>
      </x:c>
      <x:c r="E43" s="2" t="str">
        <x:v>2025-02-12</x:v>
      </x:c>
      <x:c r="F43" s="2" t="str">
        <x:v>Flat level</x:v>
      </x:c>
      <x:c r="G43" s="2" t="n">
        <x:v>12</x:v>
      </x:c>
      <x:c r="H43" s="7" t="n">
        <x:v>1.5659173179731072</x:v>
      </x:c>
      <x:c r="I43" s="7" t="n">
        <x:v>0.6698797267910008</x:v>
      </x:c>
      <x:c r="J43" s="7" t="n">
        <x:v>-0.33285932872747503</x:v>
      </x:c>
      <x:c r="K43" s="7" t="n">
        <x:f>H43+I43*J43</x:f>
        <x:v>1.3429416017853102</x:v>
      </x:c>
      <x:c r="L43" s="7" t="n">
        <x:v>1</x:v>
      </x:c>
      <x:c r="M43" s="7" t="n">
        <x:f>K43-L43</x:f>
        <x:v>0.3429416017853102</x:v>
      </x:c>
      <x:c r="N43" s="7" t="n">
        <x:f>M43^2</x:f>
        <x:v>0.11760894223507427</x:v>
      </x:c>
      <x:c r="O43" s="7" t="n">
        <x:v>1</x:v>
      </x:c>
      <x:c r="P43" s="7" t="n">
        <x:v>2</x:v>
      </x:c>
      <x:c r="Q43" s="7" t="n">
        <x:v>0.23594619830289432</x:v>
      </x:c>
      <x:c r="R43" s="7" t="n">
        <x:f>H43+I43*Q43</x:f>
        <x:v>1.7239728928296254</x:v>
      </x:c>
      <x:c r="S43" s="7" t="n">
        <x:f>R43-L43</x:f>
        <x:v>0.7239728928296254</x:v>
      </x:c>
      <x:c r="T43" s="7" t="n">
        <x:f>K43-R43</x:f>
        <x:v>-0.3810312910443152</x:v>
      </x:c>
      <x:c r="U43" s="7" t="n">
        <x:f>M43-S43-T43</x:f>
        <x:v>0</x:v>
      </x:c>
    </x:row>
    <x:row r="44" ht="27" customHeight="1">
      <x:c r="A44" s="2"/>
      <x:c r="B44" s="2" t="str">
        <x:v>Health Care | price_contribution | CUUR0000SEGB</x:v>
      </x:c>
      <x:c r="C44" s="2" t="str">
        <x:v>2025-03-31</x:v>
      </x:c>
      <x:c r="D44" s="2" t="str">
        <x:v>One month</x:v>
      </x:c>
      <x:c r="E44" s="2" t="str">
        <x:v>2025-02-12</x:v>
      </x:c>
      <x:c r="F44" s="2" t="str">
        <x:v>Recent trend</x:v>
      </x:c>
      <x:c r="G44" s="2" t="n">
        <x:v>12</x:v>
      </x:c>
      <x:c r="H44" s="7" t="n">
        <x:v>1.5659173179731072</x:v>
      </x:c>
      <x:c r="I44" s="7" t="n">
        <x:v>0.6698797267910008</x:v>
      </x:c>
      <x:c r="J44" s="7" t="n">
        <x:v>-0.6641345005153232</x:v>
      </x:c>
      <x:c r="K44" s="7" t="n">
        <x:f>H44+I44*J44</x:f>
        <x:v>1.1210270802154247</x:v>
      </x:c>
      <x:c r="L44" s="7" t="n">
        <x:v>1</x:v>
      </x:c>
      <x:c r="M44" s="7" t="n">
        <x:f>K44-L44</x:f>
        <x:v>0.12102708021542474</x:v>
      </x:c>
      <x:c r="N44" s="7" t="n">
        <x:f>M44^2</x:f>
        <x:v>0.014647554145470856</x:v>
      </x:c>
      <x:c r="O44" s="7" t="n">
        <x:v>1</x:v>
      </x:c>
      <x:c r="P44" s="7" t="n">
        <x:v>2</x:v>
      </x:c>
      <x:c r="Q44" s="7" t="n">
        <x:v>0.23594619830289432</x:v>
      </x:c>
      <x:c r="R44" s="7" t="n">
        <x:f>H44+I44*Q44</x:f>
        <x:v>1.7239728928296254</x:v>
      </x:c>
      <x:c r="S44" s="7" t="n">
        <x:f>R44-L44</x:f>
        <x:v>0.7239728928296254</x:v>
      </x:c>
      <x:c r="T44" s="7" t="n">
        <x:f>K44-R44</x:f>
        <x:v>-0.6029458126142007</x:v>
      </x:c>
      <x:c r="U44" s="7" t="n">
        <x:f>M44-S44-T44</x:f>
        <x:v>0</x:v>
      </x:c>
    </x:row>
    <x:row r="45" ht="27" customHeight="1">
      <x:c r="A45" s="2"/>
      <x:c r="B45" s="2" t="str">
        <x:v>Health Care | price_contribution | CUUR0000SEGB</x:v>
      </x:c>
      <x:c r="C45" s="2" t="str">
        <x:v>2025-03-31</x:v>
      </x:c>
      <x:c r="D45" s="2" t="str">
        <x:v>One month</x:v>
      </x:c>
      <x:c r="E45" s="2" t="str">
        <x:v>2025-02-12</x:v>
      </x:c>
      <x:c r="F45" s="2" t="str">
        <x:v>Seasonal step</x:v>
      </x:c>
      <x:c r="G45" s="2" t="n">
        <x:v>12</x:v>
      </x:c>
      <x:c r="H45" s="7" t="n">
        <x:v>1.5659173179731072</x:v>
      </x:c>
      <x:c r="I45" s="7" t="n">
        <x:v>0.6698797267910008</x:v>
      </x:c>
      <x:c r="J45" s="7" t="n">
        <x:v>0.46793629867183384</x:v>
      </x:c>
      <x:c r="K45" s="7" t="n">
        <x:f>H45+I45*J45</x:f>
        <x:v>1.8793783578829875</x:v>
      </x:c>
      <x:c r="L45" s="7" t="n">
        <x:v>1</x:v>
      </x:c>
      <x:c r="M45" s="7" t="n">
        <x:f>K45-L45</x:f>
        <x:v>0.8793783578829875</x:v>
      </x:c>
      <x:c r="N45" s="7" t="n">
        <x:f>M45^2</x:f>
        <x:v>0.7733062963129795</x:v>
      </x:c>
      <x:c r="O45" s="7" t="n">
        <x:v>1</x:v>
      </x:c>
      <x:c r="P45" s="7" t="n">
        <x:v>2</x:v>
      </x:c>
      <x:c r="Q45" s="7" t="n">
        <x:v>0.23594619830289432</x:v>
      </x:c>
      <x:c r="R45" s="7" t="n">
        <x:f>H45+I45*Q45</x:f>
        <x:v>1.7239728928296254</x:v>
      </x:c>
      <x:c r="S45" s="7" t="n">
        <x:f>R45-L45</x:f>
        <x:v>0.7239728928296254</x:v>
      </x:c>
      <x:c r="T45" s="7" t="n">
        <x:f>K45-R45</x:f>
        <x:v>0.15540546505336206</x:v>
      </x:c>
      <x:c r="U45" s="7" t="n">
        <x:f>M45-S45-T45</x:f>
        <x:v>0</x:v>
      </x:c>
    </x:row>
    <x:row r="46" ht="27" customHeight="1">
      <x:c r="A46" s="2"/>
      <x:c r="B46" s="2" t="str">
        <x:v>Health Care | price_contribution | CUUR0000SEGB</x:v>
      </x:c>
      <x:c r="C46" s="2" t="str">
        <x:v>2025-03-31</x:v>
      </x:c>
      <x:c r="D46" s="2" t="str">
        <x:v>Two months</x:v>
      </x:c>
      <x:c r="E46" s="2" t="str">
        <x:v>2025-03-12</x:v>
      </x:c>
      <x:c r="F46" s="2" t="str">
        <x:v>YoY carry</x:v>
      </x:c>
      <x:c r="G46" s="2" t="n">
        <x:v>12</x:v>
      </x:c>
      <x:c r="H46" s="7" t="n">
        <x:v>1.5659173179731072</x:v>
      </x:c>
      <x:c r="I46" s="7" t="n">
        <x:v>0.6698797267910008</x:v>
      </x:c>
      <x:c r="J46" s="7" t="n">
        <x:v>0.36316388950332623</x:v>
      </x:c>
      <x:c r="K46" s="7" t="n">
        <x:f>H46+I46*J46</x:f>
        <x:v>1.8091934450539526</x:v>
      </x:c>
      <x:c r="L46" s="7" t="n">
        <x:v>1</x:v>
      </x:c>
      <x:c r="M46" s="7" t="n">
        <x:f>K46-L46</x:f>
        <x:v>0.8091934450539526</x:v>
      </x:c>
      <x:c r="N46" s="7" t="n">
        <x:f>M46^2</x:f>
        <x:v>0.6547940315182843</x:v>
      </x:c>
      <x:c r="O46" s="7" t="n">
        <x:v>1</x:v>
      </x:c>
      <x:c r="P46" s="7" t="n">
        <x:v>2</x:v>
      </x:c>
      <x:c r="Q46" s="7" t="n">
        <x:v>0.23594619830289432</x:v>
      </x:c>
      <x:c r="R46" s="7" t="n">
        <x:f>H46+I46*Q46</x:f>
        <x:v>1.7239728928296254</x:v>
      </x:c>
      <x:c r="S46" s="7" t="n">
        <x:f>R46-L46</x:f>
        <x:v>0.7239728928296254</x:v>
      </x:c>
      <x:c r="T46" s="7" t="n">
        <x:f>K46-R46</x:f>
        <x:v>0.08522055222432723</x:v>
      </x:c>
      <x:c r="U46" s="7" t="n">
        <x:f>M46-S46-T46</x:f>
        <x:v>0</x:v>
      </x:c>
    </x:row>
    <x:row r="47" ht="27" customHeight="1">
      <x:c r="A47" s="2"/>
      <x:c r="B47" s="2" t="str">
        <x:v>Health Care | price_contribution | CUUR0000SEGB</x:v>
      </x:c>
      <x:c r="C47" s="2" t="str">
        <x:v>2025-03-31</x:v>
      </x:c>
      <x:c r="D47" s="2" t="str">
        <x:v>Two months</x:v>
      </x:c>
      <x:c r="E47" s="2" t="str">
        <x:v>2025-03-12</x:v>
      </x:c>
      <x:c r="F47" s="2" t="str">
        <x:v>Flat level</x:v>
      </x:c>
      <x:c r="G47" s="2" t="n">
        <x:v>12</x:v>
      </x:c>
      <x:c r="H47" s="7" t="n">
        <x:v>1.5659173179731072</x:v>
      </x:c>
      <x:c r="I47" s="7" t="n">
        <x:v>0.6698797267910008</x:v>
      </x:c>
      <x:c r="J47" s="7" t="n">
        <x:v>0.25048316786659974</x:v>
      </x:c>
      <x:c r="K47" s="7" t="n">
        <x:f>H47+I47*J47</x:f>
        <x:v>1.7337109140293294</x:v>
      </x:c>
      <x:c r="L47" s="7" t="n">
        <x:v>1</x:v>
      </x:c>
      <x:c r="M47" s="7" t="n">
        <x:f>K47-L47</x:f>
        <x:v>0.7337109140293294</x:v>
      </x:c>
      <x:c r="N47" s="7" t="n">
        <x:f>M47^2</x:f>
        <x:v>0.538331705365754</x:v>
      </x:c>
      <x:c r="O47" s="7" t="n">
        <x:v>1</x:v>
      </x:c>
      <x:c r="P47" s="7" t="n">
        <x:v>2</x:v>
      </x:c>
      <x:c r="Q47" s="7" t="n">
        <x:v>0.23594619830289432</x:v>
      </x:c>
      <x:c r="R47" s="7" t="n">
        <x:f>H47+I47*Q47</x:f>
        <x:v>1.7239728928296254</x:v>
      </x:c>
      <x:c r="S47" s="7" t="n">
        <x:f>R47-L47</x:f>
        <x:v>0.7239728928296254</x:v>
      </x:c>
      <x:c r="T47" s="7" t="n">
        <x:f>K47-R47</x:f>
        <x:v>0.009738021199704017</x:v>
      </x:c>
      <x:c r="U47" s="7" t="n">
        <x:f>M47-S47-T47</x:f>
        <x:v>0</x:v>
      </x:c>
    </x:row>
    <x:row r="48" ht="27" customHeight="1">
      <x:c r="A48" s="2"/>
      <x:c r="B48" s="2" t="str">
        <x:v>Health Care | price_contribution | CUUR0000SEGB</x:v>
      </x:c>
      <x:c r="C48" s="2" t="str">
        <x:v>2025-03-31</x:v>
      </x:c>
      <x:c r="D48" s="2" t="str">
        <x:v>Two months</x:v>
      </x:c>
      <x:c r="E48" s="2" t="str">
        <x:v>2025-03-12</x:v>
      </x:c>
      <x:c r="F48" s="2" t="str">
        <x:v>Recent trend</x:v>
      </x:c>
      <x:c r="G48" s="2" t="n">
        <x:v>12</x:v>
      </x:c>
      <x:c r="H48" s="7" t="n">
        <x:v>1.5659173179731072</x:v>
      </x:c>
      <x:c r="I48" s="7" t="n">
        <x:v>0.6698797267910008</x:v>
      </x:c>
      <x:c r="J48" s="7" t="n">
        <x:v>0.46369205480065734</x:v>
      </x:c>
      <x:c r="K48" s="7" t="n">
        <x:f>H48+I48*J48</x:f>
        <x:v>1.8765352249581293</x:v>
      </x:c>
      <x:c r="L48" s="7" t="n">
        <x:v>1</x:v>
      </x:c>
      <x:c r="M48" s="7" t="n">
        <x:f>K48-L48</x:f>
        <x:v>0.8765352249581293</x:v>
      </x:c>
      <x:c r="N48" s="7" t="n">
        <x:f>M48^2</x:f>
        <x:v>0.7683140005923983</x:v>
      </x:c>
      <x:c r="O48" s="7" t="n">
        <x:v>1</x:v>
      </x:c>
      <x:c r="P48" s="7" t="n">
        <x:v>2</x:v>
      </x:c>
      <x:c r="Q48" s="7" t="n">
        <x:v>0.23594619830289432</x:v>
      </x:c>
      <x:c r="R48" s="7" t="n">
        <x:f>H48+I48*Q48</x:f>
        <x:v>1.7239728928296254</x:v>
      </x:c>
      <x:c r="S48" s="7" t="n">
        <x:f>R48-L48</x:f>
        <x:v>0.7239728928296254</x:v>
      </x:c>
      <x:c r="T48" s="7" t="n">
        <x:f>K48-R48</x:f>
        <x:v>0.1525623321285039</x:v>
      </x:c>
      <x:c r="U48" s="7" t="n">
        <x:f>M48-S48-T48</x:f>
        <x:v>0</x:v>
      </x:c>
    </x:row>
    <x:row r="49" ht="27" customHeight="1">
      <x:c r="A49" s="2"/>
      <x:c r="B49" s="2" t="str">
        <x:v>Health Care | price_contribution | CUUR0000SEGB</x:v>
      </x:c>
      <x:c r="C49" s="2" t="str">
        <x:v>2025-03-31</x:v>
      </x:c>
      <x:c r="D49" s="2" t="str">
        <x:v>Two months</x:v>
      </x:c>
      <x:c r="E49" s="2" t="str">
        <x:v>2025-03-12</x:v>
      </x:c>
      <x:c r="F49" s="2" t="str">
        <x:v>Seasonal step</x:v>
      </x:c>
      <x:c r="G49" s="2" t="n">
        <x:v>12</x:v>
      </x:c>
      <x:c r="H49" s="7" t="n">
        <x:v>1.5659173179731072</x:v>
      </x:c>
      <x:c r="I49" s="7" t="n">
        <x:v>0.6698797267910008</x:v>
      </x:c>
      <x:c r="J49" s="7" t="n">
        <x:v>0.5240093371136734</x:v>
      </x:c>
      <x:c r="K49" s="7" t="n">
        <x:f>H49+I49*J49</x:f>
        <x:v>1.9169405495547482</x:v>
      </x:c>
      <x:c r="L49" s="7" t="n">
        <x:v>1</x:v>
      </x:c>
      <x:c r="M49" s="7" t="n">
        <x:f>K49-L49</x:f>
        <x:v>0.9169405495547482</x:v>
      </x:c>
      <x:c r="N49" s="7" t="n">
        <x:f>M49^2</x:f>
        <x:v>0.8407799714177637</x:v>
      </x:c>
      <x:c r="O49" s="7" t="n">
        <x:v>1</x:v>
      </x:c>
      <x:c r="P49" s="7" t="n">
        <x:v>2</x:v>
      </x:c>
      <x:c r="Q49" s="7" t="n">
        <x:v>0.23594619830289432</x:v>
      </x:c>
      <x:c r="R49" s="7" t="n">
        <x:f>H49+I49*Q49</x:f>
        <x:v>1.7239728928296254</x:v>
      </x:c>
      <x:c r="S49" s="7" t="n">
        <x:f>R49-L49</x:f>
        <x:v>0.7239728928296254</x:v>
      </x:c>
      <x:c r="T49" s="7" t="n">
        <x:f>K49-R49</x:f>
        <x:v>0.19296765672512284</x:v>
      </x:c>
      <x:c r="U49" s="7" t="n">
        <x:f>M49-S49-T49</x:f>
        <x:v>0</x:v>
      </x:c>
    </x:row>
    <x:row r="50" ht="27" customHeight="1">
      <x:c r="A50" s="2"/>
      <x:c r="B50" s="2" t="str">
        <x:v>Health Care | price_contribution | CUUR0000SEGB</x:v>
      </x:c>
      <x:c r="C50" s="2" t="str">
        <x:v>2025-03-31</x:v>
      </x:c>
      <x:c r="D50" s="2" t="str">
        <x:v>Pre-earnings</x:v>
      </x:c>
      <x:c r="E50" s="2" t="str">
        <x:v>2025-04-23</x:v>
      </x:c>
      <x:c r="F50" s="2" t="str">
        <x:v>YoY carry</x:v>
      </x:c>
      <x:c r="G50" s="2" t="n">
        <x:v>16</x:v>
      </x:c>
      <x:c r="H50" s="7" t="n">
        <x:v>1.2102868897109689</x:v>
      </x:c>
      <x:c r="I50" s="7" t="n">
        <x:v>0.7358313054642796</x:v>
      </x:c>
      <x:c r="J50" s="7" t="n">
        <x:v>0.23594619830289432</x:v>
      </x:c>
      <x:c r="K50" s="7" t="n">
        <x:f>H50+I50*J50</x:f>
        <x:v>1.3839034888275215</x:v>
      </x:c>
      <x:c r="L50" s="7" t="n">
        <x:v>1</x:v>
      </x:c>
      <x:c r="M50" s="7" t="n">
        <x:f>K50-L50</x:f>
        <x:v>0.38390348882752146</x:v>
      </x:c>
      <x:c r="N50" s="7" t="n">
        <x:f>M50^2</x:f>
        <x:v>0.1473818887339429</x:v>
      </x:c>
      <x:c r="O50" s="7" t="n">
        <x:v>1</x:v>
      </x:c>
      <x:c r="P50" s="7" t="n">
        <x:v>2</x:v>
      </x:c>
      <x:c r="Q50" s="7" t="n">
        <x:v>0.23594619830289432</x:v>
      </x:c>
      <x:c r="R50" s="7" t="n">
        <x:f>H50+I50*Q50</x:f>
        <x:v>1.3839034888275215</x:v>
      </x:c>
      <x:c r="S50" s="7" t="n">
        <x:f>R50-L50</x:f>
        <x:v>0.38390348882752146</x:v>
      </x:c>
      <x:c r="T50" s="7" t="n">
        <x:f>K50-R50</x:f>
        <x:v>0</x:v>
      </x:c>
      <x:c r="U50" s="7" t="n">
        <x:f>M50-S50-T50</x:f>
        <x:v>0</x:v>
      </x:c>
    </x:row>
    <x:row r="51" ht="27" customHeight="1">
      <x:c r="A51" s="2"/>
      <x:c r="B51" s="2" t="str">
        <x:v>Health Care | price_contribution | CUUR0000SEGB</x:v>
      </x:c>
      <x:c r="C51" s="2" t="str">
        <x:v>2025-03-31</x:v>
      </x:c>
      <x:c r="D51" s="2" t="str">
        <x:v>Pre-earnings</x:v>
      </x:c>
      <x:c r="E51" s="2" t="str">
        <x:v>2025-04-23</x:v>
      </x:c>
      <x:c r="F51" s="2" t="str">
        <x:v>Flat level</x:v>
      </x:c>
      <x:c r="G51" s="2" t="n">
        <x:v>16</x:v>
      </x:c>
      <x:c r="H51" s="7" t="n">
        <x:v>1.2102868897109689</x:v>
      </x:c>
      <x:c r="I51" s="7" t="n">
        <x:v>0.7358313054642796</x:v>
      </x:c>
      <x:c r="J51" s="7" t="n">
        <x:v>0.23594619830289432</x:v>
      </x:c>
      <x:c r="K51" s="7" t="n">
        <x:f>H51+I51*J51</x:f>
        <x:v>1.3839034888275215</x:v>
      </x:c>
      <x:c r="L51" s="7" t="n">
        <x:v>1</x:v>
      </x:c>
      <x:c r="M51" s="7" t="n">
        <x:f>K51-L51</x:f>
        <x:v>0.38390348882752146</x:v>
      </x:c>
      <x:c r="N51" s="7" t="n">
        <x:f>M51^2</x:f>
        <x:v>0.1473818887339429</x:v>
      </x:c>
      <x:c r="O51" s="7" t="n">
        <x:v>1</x:v>
      </x:c>
      <x:c r="P51" s="7" t="n">
        <x:v>2</x:v>
      </x:c>
      <x:c r="Q51" s="7" t="n">
        <x:v>0.23594619830289432</x:v>
      </x:c>
      <x:c r="R51" s="7" t="n">
        <x:f>H51+I51*Q51</x:f>
        <x:v>1.3839034888275215</x:v>
      </x:c>
      <x:c r="S51" s="7" t="n">
        <x:f>R51-L51</x:f>
        <x:v>0.38390348882752146</x:v>
      </x:c>
      <x:c r="T51" s="7" t="n">
        <x:f>K51-R51</x:f>
        <x:v>0</x:v>
      </x:c>
      <x:c r="U51" s="7" t="n">
        <x:f>M51-S51-T51</x:f>
        <x:v>0</x:v>
      </x:c>
    </x:row>
    <x:row r="52" ht="27" customHeight="1">
      <x:c r="A52" s="2"/>
      <x:c r="B52" s="2" t="str">
        <x:v>Health Care | price_contribution | CUUR0000SEGB</x:v>
      </x:c>
      <x:c r="C52" s="2" t="str">
        <x:v>2025-03-31</x:v>
      </x:c>
      <x:c r="D52" s="2" t="str">
        <x:v>Pre-earnings</x:v>
      </x:c>
      <x:c r="E52" s="2" t="str">
        <x:v>2025-04-23</x:v>
      </x:c>
      <x:c r="F52" s="2" t="str">
        <x:v>Recent trend</x:v>
      </x:c>
      <x:c r="G52" s="2" t="n">
        <x:v>16</x:v>
      </x:c>
      <x:c r="H52" s="7" t="n">
        <x:v>1.2102868897109689</x:v>
      </x:c>
      <x:c r="I52" s="7" t="n">
        <x:v>0.7358313054642796</x:v>
      </x:c>
      <x:c r="J52" s="7" t="n">
        <x:v>0.23594619830289432</x:v>
      </x:c>
      <x:c r="K52" s="7" t="n">
        <x:f>H52+I52*J52</x:f>
        <x:v>1.3839034888275215</x:v>
      </x:c>
      <x:c r="L52" s="7" t="n">
        <x:v>1</x:v>
      </x:c>
      <x:c r="M52" s="7" t="n">
        <x:f>K52-L52</x:f>
        <x:v>0.38390348882752146</x:v>
      </x:c>
      <x:c r="N52" s="7" t="n">
        <x:f>M52^2</x:f>
        <x:v>0.1473818887339429</x:v>
      </x:c>
      <x:c r="O52" s="7" t="n">
        <x:v>1</x:v>
      </x:c>
      <x:c r="P52" s="7" t="n">
        <x:v>2</x:v>
      </x:c>
      <x:c r="Q52" s="7" t="n">
        <x:v>0.23594619830289432</x:v>
      </x:c>
      <x:c r="R52" s="7" t="n">
        <x:f>H52+I52*Q52</x:f>
        <x:v>1.3839034888275215</x:v>
      </x:c>
      <x:c r="S52" s="7" t="n">
        <x:f>R52-L52</x:f>
        <x:v>0.38390348882752146</x:v>
      </x:c>
      <x:c r="T52" s="7" t="n">
        <x:f>K52-R52</x:f>
        <x:v>0</x:v>
      </x:c>
      <x:c r="U52" s="7" t="n">
        <x:f>M52-S52-T52</x:f>
        <x:v>0</x:v>
      </x:c>
    </x:row>
    <x:row r="53" ht="27" customHeight="1">
      <x:c r="A53" s="2"/>
      <x:c r="B53" s="2" t="str">
        <x:v>Health Care | price_contribution | CUUR0000SEGB</x:v>
      </x:c>
      <x:c r="C53" s="2" t="str">
        <x:v>2025-03-31</x:v>
      </x:c>
      <x:c r="D53" s="2" t="str">
        <x:v>Pre-earnings</x:v>
      </x:c>
      <x:c r="E53" s="2" t="str">
        <x:v>2025-04-23</x:v>
      </x:c>
      <x:c r="F53" s="2" t="str">
        <x:v>Seasonal step</x:v>
      </x:c>
      <x:c r="G53" s="2" t="n">
        <x:v>16</x:v>
      </x:c>
      <x:c r="H53" s="7" t="n">
        <x:v>1.2102868897109689</x:v>
      </x:c>
      <x:c r="I53" s="7" t="n">
        <x:v>0.7358313054642796</x:v>
      </x:c>
      <x:c r="J53" s="7" t="n">
        <x:v>0.23594619830289432</x:v>
      </x:c>
      <x:c r="K53" s="7" t="n">
        <x:f>H53+I53*J53</x:f>
        <x:v>1.3839034888275215</x:v>
      </x:c>
      <x:c r="L53" s="7" t="n">
        <x:v>1</x:v>
      </x:c>
      <x:c r="M53" s="7" t="n">
        <x:f>K53-L53</x:f>
        <x:v>0.38390348882752146</x:v>
      </x:c>
      <x:c r="N53" s="7" t="n">
        <x:f>M53^2</x:f>
        <x:v>0.1473818887339429</x:v>
      </x:c>
      <x:c r="O53" s="7" t="n">
        <x:v>1</x:v>
      </x:c>
      <x:c r="P53" s="7" t="n">
        <x:v>2</x:v>
      </x:c>
      <x:c r="Q53" s="7" t="n">
        <x:v>0.23594619830289432</x:v>
      </x:c>
      <x:c r="R53" s="7" t="n">
        <x:f>H53+I53*Q53</x:f>
        <x:v>1.3839034888275215</x:v>
      </x:c>
      <x:c r="S53" s="7" t="n">
        <x:f>R53-L53</x:f>
        <x:v>0.38390348882752146</x:v>
      </x:c>
      <x:c r="T53" s="7" t="n">
        <x:f>K53-R53</x:f>
        <x:v>0</x:v>
      </x:c>
      <x:c r="U53" s="7" t="n">
        <x:f>M53-S53-T53</x:f>
        <x:v>0</x:v>
      </x:c>
    </x:row>
    <x:row r="54" ht="27" customHeight="1">
      <x:c r="A54" s="2"/>
      <x:c r="B54" s="2" t="str">
        <x:v>Health Care | price_contribution | CUUR0000SEGB</x:v>
      </x:c>
      <x:c r="C54" s="2" t="str">
        <x:v>2025-06-30</x:v>
      </x:c>
      <x:c r="D54" s="2" t="str">
        <x:v>Origin</x:v>
      </x:c>
      <x:c r="E54" s="2" t="str">
        <x:v>2025-04-01</x:v>
      </x:c>
      <x:c r="F54" s="2" t="str">
        <x:v>YoY carry</x:v>
      </x:c>
      <x:c r="G54" s="2" t="n">
        <x:v>16</x:v>
      </x:c>
      <x:c r="H54" s="7" t="n">
        <x:v>1.2102868897109689</x:v>
      </x:c>
      <x:c r="I54" s="7" t="n">
        <x:v>0.7358313054642796</x:v>
      </x:c>
      <x:c r="J54" s="7" t="n">
        <x:v>0.4021029127773579</x:v>
      </x:c>
      <x:c r="K54" s="7" t="n">
        <x:f>H54+I54*J54</x:f>
        <x:v>1.5061668009509215</x:v>
      </x:c>
      <x:c r="L54" s="7" t="n">
        <x:v>1</x:v>
      </x:c>
      <x:c r="M54" s="7" t="n">
        <x:f>K54-L54</x:f>
        <x:v>0.5061668009509215</x:v>
      </x:c>
      <x:c r="N54" s="7" t="n">
        <x:f>M54^2</x:f>
        <x:v>0.2562048303848898</x:v>
      </x:c>
      <x:c r="O54" s="7" t="n">
        <x:v>1</x:v>
      </x:c>
      <x:c r="P54" s="7" t="n">
        <x:v>2</x:v>
      </x:c>
      <x:c r="Q54" s="7" t="n">
        <x:v>0.5057825004843641</x:v>
      </x:c>
      <x:c r="R54" s="7" t="n">
        <x:f>H54+I54*Q54</x:f>
        <x:v>1.582457487323366</x:v>
      </x:c>
      <x:c r="S54" s="7" t="n">
        <x:f>R54-L54</x:f>
        <x:v>0.5824574873233661</x:v>
      </x:c>
      <x:c r="T54" s="7" t="n">
        <x:f>K54-R54</x:f>
        <x:v>-0.07629068637244463</x:v>
      </x:c>
      <x:c r="U54" s="7" t="n">
        <x:f>M54-S54-T54</x:f>
        <x:v>0</x:v>
      </x:c>
    </x:row>
    <x:row r="55" ht="27" customHeight="1">
      <x:c r="A55" s="2"/>
      <x:c r="B55" s="2" t="str">
        <x:v>Health Care | price_contribution | CUUR0000SEGB</x:v>
      </x:c>
      <x:c r="C55" s="2" t="str">
        <x:v>2025-06-30</x:v>
      </x:c>
      <x:c r="D55" s="2" t="str">
        <x:v>Origin</x:v>
      </x:c>
      <x:c r="E55" s="2" t="str">
        <x:v>2025-04-01</x:v>
      </x:c>
      <x:c r="F55" s="2" t="str">
        <x:v>Flat level</x:v>
      </x:c>
      <x:c r="G55" s="2" t="n">
        <x:v>16</x:v>
      </x:c>
      <x:c r="H55" s="7" t="n">
        <x:v>1.2102868897109689</x:v>
      </x:c>
      <x:c r="I55" s="7" t="n">
        <x:v>0.7358313054642796</x:v>
      </x:c>
      <x:c r="J55" s="7" t="n">
        <x:v>0.4992622840876981</x:v>
      </x:c>
      <x:c r="K55" s="7" t="n">
        <x:f>H55+I55*J55</x:f>
        <x:v>1.5776597079802979</x:v>
      </x:c>
      <x:c r="L55" s="7" t="n">
        <x:v>1</x:v>
      </x:c>
      <x:c r="M55" s="7" t="n">
        <x:f>K55-L55</x:f>
        <x:v>0.5776597079802979</x:v>
      </x:c>
      <x:c r="N55" s="7" t="n">
        <x:f>M55^2</x:f>
        <x:v>0.333690738223883</x:v>
      </x:c>
      <x:c r="O55" s="7" t="n">
        <x:v>1</x:v>
      </x:c>
      <x:c r="P55" s="7" t="n">
        <x:v>2</x:v>
      </x:c>
      <x:c r="Q55" s="7" t="n">
        <x:v>0.5057825004843641</x:v>
      </x:c>
      <x:c r="R55" s="7" t="n">
        <x:f>H55+I55*Q55</x:f>
        <x:v>1.582457487323366</x:v>
      </x:c>
      <x:c r="S55" s="7" t="n">
        <x:f>R55-L55</x:f>
        <x:v>0.5824574873233661</x:v>
      </x:c>
      <x:c r="T55" s="7" t="n">
        <x:f>K55-R55</x:f>
        <x:v>-0.0047977793430682425</x:v>
      </x:c>
      <x:c r="U55" s="7" t="n">
        <x:f>M55-S55-T55</x:f>
        <x:v>0</x:v>
      </x:c>
    </x:row>
    <x:row r="56" ht="27" customHeight="1">
      <x:c r="A56" s="2"/>
      <x:c r="B56" s="2" t="str">
        <x:v>Health Care | price_contribution | CUUR0000SEGB</x:v>
      </x:c>
      <x:c r="C56" s="2" t="str">
        <x:v>2025-06-30</x:v>
      </x:c>
      <x:c r="D56" s="2" t="str">
        <x:v>Origin</x:v>
      </x:c>
      <x:c r="E56" s="2" t="str">
        <x:v>2025-04-01</x:v>
      </x:c>
      <x:c r="F56" s="2" t="str">
        <x:v>Recent trend</x:v>
      </x:c>
      <x:c r="G56" s="2" t="n">
        <x:v>16</x:v>
      </x:c>
      <x:c r="H56" s="7" t="n">
        <x:v>1.2102868897109689</x:v>
      </x:c>
      <x:c r="I56" s="7" t="n">
        <x:v>0.7358313054642796</x:v>
      </x:c>
      <x:c r="J56" s="7" t="n">
        <x:v>2.4173236560902644</x:v>
      </x:c>
      <x:c r="K56" s="7" t="n">
        <x:f>H56+I56*J56</x:f>
        <x:v>2.9890293113015534</x:v>
      </x:c>
      <x:c r="L56" s="7" t="n">
        <x:v>1</x:v>
      </x:c>
      <x:c r="M56" s="7" t="n">
        <x:f>K56-L56</x:f>
        <x:v>1.9890293113015534</x:v>
      </x:c>
      <x:c r="N56" s="7" t="n">
        <x:f>M56^2</x:f>
        <x:v>3.9562376012167317</x:v>
      </x:c>
      <x:c r="O56" s="7" t="n">
        <x:v>1</x:v>
      </x:c>
      <x:c r="P56" s="7" t="n">
        <x:v>2</x:v>
      </x:c>
      <x:c r="Q56" s="7" t="n">
        <x:v>0.5057825004843641</x:v>
      </x:c>
      <x:c r="R56" s="7" t="n">
        <x:f>H56+I56*Q56</x:f>
        <x:v>1.582457487323366</x:v>
      </x:c>
      <x:c r="S56" s="7" t="n">
        <x:f>R56-L56</x:f>
        <x:v>0.5824574873233661</x:v>
      </x:c>
      <x:c r="T56" s="7" t="n">
        <x:f>K56-R56</x:f>
        <x:v>1.4065718239781873</x:v>
      </x:c>
      <x:c r="U56" s="7" t="n">
        <x:f>M56-S56-T56</x:f>
        <x:v>0</x:v>
      </x:c>
    </x:row>
    <x:row r="57" ht="27" customHeight="1">
      <x:c r="A57" s="2"/>
      <x:c r="B57" s="2" t="str">
        <x:v>Health Care | price_contribution | CUUR0000SEGB</x:v>
      </x:c>
      <x:c r="C57" s="2" t="str">
        <x:v>2025-06-30</x:v>
      </x:c>
      <x:c r="D57" s="2" t="str">
        <x:v>Origin</x:v>
      </x:c>
      <x:c r="E57" s="2" t="str">
        <x:v>2025-04-01</x:v>
      </x:c>
      <x:c r="F57" s="2" t="str">
        <x:v>Seasonal step</x:v>
      </x:c>
      <x:c r="G57" s="2" t="n">
        <x:v>16</x:v>
      </x:c>
      <x:c r="H57" s="7" t="n">
        <x:v>1.2102868897109689</x:v>
      </x:c>
      <x:c r="I57" s="7" t="n">
        <x:v>0.7358313054642796</x:v>
      </x:c>
      <x:c r="J57" s="7" t="n">
        <x:v>1.914078474553338</x:v>
      </x:c>
      <x:c r="K57" s="7" t="n">
        <x:f>H57+I57*J57</x:f>
        <x:v>2.6187257524026286</x:v>
      </x:c>
      <x:c r="L57" s="7" t="n">
        <x:v>1</x:v>
      </x:c>
      <x:c r="M57" s="7" t="n">
        <x:f>K57-L57</x:f>
        <x:v>1.6187257524026286</x:v>
      </x:c>
      <x:c r="N57" s="7" t="n">
        <x:f>M57^2</x:f>
        <x:v>2.620273061491456</x:v>
      </x:c>
      <x:c r="O57" s="7" t="n">
        <x:v>1</x:v>
      </x:c>
      <x:c r="P57" s="7" t="n">
        <x:v>2</x:v>
      </x:c>
      <x:c r="Q57" s="7" t="n">
        <x:v>0.5057825004843641</x:v>
      </x:c>
      <x:c r="R57" s="7" t="n">
        <x:f>H57+I57*Q57</x:f>
        <x:v>1.582457487323366</x:v>
      </x:c>
      <x:c r="S57" s="7" t="n">
        <x:f>R57-L57</x:f>
        <x:v>0.5824574873233661</x:v>
      </x:c>
      <x:c r="T57" s="7" t="n">
        <x:f>K57-R57</x:f>
        <x:v>1.0362682650792625</x:v>
      </x:c>
      <x:c r="U57" s="7" t="n">
        <x:f>M57-S57-T57</x:f>
        <x:v>0</x:v>
      </x:c>
    </x:row>
    <x:row r="58" ht="27" customHeight="1">
      <x:c r="A58" s="2"/>
      <x:c r="B58" s="2" t="str">
        <x:v>Health Care | price_contribution | CUUR0000SEGB</x:v>
      </x:c>
      <x:c r="C58" s="2" t="str">
        <x:v>2025-06-30</x:v>
      </x:c>
      <x:c r="D58" s="2" t="str">
        <x:v>One month</x:v>
      </x:c>
      <x:c r="E58" s="2" t="str">
        <x:v>2025-05-13</x:v>
      </x:c>
      <x:c r="F58" s="2" t="str">
        <x:v>YoY carry</x:v>
      </x:c>
      <x:c r="G58" s="2" t="n">
        <x:v>13</x:v>
      </x:c>
      <x:c r="H58" s="7" t="n">
        <x:v>1.410070510963585</x:v>
      </x:c>
      <x:c r="I58" s="7" t="n">
        <x:v>0.6976862088531262</x:v>
      </x:c>
      <x:c r="J58" s="7" t="n">
        <x:v>0.29298556446168966</x:v>
      </x:c>
      <x:c r="K58" s="7" t="n">
        <x:f>H58+I58*J58</x:f>
        <x:v>1.6144824986815545</x:v>
      </x:c>
      <x:c r="L58" s="7" t="n">
        <x:v>1</x:v>
      </x:c>
      <x:c r="M58" s="7" t="n">
        <x:f>K58-L58</x:f>
        <x:v>0.6144824986815545</x:v>
      </x:c>
      <x:c r="N58" s="7" t="n">
        <x:f>M58^2</x:f>
        <x:v>0.3775887411859266</x:v>
      </x:c>
      <x:c r="O58" s="7" t="n">
        <x:v>1</x:v>
      </x:c>
      <x:c r="P58" s="7" t="n">
        <x:v>1.25</x:v>
      </x:c>
      <x:c r="Q58" s="7" t="n">
        <x:v>0.5057825004843641</x:v>
      </x:c>
      <x:c r="R58" s="7" t="n">
        <x:f>H58+I58*Q58</x:f>
        <x:v>1.7629479862307753</x:v>
      </x:c>
      <x:c r="S58" s="7" t="n">
        <x:f>R58-L58</x:f>
        <x:v>0.7629479862307753</x:v>
      </x:c>
      <x:c r="T58" s="7" t="n">
        <x:f>K58-R58</x:f>
        <x:v>-0.14846548754922084</x:v>
      </x:c>
      <x:c r="U58" s="7" t="n">
        <x:f>M58-S58-T58</x:f>
        <x:v>0</x:v>
      </x:c>
    </x:row>
    <x:row r="59" ht="27" customHeight="1">
      <x:c r="A59" s="2"/>
      <x:c r="B59" s="2" t="str">
        <x:v>Health Care | price_contribution | CUUR0000SEGB</x:v>
      </x:c>
      <x:c r="C59" s="2" t="str">
        <x:v>2025-06-30</x:v>
      </x:c>
      <x:c r="D59" s="2" t="str">
        <x:v>One month</x:v>
      </x:c>
      <x:c r="E59" s="2" t="str">
        <x:v>2025-05-13</x:v>
      </x:c>
      <x:c r="F59" s="2" t="str">
        <x:v>Flat level</x:v>
      </x:c>
      <x:c r="G59" s="2" t="n">
        <x:v>13</x:v>
      </x:c>
      <x:c r="H59" s="7" t="n">
        <x:v>1.410070510963585</x:v>
      </x:c>
      <x:c r="I59" s="7" t="n">
        <x:v>0.6976862088531262</x:v>
      </x:c>
      <x:c r="J59" s="7" t="n">
        <x:v>0.5998599084934053</x:v>
      </x:c>
      <x:c r="K59" s="7" t="n">
        <x:f>H59+I59*J59</x:f>
        <x:v>1.828584496363332</x:v>
      </x:c>
      <x:c r="L59" s="7" t="n">
        <x:v>1</x:v>
      </x:c>
      <x:c r="M59" s="7" t="n">
        <x:f>K59-L59</x:f>
        <x:v>0.828584496363332</x:v>
      </x:c>
      <x:c r="N59" s="7" t="n">
        <x:f>M59^2</x:f>
        <x:v>0.6865522676136765</x:v>
      </x:c>
      <x:c r="O59" s="7" t="n">
        <x:v>1</x:v>
      </x:c>
      <x:c r="P59" s="7" t="n">
        <x:v>1.25</x:v>
      </x:c>
      <x:c r="Q59" s="7" t="n">
        <x:v>0.5057825004843641</x:v>
      </x:c>
      <x:c r="R59" s="7" t="n">
        <x:f>H59+I59*Q59</x:f>
        <x:v>1.7629479862307753</x:v>
      </x:c>
      <x:c r="S59" s="7" t="n">
        <x:f>R59-L59</x:f>
        <x:v>0.7629479862307753</x:v>
      </x:c>
      <x:c r="T59" s="7" t="n">
        <x:f>K59-R59</x:f>
        <x:v>0.06563651013255667</x:v>
      </x:c>
      <x:c r="U59" s="7" t="n">
        <x:f>M59-S59-T59</x:f>
        <x:v>0</x:v>
      </x:c>
    </x:row>
    <x:row r="60" ht="27" customHeight="1">
      <x:c r="A60" s="2"/>
      <x:c r="B60" s="2" t="str">
        <x:v>Health Care | price_contribution | CUUR0000SEGB</x:v>
      </x:c>
      <x:c r="C60" s="2" t="str">
        <x:v>2025-06-30</x:v>
      </x:c>
      <x:c r="D60" s="2" t="str">
        <x:v>One month</x:v>
      </x:c>
      <x:c r="E60" s="2" t="str">
        <x:v>2025-05-13</x:v>
      </x:c>
      <x:c r="F60" s="2" t="str">
        <x:v>Recent trend</x:v>
      </x:c>
      <x:c r="G60" s="2" t="n">
        <x:v>13</x:v>
      </x:c>
      <x:c r="H60" s="7" t="n">
        <x:v>1.410070510963585</x:v>
      </x:c>
      <x:c r="I60" s="7" t="n">
        <x:v>0.6976862088531262</x:v>
      </x:c>
      <x:c r="J60" s="7" t="n">
        <x:v>0.65015872069627</x:v>
      </x:c>
      <x:c r="K60" s="7" t="n">
        <x:f>H60+I60*J60</x:f>
        <x:v>1.8636772839589641</x:v>
      </x:c>
      <x:c r="L60" s="7" t="n">
        <x:v>1</x:v>
      </x:c>
      <x:c r="M60" s="7" t="n">
        <x:f>K60-L60</x:f>
        <x:v>0.8636772839589641</x:v>
      </x:c>
      <x:c r="N60" s="7" t="n">
        <x:f>M60^2</x:f>
        <x:v>0.7459384508267332</x:v>
      </x:c>
      <x:c r="O60" s="7" t="n">
        <x:v>1</x:v>
      </x:c>
      <x:c r="P60" s="7" t="n">
        <x:v>1.25</x:v>
      </x:c>
      <x:c r="Q60" s="7" t="n">
        <x:v>0.5057825004843641</x:v>
      </x:c>
      <x:c r="R60" s="7" t="n">
        <x:f>H60+I60*Q60</x:f>
        <x:v>1.7629479862307753</x:v>
      </x:c>
      <x:c r="S60" s="7" t="n">
        <x:f>R60-L60</x:f>
        <x:v>0.7629479862307753</x:v>
      </x:c>
      <x:c r="T60" s="7" t="n">
        <x:f>K60-R60</x:f>
        <x:v>0.10072929772818884</x:v>
      </x:c>
      <x:c r="U60" s="7" t="n">
        <x:f>M60-S60-T60</x:f>
        <x:v>0</x:v>
      </x:c>
    </x:row>
    <x:row r="61" ht="27" customHeight="1">
      <x:c r="A61" s="2"/>
      <x:c r="B61" s="2" t="str">
        <x:v>Health Care | price_contribution | CUUR0000SEGB</x:v>
      </x:c>
      <x:c r="C61" s="2" t="str">
        <x:v>2025-06-30</x:v>
      </x:c>
      <x:c r="D61" s="2" t="str">
        <x:v>One month</x:v>
      </x:c>
      <x:c r="E61" s="2" t="str">
        <x:v>2025-05-13</x:v>
      </x:c>
      <x:c r="F61" s="2" t="str">
        <x:v>Seasonal step</x:v>
      </x:c>
      <x:c r="G61" s="2" t="n">
        <x:v>13</x:v>
      </x:c>
      <x:c r="H61" s="7" t="n">
        <x:v>1.410070510963585</x:v>
      </x:c>
      <x:c r="I61" s="7" t="n">
        <x:v>0.6976862088531262</x:v>
      </x:c>
      <x:c r="J61" s="7" t="n">
        <x:v>0.8576893095995075</x:v>
      </x:c>
      <x:c r="K61" s="7" t="n">
        <x:f>H61+I61*J61</x:f>
        <x:v>2.0084685137519207</x:v>
      </x:c>
      <x:c r="L61" s="7" t="n">
        <x:v>1</x:v>
      </x:c>
      <x:c r="M61" s="7" t="n">
        <x:f>K61-L61</x:f>
        <x:v>1.0084685137519207</x:v>
      </x:c>
      <x:c r="N61" s="7" t="n">
        <x:f>M61^2</x:f>
        <x:v>1.0170087432290078</x:v>
      </x:c>
      <x:c r="O61" s="7" t="n">
        <x:v>1</x:v>
      </x:c>
      <x:c r="P61" s="7" t="n">
        <x:v>1.25</x:v>
      </x:c>
      <x:c r="Q61" s="7" t="n">
        <x:v>0.5057825004843641</x:v>
      </x:c>
      <x:c r="R61" s="7" t="n">
        <x:f>H61+I61*Q61</x:f>
        <x:v>1.7629479862307753</x:v>
      </x:c>
      <x:c r="S61" s="7" t="n">
        <x:f>R61-L61</x:f>
        <x:v>0.7629479862307753</x:v>
      </x:c>
      <x:c r="T61" s="7" t="n">
        <x:f>K61-R61</x:f>
        <x:v>0.2455205275211454</x:v>
      </x:c>
      <x:c r="U61" s="7" t="n">
        <x:f>M61-S61-T61</x:f>
        <x:v>0</x:v>
      </x:c>
    </x:row>
    <x:row r="62" ht="27" customHeight="1">
      <x:c r="A62" s="2"/>
      <x:c r="B62" s="2" t="str">
        <x:v>Health Care | price_contribution | CUUR0000SEGB</x:v>
      </x:c>
      <x:c r="C62" s="2" t="str">
        <x:v>2025-06-30</x:v>
      </x:c>
      <x:c r="D62" s="2" t="str">
        <x:v>Two months</x:v>
      </x:c>
      <x:c r="E62" s="2" t="str">
        <x:v>2025-06-11</x:v>
      </x:c>
      <x:c r="F62" s="2" t="str">
        <x:v>YoY carry</x:v>
      </x:c>
      <x:c r="G62" s="2" t="n">
        <x:v>13</x:v>
      </x:c>
      <x:c r="H62" s="7" t="n">
        <x:v>1.410070510963585</x:v>
      </x:c>
      <x:c r="I62" s="7" t="n">
        <x:v>0.6976862088531262</x:v>
      </x:c>
      <x:c r="J62" s="7" t="n">
        <x:v>0.39150232338920343</x:v>
      </x:c>
      <x:c r="K62" s="7" t="n">
        <x:f>H62+I62*J62</x:f>
        <x:v>1.683216282726189</x:v>
      </x:c>
      <x:c r="L62" s="7" t="n">
        <x:v>1</x:v>
      </x:c>
      <x:c r="M62" s="7" t="n">
        <x:f>K62-L62</x:f>
        <x:v>0.683216282726189</x:v>
      </x:c>
      <x:c r="N62" s="7" t="n">
        <x:f>M62^2</x:f>
        <x:v>0.46678448898219177</x:v>
      </x:c>
      <x:c r="O62" s="7" t="n">
        <x:v>1</x:v>
      </x:c>
      <x:c r="P62" s="7" t="n">
        <x:v>1.25</x:v>
      </x:c>
      <x:c r="Q62" s="7" t="n">
        <x:v>0.5057825004843641</x:v>
      </x:c>
      <x:c r="R62" s="7" t="n">
        <x:f>H62+I62*Q62</x:f>
        <x:v>1.7629479862307753</x:v>
      </x:c>
      <x:c r="S62" s="7" t="n">
        <x:f>R62-L62</x:f>
        <x:v>0.7629479862307753</x:v>
      </x:c>
      <x:c r="T62" s="7" t="n">
        <x:f>K62-R62</x:f>
        <x:v>-0.07973170350458636</x:v>
      </x:c>
      <x:c r="U62" s="7" t="n">
        <x:f>M62-S62-T62</x:f>
        <x:v>0</x:v>
      </x:c>
    </x:row>
    <x:row r="63" ht="27" customHeight="1">
      <x:c r="A63" s="2"/>
      <x:c r="B63" s="2" t="str">
        <x:v>Health Care | price_contribution | CUUR0000SEGB</x:v>
      </x:c>
      <x:c r="C63" s="2" t="str">
        <x:v>2025-06-30</x:v>
      </x:c>
      <x:c r="D63" s="2" t="str">
        <x:v>Two months</x:v>
      </x:c>
      <x:c r="E63" s="2" t="str">
        <x:v>2025-06-11</x:v>
      </x:c>
      <x:c r="F63" s="2" t="str">
        <x:v>Flat level</x:v>
      </x:c>
      <x:c r="G63" s="2" t="n">
        <x:v>13</x:v>
      </x:c>
      <x:c r="H63" s="7" t="n">
        <x:v>1.410070510963585</x:v>
      </x:c>
      <x:c r="I63" s="7" t="n">
        <x:v>0.6976862088531262</x:v>
      </x:c>
      <x:c r="J63" s="7" t="n">
        <x:v>0.47653467264787697</x:v>
      </x:c>
      <x:c r="K63" s="7" t="n">
        <x:f>H63+I63*J63</x:f>
        <x:v>1.7425421801103478</x:v>
      </x:c>
      <x:c r="L63" s="7" t="n">
        <x:v>1</x:v>
      </x:c>
      <x:c r="M63" s="7" t="n">
        <x:f>K63-L63</x:f>
        <x:v>0.7425421801103478</x:v>
      </x:c>
      <x:c r="N63" s="7" t="n">
        <x:f>M63^2</x:f>
        <x:v>0.5513688892430282</x:v>
      </x:c>
      <x:c r="O63" s="7" t="n">
        <x:v>1</x:v>
      </x:c>
      <x:c r="P63" s="7" t="n">
        <x:v>1.25</x:v>
      </x:c>
      <x:c r="Q63" s="7" t="n">
        <x:v>0.5057825004843641</x:v>
      </x:c>
      <x:c r="R63" s="7" t="n">
        <x:f>H63+I63*Q63</x:f>
        <x:v>1.7629479862307753</x:v>
      </x:c>
      <x:c r="S63" s="7" t="n">
        <x:f>R63-L63</x:f>
        <x:v>0.7629479862307753</x:v>
      </x:c>
      <x:c r="T63" s="7" t="n">
        <x:f>K63-R63</x:f>
        <x:v>-0.020405806120427528</x:v>
      </x:c>
      <x:c r="U63" s="7" t="n">
        <x:f>M63-S63-T63</x:f>
        <x:v>0</x:v>
      </x:c>
    </x:row>
    <x:row r="64" ht="27" customHeight="1">
      <x:c r="A64" s="2"/>
      <x:c r="B64" s="2" t="str">
        <x:v>Health Care | price_contribution | CUUR0000SEGB</x:v>
      </x:c>
      <x:c r="C64" s="2" t="str">
        <x:v>2025-06-30</x:v>
      </x:c>
      <x:c r="D64" s="2" t="str">
        <x:v>Two months</x:v>
      </x:c>
      <x:c r="E64" s="2" t="str">
        <x:v>2025-06-11</x:v>
      </x:c>
      <x:c r="F64" s="2" t="str">
        <x:v>Recent trend</x:v>
      </x:c>
      <x:c r="G64" s="2" t="n">
        <x:v>13</x:v>
      </x:c>
      <x:c r="H64" s="7" t="n">
        <x:v>1.410070510963585</x:v>
      </x:c>
      <x:c r="I64" s="7" t="n">
        <x:v>0.6976862088531262</x:v>
      </x:c>
      <x:c r="J64" s="7" t="n">
        <x:v>0.46973501840563703</x:v>
      </x:c>
      <x:c r="K64" s="7" t="n">
        <x:f>H64+I64*J64</x:f>
        <x:v>1.7377981551205672</x:v>
      </x:c>
      <x:c r="L64" s="7" t="n">
        <x:v>1</x:v>
      </x:c>
      <x:c r="M64" s="7" t="n">
        <x:f>K64-L64</x:f>
        <x:v>0.7377981551205672</x:v>
      </x:c>
      <x:c r="N64" s="7" t="n">
        <x:f>M64^2</x:f>
        <x:v>0.5443461176993126</x:v>
      </x:c>
      <x:c r="O64" s="7" t="n">
        <x:v>1</x:v>
      </x:c>
      <x:c r="P64" s="7" t="n">
        <x:v>1.25</x:v>
      </x:c>
      <x:c r="Q64" s="7" t="n">
        <x:v>0.5057825004843641</x:v>
      </x:c>
      <x:c r="R64" s="7" t="n">
        <x:f>H64+I64*Q64</x:f>
        <x:v>1.7629479862307753</x:v>
      </x:c>
      <x:c r="S64" s="7" t="n">
        <x:f>R64-L64</x:f>
        <x:v>0.7629479862307753</x:v>
      </x:c>
      <x:c r="T64" s="7" t="n">
        <x:f>K64-R64</x:f>
        <x:v>-0.025149831110208076</x:v>
      </x:c>
      <x:c r="U64" s="7" t="n">
        <x:f>M64-S64-T64</x:f>
        <x:v>0</x:v>
      </x:c>
    </x:row>
    <x:row r="65" ht="27" customHeight="1">
      <x:c r="A65" s="2"/>
      <x:c r="B65" s="2" t="str">
        <x:v>Health Care | price_contribution | CUUR0000SEGB</x:v>
      </x:c>
      <x:c r="C65" s="2" t="str">
        <x:v>2025-06-30</x:v>
      </x:c>
      <x:c r="D65" s="2" t="str">
        <x:v>Two months</x:v>
      </x:c>
      <x:c r="E65" s="2" t="str">
        <x:v>2025-06-11</x:v>
      </x:c>
      <x:c r="F65" s="2" t="str">
        <x:v>Seasonal step</x:v>
      </x:c>
      <x:c r="G65" s="2" t="n">
        <x:v>13</x:v>
      </x:c>
      <x:c r="H65" s="7" t="n">
        <x:v>1.410070510963585</x:v>
      </x:c>
      <x:c r="I65" s="7" t="n">
        <x:v>0.6976862088531262</x:v>
      </x:c>
      <x:c r="J65" s="7" t="n">
        <x:v>0.545190912843041</x:v>
      </x:c>
      <x:c r="K65" s="7" t="n">
        <x:f>H65+I65*J65</x:f>
        <x:v>1.7904426920462213</x:v>
      </x:c>
      <x:c r="L65" s="7" t="n">
        <x:v>1</x:v>
      </x:c>
      <x:c r="M65" s="7" t="n">
        <x:f>K65-L65</x:f>
        <x:v>0.7904426920462213</x:v>
      </x:c>
      <x:c r="N65" s="7" t="n">
        <x:f>M65^2</x:f>
        <x:v>0.6247996494092775</x:v>
      </x:c>
      <x:c r="O65" s="7" t="n">
        <x:v>1</x:v>
      </x:c>
      <x:c r="P65" s="7" t="n">
        <x:v>1.25</x:v>
      </x:c>
      <x:c r="Q65" s="7" t="n">
        <x:v>0.5057825004843641</x:v>
      </x:c>
      <x:c r="R65" s="7" t="n">
        <x:f>H65+I65*Q65</x:f>
        <x:v>1.7629479862307753</x:v>
      </x:c>
      <x:c r="S65" s="7" t="n">
        <x:f>R65-L65</x:f>
        <x:v>0.7629479862307753</x:v>
      </x:c>
      <x:c r="T65" s="7" t="n">
        <x:f>K65-R65</x:f>
        <x:v>0.027494705815445997</x:v>
      </x:c>
      <x:c r="U65" s="7" t="n">
        <x:f>M65-S65-T65</x:f>
        <x:v>0</x:v>
      </x:c>
    </x:row>
    <x:row r="66" ht="27" customHeight="1">
      <x:c r="A66" s="2"/>
      <x:c r="B66" s="2" t="str">
        <x:v>Health Care | price_contribution | CUUR0000SEGB</x:v>
      </x:c>
      <x:c r="C66" s="2" t="str">
        <x:v>2025-06-30</x:v>
      </x:c>
      <x:c r="D66" s="2" t="str">
        <x:v>Pre-earnings</x:v>
      </x:c>
      <x:c r="E66" s="2" t="str">
        <x:v>2025-07-28</x:v>
      </x:c>
      <x:c r="F66" s="2" t="str">
        <x:v>YoY carry</x:v>
      </x:c>
      <x:c r="G66" s="2" t="n">
        <x:v>17</x:v>
      </x:c>
      <x:c r="H66" s="7" t="n">
        <x:v>1.1683726059882393</x:v>
      </x:c>
      <x:c r="I66" s="7" t="n">
        <x:v>0.7429839252380669</x:v>
      </x:c>
      <x:c r="J66" s="7" t="n">
        <x:v>0.5057825004843641</x:v>
      </x:c>
      <x:c r="K66" s="7" t="n">
        <x:f>H66+I66*J66</x:f>
        <x:v>1.5441608735148367</x:v>
      </x:c>
      <x:c r="L66" s="7" t="n">
        <x:v>1</x:v>
      </x:c>
      <x:c r="M66" s="7" t="n">
        <x:f>K66-L66</x:f>
        <x:v>0.5441608735148367</x:v>
      </x:c>
      <x:c r="N66" s="7" t="n">
        <x:f>M66^2</x:f>
        <x:v>0.2961110562644301</x:v>
      </x:c>
      <x:c r="O66" s="7" t="n">
        <x:v>1</x:v>
      </x:c>
      <x:c r="P66" s="7" t="n">
        <x:v>1.25</x:v>
      </x:c>
      <x:c r="Q66" s="7" t="n">
        <x:v>0.5057825004843641</x:v>
      </x:c>
      <x:c r="R66" s="7" t="n">
        <x:f>H66+I66*Q66</x:f>
        <x:v>1.5441608735148367</x:v>
      </x:c>
      <x:c r="S66" s="7" t="n">
        <x:f>R66-L66</x:f>
        <x:v>0.5441608735148367</x:v>
      </x:c>
      <x:c r="T66" s="7" t="n">
        <x:f>K66-R66</x:f>
        <x:v>0</x:v>
      </x:c>
      <x:c r="U66" s="7" t="n">
        <x:f>M66-S66-T66</x:f>
        <x:v>0</x:v>
      </x:c>
    </x:row>
    <x:row r="67" ht="27" customHeight="1">
      <x:c r="A67" s="2"/>
      <x:c r="B67" s="2" t="str">
        <x:v>Health Care | price_contribution | CUUR0000SEGB</x:v>
      </x:c>
      <x:c r="C67" s="2" t="str">
        <x:v>2025-06-30</x:v>
      </x:c>
      <x:c r="D67" s="2" t="str">
        <x:v>Pre-earnings</x:v>
      </x:c>
      <x:c r="E67" s="2" t="str">
        <x:v>2025-07-28</x:v>
      </x:c>
      <x:c r="F67" s="2" t="str">
        <x:v>Flat level</x:v>
      </x:c>
      <x:c r="G67" s="2" t="n">
        <x:v>17</x:v>
      </x:c>
      <x:c r="H67" s="7" t="n">
        <x:v>1.1683726059882393</x:v>
      </x:c>
      <x:c r="I67" s="7" t="n">
        <x:v>0.7429839252380669</x:v>
      </x:c>
      <x:c r="J67" s="7" t="n">
        <x:v>0.5057825004843641</x:v>
      </x:c>
      <x:c r="K67" s="7" t="n">
        <x:f>H67+I67*J67</x:f>
        <x:v>1.5441608735148367</x:v>
      </x:c>
      <x:c r="L67" s="7" t="n">
        <x:v>1</x:v>
      </x:c>
      <x:c r="M67" s="7" t="n">
        <x:f>K67-L67</x:f>
        <x:v>0.5441608735148367</x:v>
      </x:c>
      <x:c r="N67" s="7" t="n">
        <x:f>M67^2</x:f>
        <x:v>0.2961110562644301</x:v>
      </x:c>
      <x:c r="O67" s="7" t="n">
        <x:v>1</x:v>
      </x:c>
      <x:c r="P67" s="7" t="n">
        <x:v>1.25</x:v>
      </x:c>
      <x:c r="Q67" s="7" t="n">
        <x:v>0.5057825004843641</x:v>
      </x:c>
      <x:c r="R67" s="7" t="n">
        <x:f>H67+I67*Q67</x:f>
        <x:v>1.5441608735148367</x:v>
      </x:c>
      <x:c r="S67" s="7" t="n">
        <x:f>R67-L67</x:f>
        <x:v>0.5441608735148367</x:v>
      </x:c>
      <x:c r="T67" s="7" t="n">
        <x:f>K67-R67</x:f>
        <x:v>0</x:v>
      </x:c>
      <x:c r="U67" s="7" t="n">
        <x:f>M67-S67-T67</x:f>
        <x:v>0</x:v>
      </x:c>
    </x:row>
    <x:row r="68" ht="27" customHeight="1">
      <x:c r="A68" s="2"/>
      <x:c r="B68" s="2" t="str">
        <x:v>Health Care | price_contribution | CUUR0000SEGB</x:v>
      </x:c>
      <x:c r="C68" s="2" t="str">
        <x:v>2025-06-30</x:v>
      </x:c>
      <x:c r="D68" s="2" t="str">
        <x:v>Pre-earnings</x:v>
      </x:c>
      <x:c r="E68" s="2" t="str">
        <x:v>2025-07-28</x:v>
      </x:c>
      <x:c r="F68" s="2" t="str">
        <x:v>Recent trend</x:v>
      </x:c>
      <x:c r="G68" s="2" t="n">
        <x:v>17</x:v>
      </x:c>
      <x:c r="H68" s="7" t="n">
        <x:v>1.1683726059882393</x:v>
      </x:c>
      <x:c r="I68" s="7" t="n">
        <x:v>0.7429839252380669</x:v>
      </x:c>
      <x:c r="J68" s="7" t="n">
        <x:v>0.5057825004843641</x:v>
      </x:c>
      <x:c r="K68" s="7" t="n">
        <x:f>H68+I68*J68</x:f>
        <x:v>1.5441608735148367</x:v>
      </x:c>
      <x:c r="L68" s="7" t="n">
        <x:v>1</x:v>
      </x:c>
      <x:c r="M68" s="7" t="n">
        <x:f>K68-L68</x:f>
        <x:v>0.5441608735148367</x:v>
      </x:c>
      <x:c r="N68" s="7" t="n">
        <x:f>M68^2</x:f>
        <x:v>0.2961110562644301</x:v>
      </x:c>
      <x:c r="O68" s="7" t="n">
        <x:v>1</x:v>
      </x:c>
      <x:c r="P68" s="7" t="n">
        <x:v>1.25</x:v>
      </x:c>
      <x:c r="Q68" s="7" t="n">
        <x:v>0.5057825004843641</x:v>
      </x:c>
      <x:c r="R68" s="7" t="n">
        <x:f>H68+I68*Q68</x:f>
        <x:v>1.5441608735148367</x:v>
      </x:c>
      <x:c r="S68" s="7" t="n">
        <x:f>R68-L68</x:f>
        <x:v>0.5441608735148367</x:v>
      </x:c>
      <x:c r="T68" s="7" t="n">
        <x:f>K68-R68</x:f>
        <x:v>0</x:v>
      </x:c>
      <x:c r="U68" s="7" t="n">
        <x:f>M68-S68-T68</x:f>
        <x:v>0</x:v>
      </x:c>
    </x:row>
    <x:row r="69" ht="27" customHeight="1">
      <x:c r="A69" s="2"/>
      <x:c r="B69" s="2" t="str">
        <x:v>Health Care | price_contribution | CUUR0000SEGB</x:v>
      </x:c>
      <x:c r="C69" s="2" t="str">
        <x:v>2025-06-30</x:v>
      </x:c>
      <x:c r="D69" s="2" t="str">
        <x:v>Pre-earnings</x:v>
      </x:c>
      <x:c r="E69" s="2" t="str">
        <x:v>2025-07-28</x:v>
      </x:c>
      <x:c r="F69" s="2" t="str">
        <x:v>Seasonal step</x:v>
      </x:c>
      <x:c r="G69" s="2" t="n">
        <x:v>17</x:v>
      </x:c>
      <x:c r="H69" s="7" t="n">
        <x:v>1.1683726059882393</x:v>
      </x:c>
      <x:c r="I69" s="7" t="n">
        <x:v>0.7429839252380669</x:v>
      </x:c>
      <x:c r="J69" s="7" t="n">
        <x:v>0.5057825004843641</x:v>
      </x:c>
      <x:c r="K69" s="7" t="n">
        <x:f>H69+I69*J69</x:f>
        <x:v>1.5441608735148367</x:v>
      </x:c>
      <x:c r="L69" s="7" t="n">
        <x:v>1</x:v>
      </x:c>
      <x:c r="M69" s="7" t="n">
        <x:f>K69-L69</x:f>
        <x:v>0.5441608735148367</x:v>
      </x:c>
      <x:c r="N69" s="7" t="n">
        <x:f>M69^2</x:f>
        <x:v>0.2961110562644301</x:v>
      </x:c>
      <x:c r="O69" s="7" t="n">
        <x:v>1</x:v>
      </x:c>
      <x:c r="P69" s="7" t="n">
        <x:v>1.25</x:v>
      </x:c>
      <x:c r="Q69" s="7" t="n">
        <x:v>0.5057825004843641</x:v>
      </x:c>
      <x:c r="R69" s="7" t="n">
        <x:f>H69+I69*Q69</x:f>
        <x:v>1.5441608735148367</x:v>
      </x:c>
      <x:c r="S69" s="7" t="n">
        <x:f>R69-L69</x:f>
        <x:v>0.5441608735148367</x:v>
      </x:c>
      <x:c r="T69" s="7" t="n">
        <x:f>K69-R69</x:f>
        <x:v>0</x:v>
      </x:c>
      <x:c r="U69" s="7" t="n">
        <x:f>M69-S69-T69</x:f>
        <x:v>0</x:v>
      </x:c>
    </x:row>
    <x:row r="70" ht="27" customHeight="1">
      <x:c r="A70" s="2"/>
      <x:c r="B70" s="2" t="str">
        <x:v>Health Care | price_contribution | CUUR0000SEGB</x:v>
      </x:c>
      <x:c r="C70" s="2" t="str">
        <x:v>2025-09-30</x:v>
      </x:c>
      <x:c r="D70" s="2" t="str">
        <x:v>Origin</x:v>
      </x:c>
      <x:c r="E70" s="2" t="str">
        <x:v>2025-07-01</x:v>
      </x:c>
      <x:c r="F70" s="2" t="str">
        <x:v>YoY carry</x:v>
      </x:c>
      <x:c r="G70" s="2" t="n">
        <x:v>17</x:v>
      </x:c>
      <x:c r="H70" s="7" t="n">
        <x:v>1.1683726059882393</x:v>
      </x:c>
      <x:c r="I70" s="7" t="n">
        <x:v>0.7429839252380669</x:v>
      </x:c>
      <x:c r="J70" s="7" t="n">
        <x:v>0.2991645223175299</x:v>
      </x:c>
      <x:c r="K70" s="7" t="n">
        <x:f>H70+I70*J70</x:f>
        <x:v>1.390647037071689</x:v>
      </x:c>
      <x:c r="L70" s="7" t="n">
        <x:v>1</x:v>
      </x:c>
      <x:c r="M70" s="7" t="n">
        <x:f>K70-L70</x:f>
        <x:v>0.390647037071689</x:v>
      </x:c>
      <x:c r="N70" s="7" t="n">
        <x:f>M70^2</x:f>
        <x:v>0.1526051075728896</x:v>
      </x:c>
      <x:c r="O70" s="7" t="n">
        <x:v>1</x:v>
      </x:c>
      <x:c r="P70" s="7" t="n">
        <x:v>1.25</x:v>
      </x:c>
      <x:c r="Q70" s="7" t="n">
        <x:v>1.0082264270475205</x:v>
      </x:c>
      <x:c r="R70" s="7" t="n">
        <x:f>H70+I70*Q70</x:f>
        <x:v>1.9174686342847576</x:v>
      </x:c>
      <x:c r="S70" s="7" t="n">
        <x:f>R70-L70</x:f>
        <x:v>0.9174686342847576</x:v>
      </x:c>
      <x:c r="T70" s="7" t="n">
        <x:f>K70-R70</x:f>
        <x:v>-0.5268215972130685</x:v>
      </x:c>
      <x:c r="U70" s="7" t="n">
        <x:f>M70-S70-T70</x:f>
        <x:v>0</x:v>
      </x:c>
    </x:row>
    <x:row r="71" ht="27" customHeight="1">
      <x:c r="A71" s="2"/>
      <x:c r="B71" s="2" t="str">
        <x:v>Health Care | price_contribution | CUUR0000SEGB</x:v>
      </x:c>
      <x:c r="C71" s="2" t="str">
        <x:v>2025-09-30</x:v>
      </x:c>
      <x:c r="D71" s="2" t="str">
        <x:v>Origin</x:v>
      </x:c>
      <x:c r="E71" s="2" t="str">
        <x:v>2025-07-01</x:v>
      </x:c>
      <x:c r="F71" s="2" t="str">
        <x:v>Flat level</x:v>
      </x:c>
      <x:c r="G71" s="2" t="n">
        <x:v>17</x:v>
      </x:c>
      <x:c r="H71" s="7" t="n">
        <x:v>1.1683726059882393</x:v>
      </x:c>
      <x:c r="I71" s="7" t="n">
        <x:v>0.7429839252380669</x:v>
      </x:c>
      <x:c r="J71" s="7" t="n">
        <x:v>0.4348919757399594</x:v>
      </x:c>
      <x:c r="K71" s="7" t="n">
        <x:f>H71+I71*J71</x:f>
        <x:v>1.4914903531780526</x:v>
      </x:c>
      <x:c r="L71" s="7" t="n">
        <x:v>1</x:v>
      </x:c>
      <x:c r="M71" s="7" t="n">
        <x:f>K71-L71</x:f>
        <x:v>0.49149035317805256</x:v>
      </x:c>
      <x:c r="N71" s="7" t="n">
        <x:f>M71^2</x:f>
        <x:v>0.24156276726708684</x:v>
      </x:c>
      <x:c r="O71" s="7" t="n">
        <x:v>1</x:v>
      </x:c>
      <x:c r="P71" s="7" t="n">
        <x:v>1.25</x:v>
      </x:c>
      <x:c r="Q71" s="7" t="n">
        <x:v>1.0082264270475205</x:v>
      </x:c>
      <x:c r="R71" s="7" t="n">
        <x:f>H71+I71*Q71</x:f>
        <x:v>1.9174686342847576</x:v>
      </x:c>
      <x:c r="S71" s="7" t="n">
        <x:f>R71-L71</x:f>
        <x:v>0.9174686342847576</x:v>
      </x:c>
      <x:c r="T71" s="7" t="n">
        <x:f>K71-R71</x:f>
        <x:v>-0.425978281106705</x:v>
      </x:c>
      <x:c r="U71" s="7" t="n">
        <x:f>M71-S71-T71</x:f>
        <x:v>0</x:v>
      </x:c>
    </x:row>
    <x:row r="72" ht="27" customHeight="1">
      <x:c r="A72" s="2"/>
      <x:c r="B72" s="2" t="str">
        <x:v>Health Care | price_contribution | CUUR0000SEGB</x:v>
      </x:c>
      <x:c r="C72" s="2" t="str">
        <x:v>2025-09-30</x:v>
      </x:c>
      <x:c r="D72" s="2" t="str">
        <x:v>Origin</x:v>
      </x:c>
      <x:c r="E72" s="2" t="str">
        <x:v>2025-07-01</x:v>
      </x:c>
      <x:c r="F72" s="2" t="str">
        <x:v>Recent trend</x:v>
      </x:c>
      <x:c r="G72" s="2" t="n">
        <x:v>17</x:v>
      </x:c>
      <x:c r="H72" s="7" t="n">
        <x:v>1.1683726059882393</x:v>
      </x:c>
      <x:c r="I72" s="7" t="n">
        <x:v>0.7429839252380669</x:v>
      </x:c>
      <x:c r="J72" s="7" t="n">
        <x:v>0.3736828866094388</x:v>
      </x:c>
      <x:c r="K72" s="7" t="n">
        <x:f>H72+I72*J72</x:f>
        <x:v>1.4460129838756117</x:v>
      </x:c>
      <x:c r="L72" s="7" t="n">
        <x:v>1</x:v>
      </x:c>
      <x:c r="M72" s="7" t="n">
        <x:f>K72-L72</x:f>
        <x:v>0.4460129838756117</x:v>
      </x:c>
      <x:c r="N72" s="7" t="n">
        <x:f>M72^2</x:f>
        <x:v>0.1989275817856267</x:v>
      </x:c>
      <x:c r="O72" s="7" t="n">
        <x:v>1</x:v>
      </x:c>
      <x:c r="P72" s="7" t="n">
        <x:v>1.25</x:v>
      </x:c>
      <x:c r="Q72" s="7" t="n">
        <x:v>1.0082264270475205</x:v>
      </x:c>
      <x:c r="R72" s="7" t="n">
        <x:f>H72+I72*Q72</x:f>
        <x:v>1.9174686342847576</x:v>
      </x:c>
      <x:c r="S72" s="7" t="n">
        <x:f>R72-L72</x:f>
        <x:v>0.9174686342847576</x:v>
      </x:c>
      <x:c r="T72" s="7" t="n">
        <x:f>K72-R72</x:f>
        <x:v>-0.47145565040914583</x:v>
      </x:c>
      <x:c r="U72" s="7" t="n">
        <x:f>M72-S72-T72</x:f>
        <x:v>0</x:v>
      </x:c>
    </x:row>
    <x:row r="73" ht="27" customHeight="1">
      <x:c r="A73" s="2"/>
      <x:c r="B73" s="2" t="str">
        <x:v>Health Care | price_contribution | CUUR0000SEGB</x:v>
      </x:c>
      <x:c r="C73" s="2" t="str">
        <x:v>2025-09-30</x:v>
      </x:c>
      <x:c r="D73" s="2" t="str">
        <x:v>Origin</x:v>
      </x:c>
      <x:c r="E73" s="2" t="str">
        <x:v>2025-07-01</x:v>
      </x:c>
      <x:c r="F73" s="2" t="str">
        <x:v>Seasonal step</x:v>
      </x:c>
      <x:c r="G73" s="2" t="n">
        <x:v>17</x:v>
      </x:c>
      <x:c r="H73" s="7" t="n">
        <x:v>1.1683726059882393</x:v>
      </x:c>
      <x:c r="I73" s="7" t="n">
        <x:v>0.7429839252380669</x:v>
      </x:c>
      <x:c r="J73" s="7" t="n">
        <x:v>1.41747378869721</x:v>
      </x:c>
      <x:c r="K73" s="7" t="n">
        <x:f>H73+I73*J73</x:f>
        <x:v>2.221532845436567</x:v>
      </x:c>
      <x:c r="L73" s="7" t="n">
        <x:v>1</x:v>
      </x:c>
      <x:c r="M73" s="7" t="n">
        <x:f>K73-L73</x:f>
        <x:v>1.2215328454365668</x:v>
      </x:c>
      <x:c r="N73" s="7" t="n">
        <x:f>M73^2</x:f>
        <x:v>1.4921424924803555</x:v>
      </x:c>
      <x:c r="O73" s="7" t="n">
        <x:v>1</x:v>
      </x:c>
      <x:c r="P73" s="7" t="n">
        <x:v>1.25</x:v>
      </x:c>
      <x:c r="Q73" s="7" t="n">
        <x:v>1.0082264270475205</x:v>
      </x:c>
      <x:c r="R73" s="7" t="n">
        <x:f>H73+I73*Q73</x:f>
        <x:v>1.9174686342847576</x:v>
      </x:c>
      <x:c r="S73" s="7" t="n">
        <x:f>R73-L73</x:f>
        <x:v>0.9174686342847576</x:v>
      </x:c>
      <x:c r="T73" s="7" t="n">
        <x:f>K73-R73</x:f>
        <x:v>0.30406421115180926</x:v>
      </x:c>
      <x:c r="U73" s="7" t="n">
        <x:f>M73-S73-T73</x:f>
        <x:v>0</x:v>
      </x:c>
    </x:row>
    <x:row r="74" ht="27" customHeight="1">
      <x:c r="A74" s="2"/>
      <x:c r="B74" s="2" t="str">
        <x:v>Health Care | price_contribution | CUUR0000SEGB</x:v>
      </x:c>
      <x:c r="C74" s="2" t="str">
        <x:v>2025-09-30</x:v>
      </x:c>
      <x:c r="D74" s="2" t="str">
        <x:v>One month</x:v>
      </x:c>
      <x:c r="E74" s="2" t="str">
        <x:v>2025-08-12</x:v>
      </x:c>
      <x:c r="F74" s="2" t="str">
        <x:v>YoY carry</x:v>
      </x:c>
      <x:c r="G74" s="2" t="n">
        <x:v>14</x:v>
      </x:c>
      <x:c r="H74" s="7" t="n">
        <x:v>1.2787592702220674</x:v>
      </x:c>
      <x:c r="I74" s="7" t="n">
        <x:v>0.7204074003654459</x:v>
      </x:c>
      <x:c r="J74" s="7" t="n">
        <x:v>0.4640306517604387</x:v>
      </x:c>
      <x:c r="K74" s="7" t="n">
        <x:f>H74+I74*J74</x:f>
        <x:v>1.6130503857466885</x:v>
      </x:c>
      <x:c r="L74" s="7" t="n">
        <x:v>1</x:v>
      </x:c>
      <x:c r="M74" s="7" t="n">
        <x:f>K74-L74</x:f>
        <x:v>0.6130503857466885</x:v>
      </x:c>
      <x:c r="N74" s="7" t="n">
        <x:f>M74^2</x:f>
        <x:v>0.37583077546416355</x:v>
      </x:c>
      <x:c r="O74" s="7" t="n">
        <x:v>1</x:v>
      </x:c>
      <x:c r="P74" s="7" t="n">
        <x:v>1</x:v>
      </x:c>
      <x:c r="Q74" s="7" t="n">
        <x:v>1.0082264270475205</x:v>
      </x:c>
      <x:c r="R74" s="7" t="n">
        <x:f>H74+I74*Q74</x:f>
        <x:v>2.0050930495111134</x:v>
      </x:c>
      <x:c r="S74" s="7" t="n">
        <x:f>R74-L74</x:f>
        <x:v>1.0050930495111134</x:v>
      </x:c>
      <x:c r="T74" s="7" t="n">
        <x:f>K74-R74</x:f>
        <x:v>-0.392042663764425</x:v>
      </x:c>
      <x:c r="U74" s="7" t="n">
        <x:f>M74-S74-T74</x:f>
        <x:v>0</x:v>
      </x:c>
    </x:row>
    <x:row r="75" ht="27" customHeight="1">
      <x:c r="A75" s="2"/>
      <x:c r="B75" s="2" t="str">
        <x:v>Health Care | price_contribution | CUUR0000SEGB</x:v>
      </x:c>
      <x:c r="C75" s="2" t="str">
        <x:v>2025-09-30</x:v>
      </x:c>
      <x:c r="D75" s="2" t="str">
        <x:v>One month</x:v>
      </x:c>
      <x:c r="E75" s="2" t="str">
        <x:v>2025-08-12</x:v>
      </x:c>
      <x:c r="F75" s="2" t="str">
        <x:v>Flat level</x:v>
      </x:c>
      <x:c r="G75" s="2" t="n">
        <x:v>14</x:v>
      </x:c>
      <x:c r="H75" s="7" t="n">
        <x:v>1.2787592702220674</x:v>
      </x:c>
      <x:c r="I75" s="7" t="n">
        <x:v>0.7204074003654459</x:v>
      </x:c>
      <x:c r="J75" s="7" t="n">
        <x:v>0.4930266357360269</x:v>
      </x:c>
      <x:c r="K75" s="7" t="n">
        <x:f>H75+I75*J75</x:f>
        <x:v>1.6339393071835802</x:v>
      </x:c>
      <x:c r="L75" s="7" t="n">
        <x:v>1</x:v>
      </x:c>
      <x:c r="M75" s="7" t="n">
        <x:f>K75-L75</x:f>
        <x:v>0.6339393071835802</x:v>
      </x:c>
      <x:c r="N75" s="7" t="n">
        <x:f>M75^2</x:f>
        <x:v>0.4018790451923976</x:v>
      </x:c>
      <x:c r="O75" s="7" t="n">
        <x:v>1</x:v>
      </x:c>
      <x:c r="P75" s="7" t="n">
        <x:v>1</x:v>
      </x:c>
      <x:c r="Q75" s="7" t="n">
        <x:v>1.0082264270475205</x:v>
      </x:c>
      <x:c r="R75" s="7" t="n">
        <x:f>H75+I75*Q75</x:f>
        <x:v>2.0050930495111134</x:v>
      </x:c>
      <x:c r="S75" s="7" t="n">
        <x:f>R75-L75</x:f>
        <x:v>1.0050930495111134</x:v>
      </x:c>
      <x:c r="T75" s="7" t="n">
        <x:f>K75-R75</x:f>
        <x:v>-0.3711537423275333</x:v>
      </x:c>
      <x:c r="U75" s="7" t="n">
        <x:f>M75-S75-T75</x:f>
        <x:v>0</x:v>
      </x:c>
    </x:row>
    <x:row r="76" ht="27" customHeight="1">
      <x:c r="A76" s="2"/>
      <x:c r="B76" s="2" t="str">
        <x:v>Health Care | price_contribution | CUUR0000SEGB</x:v>
      </x:c>
      <x:c r="C76" s="2" t="str">
        <x:v>2025-09-30</x:v>
      </x:c>
      <x:c r="D76" s="2" t="str">
        <x:v>One month</x:v>
      </x:c>
      <x:c r="E76" s="2" t="str">
        <x:v>2025-08-12</x:v>
      </x:c>
      <x:c r="F76" s="2" t="str">
        <x:v>Recent trend</x:v>
      </x:c>
      <x:c r="G76" s="2" t="n">
        <x:v>14</x:v>
      </x:c>
      <x:c r="H76" s="7" t="n">
        <x:v>1.2787592702220674</x:v>
      </x:c>
      <x:c r="I76" s="7" t="n">
        <x:v>0.7204074003654459</x:v>
      </x:c>
      <x:c r="J76" s="7" t="n">
        <x:v>0.5220939657340828</x:v>
      </x:c>
      <x:c r="K76" s="7" t="n">
        <x:f>H76+I76*J76</x:f>
        <x:v>1.6548796268230441</x:v>
      </x:c>
      <x:c r="L76" s="7" t="n">
        <x:v>1</x:v>
      </x:c>
      <x:c r="M76" s="7" t="n">
        <x:f>K76-L76</x:f>
        <x:v>0.6548796268230441</x:v>
      </x:c>
      <x:c r="N76" s="7" t="n">
        <x:f>M76^2</x:f>
        <x:v>0.42886732562788954</x:v>
      </x:c>
      <x:c r="O76" s="7" t="n">
        <x:v>1</x:v>
      </x:c>
      <x:c r="P76" s="7" t="n">
        <x:v>1</x:v>
      </x:c>
      <x:c r="Q76" s="7" t="n">
        <x:v>1.0082264270475205</x:v>
      </x:c>
      <x:c r="R76" s="7" t="n">
        <x:f>H76+I76*Q76</x:f>
        <x:v>2.0050930495111134</x:v>
      </x:c>
      <x:c r="S76" s="7" t="n">
        <x:f>R76-L76</x:f>
        <x:v>1.0050930495111134</x:v>
      </x:c>
      <x:c r="T76" s="7" t="n">
        <x:f>K76-R76</x:f>
        <x:v>-0.3502134226880693</x:v>
      </x:c>
      <x:c r="U76" s="7" t="n">
        <x:f>M76-S76-T76</x:f>
        <x:v>0</x:v>
      </x:c>
    </x:row>
    <x:row r="77" ht="27" customHeight="1">
      <x:c r="A77" s="2"/>
      <x:c r="B77" s="2" t="str">
        <x:v>Health Care | price_contribution | CUUR0000SEGB</x:v>
      </x:c>
      <x:c r="C77" s="2" t="str">
        <x:v>2025-09-30</x:v>
      </x:c>
      <x:c r="D77" s="2" t="str">
        <x:v>One month</x:v>
      </x:c>
      <x:c r="E77" s="2" t="str">
        <x:v>2025-08-12</x:v>
      </x:c>
      <x:c r="F77" s="2" t="str">
        <x:v>Seasonal step</x:v>
      </x:c>
      <x:c r="G77" s="2" t="n">
        <x:v>14</x:v>
      </x:c>
      <x:c r="H77" s="7" t="n">
        <x:v>1.2787592702220674</x:v>
      </x:c>
      <x:c r="I77" s="7" t="n">
        <x:v>0.7204074003654459</x:v>
      </x:c>
      <x:c r="J77" s="7" t="n">
        <x:v>0.8095741438721715</x:v>
      </x:c>
      <x:c r="K77" s="7" t="n">
        <x:f>H77+I77*J77</x:f>
        <x:v>1.8619824746121</x:v>
      </x:c>
      <x:c r="L77" s="7" t="n">
        <x:v>1</x:v>
      </x:c>
      <x:c r="M77" s="7" t="n">
        <x:f>K77-L77</x:f>
        <x:v>0.8619824746121001</x:v>
      </x:c>
      <x:c r="N77" s="7" t="n">
        <x:f>M77^2</x:f>
        <x:v>0.7430137865383998</x:v>
      </x:c>
      <x:c r="O77" s="7" t="n">
        <x:v>1</x:v>
      </x:c>
      <x:c r="P77" s="7" t="n">
        <x:v>1</x:v>
      </x:c>
      <x:c r="Q77" s="7" t="n">
        <x:v>1.0082264270475205</x:v>
      </x:c>
      <x:c r="R77" s="7" t="n">
        <x:f>H77+I77*Q77</x:f>
        <x:v>2.0050930495111134</x:v>
      </x:c>
      <x:c r="S77" s="7" t="n">
        <x:f>R77-L77</x:f>
        <x:v>1.0050930495111134</x:v>
      </x:c>
      <x:c r="T77" s="7" t="n">
        <x:f>K77-R77</x:f>
        <x:v>-0.14311057489901335</x:v>
      </x:c>
      <x:c r="U77" s="7" t="n">
        <x:f>M77-S77-T77</x:f>
        <x:v>0</x:v>
      </x:c>
    </x:row>
    <x:row r="78" ht="27" customHeight="1">
      <x:c r="A78" s="2"/>
      <x:c r="B78" s="2" t="str">
        <x:v>Health Care | price_contribution | CUUR0000SEGB</x:v>
      </x:c>
      <x:c r="C78" s="2" t="str">
        <x:v>2025-09-30</x:v>
      </x:c>
      <x:c r="D78" s="2" t="str">
        <x:v>Two months</x:v>
      </x:c>
      <x:c r="E78" s="2" t="str">
        <x:v>2025-09-11</x:v>
      </x:c>
      <x:c r="F78" s="2" t="str">
        <x:v>YoY carry</x:v>
      </x:c>
      <x:c r="G78" s="2" t="n">
        <x:v>14</x:v>
      </x:c>
      <x:c r="H78" s="7" t="n">
        <x:v>1.2787592702220674</x:v>
      </x:c>
      <x:c r="I78" s="7" t="n">
        <x:v>0.7204074003654459</x:v>
      </x:c>
      <x:c r="J78" s="7" t="n">
        <x:v>0.7549675714320525</x:v>
      </x:c>
      <x:c r="K78" s="7" t="n">
        <x:f>H78+I78*J78</x:f>
        <x:v>1.8226434957176463</x:v>
      </x:c>
      <x:c r="L78" s="7" t="n">
        <x:v>1</x:v>
      </x:c>
      <x:c r="M78" s="7" t="n">
        <x:f>K78-L78</x:f>
        <x:v>0.8226434957176463</x:v>
      </x:c>
      <x:c r="N78" s="7" t="n">
        <x:f>M78^2</x:f>
        <x:v>0.6767423210465491</x:v>
      </x:c>
      <x:c r="O78" s="7" t="n">
        <x:v>1</x:v>
      </x:c>
      <x:c r="P78" s="7" t="n">
        <x:v>1</x:v>
      </x:c>
      <x:c r="Q78" s="7" t="n">
        <x:v>1.0082264270475205</x:v>
      </x:c>
      <x:c r="R78" s="7" t="n">
        <x:f>H78+I78*Q78</x:f>
        <x:v>2.0050930495111134</x:v>
      </x:c>
      <x:c r="S78" s="7" t="n">
        <x:f>R78-L78</x:f>
        <x:v>1.0050930495111134</x:v>
      </x:c>
      <x:c r="T78" s="7" t="n">
        <x:f>K78-R78</x:f>
        <x:v>-0.18244955379346717</x:v>
      </x:c>
      <x:c r="U78" s="7" t="n">
        <x:f>M78-S78-T78</x:f>
        <x:v>0</x:v>
      </x:c>
    </x:row>
    <x:row r="79" ht="27" customHeight="1">
      <x:c r="A79" s="2"/>
      <x:c r="B79" s="2" t="str">
        <x:v>Health Care | price_contribution | CUUR0000SEGB</x:v>
      </x:c>
      <x:c r="C79" s="2" t="str">
        <x:v>2025-09-30</x:v>
      </x:c>
      <x:c r="D79" s="2" t="str">
        <x:v>Two months</x:v>
      </x:c>
      <x:c r="E79" s="2" t="str">
        <x:v>2025-09-11</x:v>
      </x:c>
      <x:c r="F79" s="2" t="str">
        <x:v>Flat level</x:v>
      </x:c>
      <x:c r="G79" s="2" t="n">
        <x:v>14</x:v>
      </x:c>
      <x:c r="H79" s="7" t="n">
        <x:v>1.2787592702220674</x:v>
      </x:c>
      <x:c r="I79" s="7" t="n">
        <x:v>0.7204074003654459</x:v>
      </x:c>
      <x:c r="J79" s="7" t="n">
        <x:v>0.7635763995639921</x:v>
      </x:c>
      <x:c r="K79" s="7" t="n">
        <x:f>H79+I79*J79</x:f>
        <x:v>1.82884535921237</x:v>
      </x:c>
      <x:c r="L79" s="7" t="n">
        <x:v>1</x:v>
      </x:c>
      <x:c r="M79" s="7" t="n">
        <x:f>K79-L79</x:f>
        <x:v>0.8288453592123699</x:v>
      </x:c>
      <x:c r="N79" s="7" t="n">
        <x:f>M79^2</x:f>
        <x:v>0.6869846294878825</x:v>
      </x:c>
      <x:c r="O79" s="7" t="n">
        <x:v>1</x:v>
      </x:c>
      <x:c r="P79" s="7" t="n">
        <x:v>1</x:v>
      </x:c>
      <x:c r="Q79" s="7" t="n">
        <x:v>1.0082264270475205</x:v>
      </x:c>
      <x:c r="R79" s="7" t="n">
        <x:f>H79+I79*Q79</x:f>
        <x:v>2.0050930495111134</x:v>
      </x:c>
      <x:c r="S79" s="7" t="n">
        <x:f>R79-L79</x:f>
        <x:v>1.0050930495111134</x:v>
      </x:c>
      <x:c r="T79" s="7" t="n">
        <x:f>K79-R79</x:f>
        <x:v>-0.17624769029874354</x:v>
      </x:c>
      <x:c r="U79" s="7" t="n">
        <x:f>M79-S79-T79</x:f>
        <x:v>0</x:v>
      </x:c>
    </x:row>
    <x:row r="80" ht="27" customHeight="1">
      <x:c r="A80" s="2"/>
      <x:c r="B80" s="2" t="str">
        <x:v>Health Care | price_contribution | CUUR0000SEGB</x:v>
      </x:c>
      <x:c r="C80" s="2" t="str">
        <x:v>2025-09-30</x:v>
      </x:c>
      <x:c r="D80" s="2" t="str">
        <x:v>Two months</x:v>
      </x:c>
      <x:c r="E80" s="2" t="str">
        <x:v>2025-09-11</x:v>
      </x:c>
      <x:c r="F80" s="2" t="str">
        <x:v>Recent trend</x:v>
      </x:c>
      <x:c r="G80" s="2" t="n">
        <x:v>14</x:v>
      </x:c>
      <x:c r="H80" s="7" t="n">
        <x:v>1.2787592702220674</x:v>
      </x:c>
      <x:c r="I80" s="7" t="n">
        <x:v>0.7204074003654459</x:v>
      </x:c>
      <x:c r="J80" s="7" t="n">
        <x:v>0.8262761210020786</x:v>
      </x:c>
      <x:c r="K80" s="7" t="n">
        <x:f>H80+I80*J80</x:f>
        <x:v>1.8740147025372194</x:v>
      </x:c>
      <x:c r="L80" s="7" t="n">
        <x:v>1</x:v>
      </x:c>
      <x:c r="M80" s="7" t="n">
        <x:f>K80-L80</x:f>
        <x:v>0.8740147025372194</x:v>
      </x:c>
      <x:c r="N80" s="7" t="n">
        <x:f>M80^2</x:f>
        <x:v>0.7639017002512241</x:v>
      </x:c>
      <x:c r="O80" s="7" t="n">
        <x:v>1</x:v>
      </x:c>
      <x:c r="P80" s="7" t="n">
        <x:v>1</x:v>
      </x:c>
      <x:c r="Q80" s="7" t="n">
        <x:v>1.0082264270475205</x:v>
      </x:c>
      <x:c r="R80" s="7" t="n">
        <x:f>H80+I80*Q80</x:f>
        <x:v>2.0050930495111134</x:v>
      </x:c>
      <x:c r="S80" s="7" t="n">
        <x:f>R80-L80</x:f>
        <x:v>1.0050930495111134</x:v>
      </x:c>
      <x:c r="T80" s="7" t="n">
        <x:f>K80-R80</x:f>
        <x:v>-0.1310783469738941</x:v>
      </x:c>
      <x:c r="U80" s="7" t="n">
        <x:f>M80-S80-T80</x:f>
        <x:v>0</x:v>
      </x:c>
    </x:row>
    <x:row r="81" ht="27" customHeight="1">
      <x:c r="A81" s="2"/>
      <x:c r="B81" s="2" t="str">
        <x:v>Health Care | price_contribution | CUUR0000SEGB</x:v>
      </x:c>
      <x:c r="C81" s="2" t="str">
        <x:v>2025-09-30</x:v>
      </x:c>
      <x:c r="D81" s="2" t="str">
        <x:v>Two months</x:v>
      </x:c>
      <x:c r="E81" s="2" t="str">
        <x:v>2025-09-11</x:v>
      </x:c>
      <x:c r="F81" s="2" t="str">
        <x:v>Seasonal step</x:v>
      </x:c>
      <x:c r="G81" s="2" t="n">
        <x:v>14</x:v>
      </x:c>
      <x:c r="H81" s="7" t="n">
        <x:v>1.2787592702220674</x:v>
      </x:c>
      <x:c r="I81" s="7" t="n">
        <x:v>0.7204074003654459</x:v>
      </x:c>
      <x:c r="J81" s="7" t="n">
        <x:v>0.89588274076422</x:v>
      </x:c>
      <x:c r="K81" s="7" t="n">
        <x:f>H81+I81*J81</x:f>
        <x:v>1.9241598265282898</x:v>
      </x:c>
      <x:c r="L81" s="7" t="n">
        <x:v>1</x:v>
      </x:c>
      <x:c r="M81" s="7" t="n">
        <x:f>K81-L81</x:f>
        <x:v>0.9241598265282898</x:v>
      </x:c>
      <x:c r="N81" s="7" t="n">
        <x:f>M81^2</x:f>
        <x:v>0.8540713849687986</x:v>
      </x:c>
      <x:c r="O81" s="7" t="n">
        <x:v>1</x:v>
      </x:c>
      <x:c r="P81" s="7" t="n">
        <x:v>1</x:v>
      </x:c>
      <x:c r="Q81" s="7" t="n">
        <x:v>1.0082264270475205</x:v>
      </x:c>
      <x:c r="R81" s="7" t="n">
        <x:f>H81+I81*Q81</x:f>
        <x:v>2.0050930495111134</x:v>
      </x:c>
      <x:c r="S81" s="7" t="n">
        <x:f>R81-L81</x:f>
        <x:v>1.0050930495111134</x:v>
      </x:c>
      <x:c r="T81" s="7" t="n">
        <x:f>K81-R81</x:f>
        <x:v>-0.08093322298282368</x:v>
      </x:c>
      <x:c r="U81" s="7" t="n">
        <x:f>M81-S81-T81</x:f>
        <x:v>0</x:v>
      </x:c>
    </x:row>
    <x:row r="82" ht="27" customHeight="1">
      <x:c r="A82" s="2"/>
      <x:c r="B82" s="2" t="str">
        <x:v>Health Care | price_contribution | CUUR0000SEGB</x:v>
      </x:c>
      <x:c r="C82" s="2" t="str">
        <x:v>2025-09-30</x:v>
      </x:c>
      <x:c r="D82" s="2" t="str">
        <x:v>Pre-earnings</x:v>
      </x:c>
      <x:c r="E82" s="2" t="str">
        <x:v>2025-10-23</x:v>
      </x:c>
      <x:c r="F82" s="2" t="str">
        <x:v>YoY carry</x:v>
      </x:c>
      <x:c r="G82" s="2" t="n">
        <x:v>18</x:v>
      </x:c>
      <x:c r="H82" s="7" t="n">
        <x:v>1.116866358983772</x:v>
      </x:c>
      <x:c r="I82" s="7" t="n">
        <x:v>0.7512278657849448</x:v>
      </x:c>
      <x:c r="J82" s="7" t="n">
        <x:v>0.7549675714320525</x:v>
      </x:c>
      <x:c r="K82" s="7" t="n">
        <x:f>H82+I82*J82</x:f>
        <x:v>1.6840190364075156</x:v>
      </x:c>
      <x:c r="L82" s="7" t="n">
        <x:v>1</x:v>
      </x:c>
      <x:c r="M82" s="7" t="n">
        <x:f>K82-L82</x:f>
        <x:v>0.6840190364075156</x:v>
      </x:c>
      <x:c r="N82" s="7" t="n">
        <x:f>M82^2</x:f>
        <x:v>0.46788204216786616</x:v>
      </x:c>
      <x:c r="O82" s="7" t="n">
        <x:v>1</x:v>
      </x:c>
      <x:c r="P82" s="7" t="n">
        <x:v>1</x:v>
      </x:c>
      <x:c r="Q82" s="7" t="n">
        <x:v>1.0082264270475205</x:v>
      </x:c>
      <x:c r="R82" s="7" t="n">
        <x:f>H82+I82*Q82</x:f>
        <x:v>1.8742741460026613</x:v>
      </x:c>
      <x:c r="S82" s="7" t="n">
        <x:f>R82-L82</x:f>
        <x:v>0.8742741460026613</x:v>
      </x:c>
      <x:c r="T82" s="7" t="n">
        <x:f>K82-R82</x:f>
        <x:v>-0.1902551095951457</x:v>
      </x:c>
      <x:c r="U82" s="7" t="n">
        <x:f>M82-S82-T82</x:f>
        <x:v>0</x:v>
      </x:c>
    </x:row>
    <x:row r="83" ht="27" customHeight="1">
      <x:c r="A83" s="2"/>
      <x:c r="B83" s="2" t="str">
        <x:v>Health Care | price_contribution | CUUR0000SEGB</x:v>
      </x:c>
      <x:c r="C83" s="2" t="str">
        <x:v>2025-09-30</x:v>
      </x:c>
      <x:c r="D83" s="2" t="str">
        <x:v>Pre-earnings</x:v>
      </x:c>
      <x:c r="E83" s="2" t="str">
        <x:v>2025-10-23</x:v>
      </x:c>
      <x:c r="F83" s="2" t="str">
        <x:v>Flat level</x:v>
      </x:c>
      <x:c r="G83" s="2" t="n">
        <x:v>18</x:v>
      </x:c>
      <x:c r="H83" s="7" t="n">
        <x:v>1.116866358983772</x:v>
      </x:c>
      <x:c r="I83" s="7" t="n">
        <x:v>0.7512278657849448</x:v>
      </x:c>
      <x:c r="J83" s="7" t="n">
        <x:v>0.7635763995639921</x:v>
      </x:c>
      <x:c r="K83" s="7" t="n">
        <x:f>H83+I83*J83</x:f>
        <x:v>1.6904862279919821</x:v>
      </x:c>
      <x:c r="L83" s="7" t="n">
        <x:v>1</x:v>
      </x:c>
      <x:c r="M83" s="7" t="n">
        <x:f>K83-L83</x:f>
        <x:v>0.6904862279919821</x:v>
      </x:c>
      <x:c r="N83" s="7" t="n">
        <x:f>M83^2</x:f>
        <x:v>0.4767712310465955</x:v>
      </x:c>
      <x:c r="O83" s="7" t="n">
        <x:v>1</x:v>
      </x:c>
      <x:c r="P83" s="7" t="n">
        <x:v>1</x:v>
      </x:c>
      <x:c r="Q83" s="7" t="n">
        <x:v>1.0082264270475205</x:v>
      </x:c>
      <x:c r="R83" s="7" t="n">
        <x:f>H83+I83*Q83</x:f>
        <x:v>1.8742741460026613</x:v>
      </x:c>
      <x:c r="S83" s="7" t="n">
        <x:f>R83-L83</x:f>
        <x:v>0.8742741460026613</x:v>
      </x:c>
      <x:c r="T83" s="7" t="n">
        <x:f>K83-R83</x:f>
        <x:v>-0.18378791801067917</x:v>
      </x:c>
      <x:c r="U83" s="7" t="n">
        <x:f>M83-S83-T83</x:f>
        <x:v>0</x:v>
      </x:c>
    </x:row>
    <x:row r="84" ht="27" customHeight="1">
      <x:c r="A84" s="2"/>
      <x:c r="B84" s="2" t="str">
        <x:v>Health Care | price_contribution | CUUR0000SEGB</x:v>
      </x:c>
      <x:c r="C84" s="2" t="str">
        <x:v>2025-09-30</x:v>
      </x:c>
      <x:c r="D84" s="2" t="str">
        <x:v>Pre-earnings</x:v>
      </x:c>
      <x:c r="E84" s="2" t="str">
        <x:v>2025-10-23</x:v>
      </x:c>
      <x:c r="F84" s="2" t="str">
        <x:v>Recent trend</x:v>
      </x:c>
      <x:c r="G84" s="2" t="n">
        <x:v>18</x:v>
      </x:c>
      <x:c r="H84" s="7" t="n">
        <x:v>1.116866358983772</x:v>
      </x:c>
      <x:c r="I84" s="7" t="n">
        <x:v>0.7512278657849448</x:v>
      </x:c>
      <x:c r="J84" s="7" t="n">
        <x:v>0.8262761210020786</x:v>
      </x:c>
      <x:c r="K84" s="7" t="n">
        <x:f>H84+I84*J84</x:f>
        <x:v>1.7375880059132263</x:v>
      </x:c>
      <x:c r="L84" s="7" t="n">
        <x:v>1</x:v>
      </x:c>
      <x:c r="M84" s="7" t="n">
        <x:f>K84-L84</x:f>
        <x:v>0.7375880059132263</x:v>
      </x:c>
      <x:c r="N84" s="7" t="n">
        <x:f>M84^2</x:f>
        <x:v>0.5440360664670495</x:v>
      </x:c>
      <x:c r="O84" s="7" t="n">
        <x:v>1</x:v>
      </x:c>
      <x:c r="P84" s="7" t="n">
        <x:v>1</x:v>
      </x:c>
      <x:c r="Q84" s="7" t="n">
        <x:v>1.0082264270475205</x:v>
      </x:c>
      <x:c r="R84" s="7" t="n">
        <x:f>H84+I84*Q84</x:f>
        <x:v>1.8742741460026613</x:v>
      </x:c>
      <x:c r="S84" s="7" t="n">
        <x:f>R84-L84</x:f>
        <x:v>0.8742741460026613</x:v>
      </x:c>
      <x:c r="T84" s="7" t="n">
        <x:f>K84-R84</x:f>
        <x:v>-0.13668614008943503</x:v>
      </x:c>
      <x:c r="U84" s="7" t="n">
        <x:f>M84-S84-T84</x:f>
        <x:v>0</x:v>
      </x:c>
    </x:row>
    <x:row r="85" ht="27" customHeight="1">
      <x:c r="A85" s="2"/>
      <x:c r="B85" s="2" t="str">
        <x:v>Health Care | price_contribution | CUUR0000SEGB</x:v>
      </x:c>
      <x:c r="C85" s="2" t="str">
        <x:v>2025-09-30</x:v>
      </x:c>
      <x:c r="D85" s="2" t="str">
        <x:v>Pre-earnings</x:v>
      </x:c>
      <x:c r="E85" s="2" t="str">
        <x:v>2025-10-23</x:v>
      </x:c>
      <x:c r="F85" s="2" t="str">
        <x:v>Seasonal step</x:v>
      </x:c>
      <x:c r="G85" s="2" t="n">
        <x:v>18</x:v>
      </x:c>
      <x:c r="H85" s="7" t="n">
        <x:v>1.116866358983772</x:v>
      </x:c>
      <x:c r="I85" s="7" t="n">
        <x:v>0.7512278657849448</x:v>
      </x:c>
      <x:c r="J85" s="7" t="n">
        <x:v>0.89588274076422</x:v>
      </x:c>
      <x:c r="K85" s="7" t="n">
        <x:f>H85+I85*J85</x:f>
        <x:v>1.789878438321644</x:v>
      </x:c>
      <x:c r="L85" s="7" t="n">
        <x:v>1</x:v>
      </x:c>
      <x:c r="M85" s="7" t="n">
        <x:f>K85-L85</x:f>
        <x:v>0.789878438321644</x:v>
      </x:c>
      <x:c r="N85" s="7" t="n">
        <x:f>M85^2</x:f>
        <x:v>0.6239079473254391</x:v>
      </x:c>
      <x:c r="O85" s="7" t="n">
        <x:v>1</x:v>
      </x:c>
      <x:c r="P85" s="7" t="n">
        <x:v>1</x:v>
      </x:c>
      <x:c r="Q85" s="7" t="n">
        <x:v>1.0082264270475205</x:v>
      </x:c>
      <x:c r="R85" s="7" t="n">
        <x:f>H85+I85*Q85</x:f>
        <x:v>1.8742741460026613</x:v>
      </x:c>
      <x:c r="S85" s="7" t="n">
        <x:f>R85-L85</x:f>
        <x:v>0.8742741460026613</x:v>
      </x:c>
      <x:c r="T85" s="7" t="n">
        <x:f>K85-R85</x:f>
        <x:v>-0.08439570768101734</x:v>
      </x:c>
      <x:c r="U85" s="7" t="n">
        <x:f>M85-S85-T85</x:f>
        <x:v>0</x:v>
      </x:c>
    </x:row>
    <x:row r="86" ht="27" customHeight="1">
      <x:c r="A86" s="2"/>
      <x:c r="B86" s="2" t="str">
        <x:v>Health Care | price_contribution | CUUR0000SEGB</x:v>
      </x:c>
      <x:c r="C86" s="2" t="str">
        <x:v>2025-12-31</x:v>
      </x:c>
      <x:c r="D86" s="2" t="str">
        <x:v>Origin</x:v>
      </x:c>
      <x:c r="E86" s="2" t="str">
        <x:v>2025-10-01</x:v>
      </x:c>
      <x:c r="F86" s="2" t="str">
        <x:v>YoY carry</x:v>
      </x:c>
      <x:c r="G86" s="2" t="n">
        <x:v>18</x:v>
      </x:c>
      <x:c r="H86" s="7" t="n">
        <x:v>1.116866358983772</x:v>
      </x:c>
      <x:c r="I86" s="7" t="n">
        <x:v>0.7512278657849448</x:v>
      </x:c>
      <x:c r="J86" s="7" t="n">
        <x:v>0.7271943192673103</x:v>
      </x:c>
      <x:c r="K86" s="7" t="n">
        <x:f>H86+I86*J86</x:f>
        <x:v>1.6631549954578893</x:v>
      </x:c>
      <x:c r="L86" s="7" t="n">
        <x:v>1</x:v>
      </x:c>
      <x:c r="M86" s="7" t="n">
        <x:f>K86-L86</x:f>
        <x:v>0.6631549954578893</x:v>
      </x:c>
      <x:c r="N86" s="7" t="n">
        <x:f>M86^2</x:f>
        <x:v>0.4397745480007531</x:v>
      </x:c>
      <x:c r="O86" s="7" t="n">
        <x:v>1</x:v>
      </x:c>
      <x:c r="P86" s="7" t="n">
        <x:v>1</x:v>
      </x:c>
      <x:c r="Q86" s="7"/>
      <x:c r="R86" s="7"/>
      <x:c r="S86" s="7"/>
      <x:c r="T86" s="7"/>
      <x:c r="U86" s="7"/>
    </x:row>
    <x:row r="87" ht="27" customHeight="1">
      <x:c r="A87" s="2"/>
      <x:c r="B87" s="2" t="str">
        <x:v>Health Care | price_contribution | CUUR0000SEGB</x:v>
      </x:c>
      <x:c r="C87" s="2" t="str">
        <x:v>2025-12-31</x:v>
      </x:c>
      <x:c r="D87" s="2" t="str">
        <x:v>Origin</x:v>
      </x:c>
      <x:c r="E87" s="2" t="str">
        <x:v>2025-10-01</x:v>
      </x:c>
      <x:c r="F87" s="2" t="str">
        <x:v>Flat level</x:v>
      </x:c>
      <x:c r="G87" s="2" t="n">
        <x:v>18</x:v>
      </x:c>
      <x:c r="H87" s="7" t="n">
        <x:v>1.116866358983772</x:v>
      </x:c>
      <x:c r="I87" s="7" t="n">
        <x:v>0.7512278657849448</x:v>
      </x:c>
      <x:c r="J87" s="7" t="n">
        <x:v>0.9122013216203761</x:v>
      </x:c>
      <x:c r="K87" s="7" t="n">
        <x:f>H87+I87*J87</x:f>
        <x:v>1.8021374109908532</x:v>
      </x:c>
      <x:c r="L87" s="7" t="n">
        <x:v>1</x:v>
      </x:c>
      <x:c r="M87" s="7" t="n">
        <x:f>K87-L87</x:f>
        <x:v>0.8021374109908532</x:v>
      </x:c>
      <x:c r="N87" s="7" t="n">
        <x:f>M87^2</x:f>
        <x:v>0.643424426111109</x:v>
      </x:c>
      <x:c r="O87" s="7" t="n">
        <x:v>1</x:v>
      </x:c>
      <x:c r="P87" s="7" t="n">
        <x:v>1</x:v>
      </x:c>
      <x:c r="Q87" s="7"/>
      <x:c r="R87" s="7"/>
      <x:c r="S87" s="7"/>
      <x:c r="T87" s="7"/>
      <x:c r="U87" s="7"/>
    </x:row>
    <x:row r="88" ht="27" customHeight="1">
      <x:c r="A88" s="2"/>
      <x:c r="B88" s="2" t="str">
        <x:v>Health Care | price_contribution | CUUR0000SEGB</x:v>
      </x:c>
      <x:c r="C88" s="2" t="str">
        <x:v>2025-12-31</x:v>
      </x:c>
      <x:c r="D88" s="2" t="str">
        <x:v>Origin</x:v>
      </x:c>
      <x:c r="E88" s="2" t="str">
        <x:v>2025-10-01</x:v>
      </x:c>
      <x:c r="F88" s="2" t="str">
        <x:v>Recent trend</x:v>
      </x:c>
      <x:c r="G88" s="2" t="n">
        <x:v>18</x:v>
      </x:c>
      <x:c r="H88" s="7" t="n">
        <x:v>1.116866358983772</x:v>
      </x:c>
      <x:c r="I88" s="7" t="n">
        <x:v>0.7512278657849448</x:v>
      </x:c>
      <x:c r="J88" s="7" t="n">
        <x:v>1.4765734773971362</x:v>
      </x:c>
      <x:c r="K88" s="7" t="n">
        <x:f>H88+I88*J88</x:f>
        <x:v>2.226109501083477</x:v>
      </x:c>
      <x:c r="L88" s="7" t="n">
        <x:v>1</x:v>
      </x:c>
      <x:c r="M88" s="7" t="n">
        <x:f>K88-L88</x:f>
        <x:v>1.226109501083477</x:v>
      </x:c>
      <x:c r="N88" s="7" t="n">
        <x:f>M88^2</x:f>
        <x:v>1.503344508647173</x:v>
      </x:c>
      <x:c r="O88" s="7" t="n">
        <x:v>1</x:v>
      </x:c>
      <x:c r="P88" s="7" t="n">
        <x:v>1</x:v>
      </x:c>
      <x:c r="Q88" s="7"/>
      <x:c r="R88" s="7"/>
      <x:c r="S88" s="7"/>
      <x:c r="T88" s="7"/>
      <x:c r="U88" s="7"/>
    </x:row>
    <x:row r="89" ht="27" customHeight="1">
      <x:c r="A89" s="2"/>
      <x:c r="B89" s="2" t="str">
        <x:v>Health Care | price_contribution | CUUR0000SEGB</x:v>
      </x:c>
      <x:c r="C89" s="2" t="str">
        <x:v>2025-12-31</x:v>
      </x:c>
      <x:c r="D89" s="2" t="str">
        <x:v>Origin</x:v>
      </x:c>
      <x:c r="E89" s="2" t="str">
        <x:v>2025-10-01</x:v>
      </x:c>
      <x:c r="F89" s="2" t="str">
        <x:v>Seasonal step</x:v>
      </x:c>
      <x:c r="G89" s="2" t="n">
        <x:v>18</x:v>
      </x:c>
      <x:c r="H89" s="7" t="n">
        <x:v>1.116866358983772</x:v>
      </x:c>
      <x:c r="I89" s="7" t="n">
        <x:v>0.7512278657849448</x:v>
      </x:c>
      <x:c r="J89" s="7" t="n">
        <x:v>1.2779007789752495</x:v>
      </x:c>
      <x:c r="K89" s="7" t="n">
        <x:f>H89+I89*J89</x:f>
        <x:v>2.0768610338582674</x:v>
      </x:c>
      <x:c r="L89" s="7" t="n">
        <x:v>1</x:v>
      </x:c>
      <x:c r="M89" s="7" t="n">
        <x:f>K89-L89</x:f>
        <x:v>1.0768610338582674</x:v>
      </x:c>
      <x:c r="N89" s="7" t="n">
        <x:f>M89^2</x:f>
        <x:v>1.1596296862422966</x:v>
      </x:c>
      <x:c r="O89" s="7" t="n">
        <x:v>1</x:v>
      </x:c>
      <x:c r="P89" s="7" t="n">
        <x:v>1</x:v>
      </x:c>
      <x:c r="Q89" s="7"/>
      <x:c r="R89" s="7"/>
      <x:c r="S89" s="7"/>
      <x:c r="T89" s="7"/>
      <x:c r="U89" s="7"/>
    </x:row>
    <x:row r="90" ht="27" customHeight="1">
      <x:c r="A90" s="2"/>
      <x:c r="B90" s="2" t="str">
        <x:v>Health Care | price_contribution | CUUR0000SEGB</x:v>
      </x:c>
      <x:c r="C90" s="2" t="str">
        <x:v>2026-03-31</x:v>
      </x:c>
      <x:c r="D90" s="2" t="str">
        <x:v>One month</x:v>
      </x:c>
      <x:c r="E90" s="2" t="str">
        <x:v>2026-02-13</x:v>
      </x:c>
      <x:c r="F90" s="2" t="str">
        <x:v>YoY carry</x:v>
      </x:c>
      <x:c r="G90" s="2" t="n">
        <x:v>15</x:v>
      </x:c>
      <x:c r="H90" s="7" t="n">
        <x:v>1.1412920590782236</x:v>
      </x:c>
      <x:c r="I90" s="7" t="n">
        <x:v>0.7422720897848771</x:v>
      </x:c>
      <x:c r="J90" s="7" t="n">
        <x:v>1.5405628556640405</x:v>
      </x:c>
      <x:c r="K90" s="7" t="n">
        <x:f>H90+I90*J90</x:f>
        <x:v>2.284808869396929</x:v>
      </x:c>
      <x:c r="L90" s="7" t="n">
        <x:v>2</x:v>
      </x:c>
      <x:c r="M90" s="7" t="n">
        <x:f>K90-L90</x:f>
        <x:v>0.28480886939692907</x:v>
      </x:c>
      <x:c r="N90" s="7" t="n">
        <x:f>M90^2</x:f>
        <x:v>0.08111609208715699</x:v>
      </x:c>
      <x:c r="O90" s="7" t="n">
        <x:v>1</x:v>
      </x:c>
      <x:c r="P90" s="7" t="n">
        <x:v>1</x:v>
      </x:c>
      <x:c r="Q90" s="7" t="n">
        <x:v>1.9491325309717533</x:v>
      </x:c>
      <x:c r="R90" s="7" t="n">
        <x:f>H90+I90*Q90</x:f>
        <x:v>2.5880787361103135</x:v>
      </x:c>
      <x:c r="S90" s="7" t="n">
        <x:f>R90-L90</x:f>
        <x:v>0.5880787361103135</x:v>
      </x:c>
      <x:c r="T90" s="7" t="n">
        <x:f>K90-R90</x:f>
        <x:v>-0.3032698667133844</x:v>
      </x:c>
      <x:c r="U90" s="7" t="n">
        <x:f>M90-S90-T90</x:f>
        <x:v>0</x:v>
      </x:c>
    </x:row>
    <x:row r="91" ht="27" customHeight="1">
      <x:c r="A91" s="2"/>
      <x:c r="B91" s="2" t="str">
        <x:v>Health Care | price_contribution | CUUR0000SEGB</x:v>
      </x:c>
      <x:c r="C91" s="2" t="str">
        <x:v>2026-03-31</x:v>
      </x:c>
      <x:c r="D91" s="2" t="str">
        <x:v>One month</x:v>
      </x:c>
      <x:c r="E91" s="2" t="str">
        <x:v>2026-02-13</x:v>
      </x:c>
      <x:c r="F91" s="2" t="str">
        <x:v>Flat level</x:v>
      </x:c>
      <x:c r="G91" s="2" t="n">
        <x:v>15</x:v>
      </x:c>
      <x:c r="H91" s="7" t="n">
        <x:v>1.1412920590782236</x:v>
      </x:c>
      <x:c r="I91" s="7" t="n">
        <x:v>0.7422720897848771</x:v>
      </x:c>
      <x:c r="J91" s="7" t="n">
        <x:v>1.2944634818873757</x:v>
      </x:c>
      <x:c r="K91" s="7" t="n">
        <x:f>H91+I91*J91</x:f>
        <x:v>2.1021361729289745</x:v>
      </x:c>
      <x:c r="L91" s="7" t="n">
        <x:v>2</x:v>
      </x:c>
      <x:c r="M91" s="7" t="n">
        <x:f>K91-L91</x:f>
        <x:v>0.10213617292897448</x:v>
      </x:c>
      <x:c r="N91" s="7" t="n">
        <x:f>M91^2</x:f>
        <x:v>0.010431797820577378</x:v>
      </x:c>
      <x:c r="O91" s="7" t="n">
        <x:v>1</x:v>
      </x:c>
      <x:c r="P91" s="7" t="n">
        <x:v>1</x:v>
      </x:c>
      <x:c r="Q91" s="7" t="n">
        <x:v>1.9491325309717533</x:v>
      </x:c>
      <x:c r="R91" s="7" t="n">
        <x:f>H91+I91*Q91</x:f>
        <x:v>2.5880787361103135</x:v>
      </x:c>
      <x:c r="S91" s="7" t="n">
        <x:f>R91-L91</x:f>
        <x:v>0.5880787361103135</x:v>
      </x:c>
      <x:c r="T91" s="7" t="n">
        <x:f>K91-R91</x:f>
        <x:v>-0.485942563181339</x:v>
      </x:c>
      <x:c r="U91" s="7" t="n">
        <x:f>M91-S91-T91</x:f>
        <x:v>0</x:v>
      </x:c>
    </x:row>
    <x:row r="92" ht="27" customHeight="1">
      <x:c r="A92" s="2"/>
      <x:c r="B92" s="2" t="str">
        <x:v>Health Care | price_contribution | CUUR0000SEGB</x:v>
      </x:c>
      <x:c r="C92" s="2" t="str">
        <x:v>2026-03-31</x:v>
      </x:c>
      <x:c r="D92" s="2" t="str">
        <x:v>One month</x:v>
      </x:c>
      <x:c r="E92" s="2" t="str">
        <x:v>2026-02-13</x:v>
      </x:c>
      <x:c r="F92" s="2" t="str">
        <x:v>Recent trend</x:v>
      </x:c>
      <x:c r="G92" s="2" t="n">
        <x:v>15</x:v>
      </x:c>
      <x:c r="H92" s="7" t="n">
        <x:v>1.1412920590782236</x:v>
      </x:c>
      <x:c r="I92" s="7" t="n">
        <x:v>0.7422720897848771</x:v>
      </x:c>
      <x:c r="J92" s="7" t="n">
        <x:v>1.530133183595539</x:v>
      </x:c>
      <x:c r="K92" s="7" t="n">
        <x:f>H92+I92*J92</x:f>
        <x:v>2.2770672149148714</x:v>
      </x:c>
      <x:c r="L92" s="7" t="n">
        <x:v>2</x:v>
      </x:c>
      <x:c r="M92" s="7" t="n">
        <x:f>K92-L92</x:f>
        <x:v>0.2770672149148714</x:v>
      </x:c>
      <x:c r="N92" s="7" t="n">
        <x:f>M92^2</x:f>
        <x:v>0.07676624158068354</x:v>
      </x:c>
      <x:c r="O92" s="7" t="n">
        <x:v>1</x:v>
      </x:c>
      <x:c r="P92" s="7" t="n">
        <x:v>1</x:v>
      </x:c>
      <x:c r="Q92" s="7" t="n">
        <x:v>1.9491325309717533</x:v>
      </x:c>
      <x:c r="R92" s="7" t="n">
        <x:f>H92+I92*Q92</x:f>
        <x:v>2.5880787361103135</x:v>
      </x:c>
      <x:c r="S92" s="7" t="n">
        <x:f>R92-L92</x:f>
        <x:v>0.5880787361103135</x:v>
      </x:c>
      <x:c r="T92" s="7" t="n">
        <x:f>K92-R92</x:f>
        <x:v>-0.31101152119544206</x:v>
      </x:c>
      <x:c r="U92" s="7" t="n">
        <x:f>M92-S92-T92</x:f>
        <x:v>0</x:v>
      </x:c>
    </x:row>
    <x:row r="93" ht="27" customHeight="1">
      <x:c r="A93" s="2"/>
      <x:c r="B93" s="2" t="str">
        <x:v>Health Care | price_contribution | CUUR0000SEGB</x:v>
      </x:c>
      <x:c r="C93" s="2" t="str">
        <x:v>2026-03-31</x:v>
      </x:c>
      <x:c r="D93" s="2" t="str">
        <x:v>One month</x:v>
      </x:c>
      <x:c r="E93" s="2" t="str">
        <x:v>2026-02-13</x:v>
      </x:c>
      <x:c r="F93" s="2" t="str">
        <x:v>Seasonal step</x:v>
      </x:c>
      <x:c r="G93" s="2" t="n">
        <x:v>15</x:v>
      </x:c>
      <x:c r="H93" s="7" t="n">
        <x:v>1.1412920590782236</x:v>
      </x:c>
      <x:c r="I93" s="7" t="n">
        <x:v>0.7422720897848771</x:v>
      </x:c>
      <x:c r="J93" s="7" t="n">
        <x:v>1.96236328719539</x:v>
      </x:c>
      <x:c r="K93" s="7" t="n">
        <x:f>H93+I93*J93</x:f>
        <x:v>2.597899557181867</x:v>
      </x:c>
      <x:c r="L93" s="7" t="n">
        <x:v>2</x:v>
      </x:c>
      <x:c r="M93" s="7" t="n">
        <x:f>K93-L93</x:f>
        <x:v>0.5978995571818668</x:v>
      </x:c>
      <x:c r="N93" s="7" t="n">
        <x:f>M93^2</x:f>
        <x:v>0.35748388047827245</x:v>
      </x:c>
      <x:c r="O93" s="7" t="n">
        <x:v>1</x:v>
      </x:c>
      <x:c r="P93" s="7" t="n">
        <x:v>1</x:v>
      </x:c>
      <x:c r="Q93" s="7" t="n">
        <x:v>1.9491325309717533</x:v>
      </x:c>
      <x:c r="R93" s="7" t="n">
        <x:f>H93+I93*Q93</x:f>
        <x:v>2.5880787361103135</x:v>
      </x:c>
      <x:c r="S93" s="7" t="n">
        <x:f>R93-L93</x:f>
        <x:v>0.5880787361103135</x:v>
      </x:c>
      <x:c r="T93" s="7" t="n">
        <x:f>K93-R93</x:f>
        <x:v>0.009820821071553354</x:v>
      </x:c>
      <x:c r="U93" s="7" t="n">
        <x:f>M93-S93-T93</x:f>
        <x:v>0</x:v>
      </x:c>
    </x:row>
    <x:row r="94" ht="27" customHeight="1">
      <x:c r="A94" s="2"/>
      <x:c r="B94" s="2" t="str">
        <x:v>Health Care | price_contribution | CUUR0000SEGB</x:v>
      </x:c>
      <x:c r="C94" s="2" t="str">
        <x:v>2026-03-31</x:v>
      </x:c>
      <x:c r="D94" s="2" t="str">
        <x:v>Two months</x:v>
      </x:c>
      <x:c r="E94" s="2" t="str">
        <x:v>2026-03-11</x:v>
      </x:c>
      <x:c r="F94" s="2" t="str">
        <x:v>YoY carry</x:v>
      </x:c>
      <x:c r="G94" s="2" t="n">
        <x:v>15</x:v>
      </x:c>
      <x:c r="H94" s="7" t="n">
        <x:v>1.1412920590782236</x:v>
      </x:c>
      <x:c r="I94" s="7" t="n">
        <x:v>0.7422720897848771</x:v>
      </x:c>
      <x:c r="J94" s="7" t="n">
        <x:v>1.7749273623215212</x:v>
      </x:c>
      <x:c r="K94" s="7" t="n">
        <x:f>H94+I94*J94</x:f>
        <x:v>2.458771101524979</x:v>
      </x:c>
      <x:c r="L94" s="7" t="n">
        <x:v>2</x:v>
      </x:c>
      <x:c r="M94" s="7" t="n">
        <x:f>K94-L94</x:f>
        <x:v>0.45877110152497913</x:v>
      </x:c>
      <x:c r="N94" s="7" t="n">
        <x:f>M94^2</x:f>
        <x:v>0.21047092359444272</x:v>
      </x:c>
      <x:c r="O94" s="7" t="n">
        <x:v>1</x:v>
      </x:c>
      <x:c r="P94" s="7" t="n">
        <x:v>1</x:v>
      </x:c>
      <x:c r="Q94" s="7" t="n">
        <x:v>1.9491325309717533</x:v>
      </x:c>
      <x:c r="R94" s="7" t="n">
        <x:f>H94+I94*Q94</x:f>
        <x:v>2.5880787361103135</x:v>
      </x:c>
      <x:c r="S94" s="7" t="n">
        <x:f>R94-L94</x:f>
        <x:v>0.5880787361103135</x:v>
      </x:c>
      <x:c r="T94" s="7" t="n">
        <x:f>K94-R94</x:f>
        <x:v>-0.12930763458533434</x:v>
      </x:c>
      <x:c r="U94" s="7" t="n">
        <x:f>M94-S94-T94</x:f>
        <x:v>0</x:v>
      </x:c>
    </x:row>
    <x:row r="95" ht="27" customHeight="1">
      <x:c r="A95" s="2"/>
      <x:c r="B95" s="2" t="str">
        <x:v>Health Care | price_contribution | CUUR0000SEGB</x:v>
      </x:c>
      <x:c r="C95" s="2" t="str">
        <x:v>2026-03-31</x:v>
      </x:c>
      <x:c r="D95" s="2" t="str">
        <x:v>Two months</x:v>
      </x:c>
      <x:c r="E95" s="2" t="str">
        <x:v>2026-03-11</x:v>
      </x:c>
      <x:c r="F95" s="2" t="str">
        <x:v>Flat level</x:v>
      </x:c>
      <x:c r="G95" s="2" t="n">
        <x:v>15</x:v>
      </x:c>
      <x:c r="H95" s="7" t="n">
        <x:v>1.1412920590782236</x:v>
      </x:c>
      <x:c r="I95" s="7" t="n">
        <x:v>0.7422720897848771</x:v>
      </x:c>
      <x:c r="J95" s="7" t="n">
        <x:v>1.7987129738262553</x:v>
      </x:c>
      <x:c r="K95" s="7" t="n">
        <x:f>H95+I95*J95</x:f>
        <x:v>2.476426497083409</x:v>
      </x:c>
      <x:c r="L95" s="7" t="n">
        <x:v>2</x:v>
      </x:c>
      <x:c r="M95" s="7" t="n">
        <x:f>K95-L95</x:f>
        <x:v>0.4764264970834091</x:v>
      </x:c>
      <x:c r="N95" s="7" t="n">
        <x:f>M95^2</x:f>
        <x:v>0.22698220712316763</x:v>
      </x:c>
      <x:c r="O95" s="7" t="n">
        <x:v>1</x:v>
      </x:c>
      <x:c r="P95" s="7" t="n">
        <x:v>1</x:v>
      </x:c>
      <x:c r="Q95" s="7" t="n">
        <x:v>1.9491325309717533</x:v>
      </x:c>
      <x:c r="R95" s="7" t="n">
        <x:f>H95+I95*Q95</x:f>
        <x:v>2.5880787361103135</x:v>
      </x:c>
      <x:c r="S95" s="7" t="n">
        <x:f>R95-L95</x:f>
        <x:v>0.5880787361103135</x:v>
      </x:c>
      <x:c r="T95" s="7" t="n">
        <x:f>K95-R95</x:f>
        <x:v>-0.11165223902690435</x:v>
      </x:c>
      <x:c r="U95" s="7" t="n">
        <x:f>M95-S95-T95</x:f>
        <x:v>0</x:v>
      </x:c>
    </x:row>
    <x:row r="96" ht="27" customHeight="1">
      <x:c r="A96" s="2"/>
      <x:c r="B96" s="2" t="str">
        <x:v>Health Care | price_contribution | CUUR0000SEGB</x:v>
      </x:c>
      <x:c r="C96" s="2" t="str">
        <x:v>2026-03-31</x:v>
      </x:c>
      <x:c r="D96" s="2" t="str">
        <x:v>Two months</x:v>
      </x:c>
      <x:c r="E96" s="2" t="str">
        <x:v>2026-03-11</x:v>
      </x:c>
      <x:c r="F96" s="2" t="str">
        <x:v>Recent trend</x:v>
      </x:c>
      <x:c r="G96" s="2" t="n">
        <x:v>15</x:v>
      </x:c>
      <x:c r="H96" s="7" t="n">
        <x:v>1.1412920590782236</x:v>
      </x:c>
      <x:c r="I96" s="7" t="n">
        <x:v>0.7422720897848771</x:v>
      </x:c>
      <x:c r="J96" s="7" t="n">
        <x:v>2.050372888036911</x:v>
      </x:c>
      <x:c r="K96" s="7" t="n">
        <x:f>H96+I96*J96</x:f>
        <x:v>2.6632266275196352</x:v>
      </x:c>
      <x:c r="L96" s="7" t="n">
        <x:v>2</x:v>
      </x:c>
      <x:c r="M96" s="7" t="n">
        <x:f>K96-L96</x:f>
        <x:v>0.6632266275196352</x:v>
      </x:c>
      <x:c r="N96" s="7" t="n">
        <x:f>M96^2</x:f>
        <x:v>0.439869559451069</x:v>
      </x:c>
      <x:c r="O96" s="7" t="n">
        <x:v>1</x:v>
      </x:c>
      <x:c r="P96" s="7" t="n">
        <x:v>1</x:v>
      </x:c>
      <x:c r="Q96" s="7" t="n">
        <x:v>1.9491325309717533</x:v>
      </x:c>
      <x:c r="R96" s="7" t="n">
        <x:f>H96+I96*Q96</x:f>
        <x:v>2.5880787361103135</x:v>
      </x:c>
      <x:c r="S96" s="7" t="n">
        <x:f>R96-L96</x:f>
        <x:v>0.5880787361103135</x:v>
      </x:c>
      <x:c r="T96" s="7" t="n">
        <x:f>K96-R96</x:f>
        <x:v>0.07514789140932177</x:v>
      </x:c>
      <x:c r="U96" s="7" t="n">
        <x:f>M96-S96-T96</x:f>
        <x:v>0</x:v>
      </x:c>
    </x:row>
    <x:row r="97" ht="27" customHeight="1">
      <x:c r="A97" s="2"/>
      <x:c r="B97" s="2" t="str">
        <x:v>Health Care | price_contribution | CUUR0000SEGB</x:v>
      </x:c>
      <x:c r="C97" s="2" t="str">
        <x:v>2026-03-31</x:v>
      </x:c>
      <x:c r="D97" s="2" t="str">
        <x:v>Two months</x:v>
      </x:c>
      <x:c r="E97" s="2" t="str">
        <x:v>2026-03-11</x:v>
      </x:c>
      <x:c r="F97" s="2" t="str">
        <x:v>Seasonal step</x:v>
      </x:c>
      <x:c r="G97" s="2" t="n">
        <x:v>15</x:v>
      </x:c>
      <x:c r="H97" s="7" t="n">
        <x:v>1.1412920590782236</x:v>
      </x:c>
      <x:c r="I97" s="7" t="n">
        <x:v>0.7422720897848771</x:v>
      </x:c>
      <x:c r="J97" s="7" t="n">
        <x:v>1.8736481068248212</x:v>
      </x:c>
      <x:c r="K97" s="7" t="n">
        <x:f>H97+I97*J97</x:f>
        <x:v>2.5320487548525623</x:v>
      </x:c>
      <x:c r="L97" s="7" t="n">
        <x:v>2</x:v>
      </x:c>
      <x:c r="M97" s="7" t="n">
        <x:f>K97-L97</x:f>
        <x:v>0.5320487548525623</x:v>
      </x:c>
      <x:c r="N97" s="7" t="n">
        <x:f>M97^2</x:f>
        <x:v>0.28307587754016195</x:v>
      </x:c>
      <x:c r="O97" s="7" t="n">
        <x:v>1</x:v>
      </x:c>
      <x:c r="P97" s="7" t="n">
        <x:v>1</x:v>
      </x:c>
      <x:c r="Q97" s="7" t="n">
        <x:v>1.9491325309717533</x:v>
      </x:c>
      <x:c r="R97" s="7" t="n">
        <x:f>H97+I97*Q97</x:f>
        <x:v>2.5880787361103135</x:v>
      </x:c>
      <x:c r="S97" s="7" t="n">
        <x:f>R97-L97</x:f>
        <x:v>0.5880787361103135</x:v>
      </x:c>
      <x:c r="T97" s="7" t="n">
        <x:f>K97-R97</x:f>
        <x:v>-0.05602998125775116</x:v>
      </x:c>
      <x:c r="U97" s="7" t="n">
        <x:f>M97-S97-T97</x:f>
        <x:v>0</x:v>
      </x:c>
    </x:row>
    <x:row r="98" ht="27" customHeight="1">
      <x:c r="A98" s="2"/>
      <x:c r="B98" s="2" t="str">
        <x:v>Health Care | price_contribution | CUUR0000SEGB</x:v>
      </x:c>
      <x:c r="C98" s="2" t="str">
        <x:v>2026-03-31</x:v>
      </x:c>
      <x:c r="D98" s="2" t="str">
        <x:v>Pre-earnings</x:v>
      </x:c>
      <x:c r="E98" s="2" t="str">
        <x:v>2026-04-23</x:v>
      </x:c>
      <x:c r="F98" s="2" t="str">
        <x:v>YoY carry</x:v>
      </x:c>
      <x:c r="G98" s="2" t="n">
        <x:v>19</x:v>
      </x:c>
      <x:c r="H98" s="7" t="n">
        <x:v>1.0474973721280845</x:v>
      </x:c>
      <x:c r="I98" s="7" t="n">
        <x:v>0.7605774211647279</x:v>
      </x:c>
      <x:c r="J98" s="7" t="n">
        <x:v>1.9491325309717533</x:v>
      </x:c>
      <x:c r="K98" s="7" t="n">
        <x:f>H98+I98*J98</x:f>
        <x:v>2.52996356604286</x:v>
      </x:c>
      <x:c r="L98" s="7" t="n">
        <x:v>2</x:v>
      </x:c>
      <x:c r="M98" s="7" t="n">
        <x:f>K98-L98</x:f>
        <x:v>0.5299635660428601</x:v>
      </x:c>
      <x:c r="N98" s="7" t="n">
        <x:f>M98^2</x:f>
        <x:v>0.2808613813328649</x:v>
      </x:c>
      <x:c r="O98" s="7" t="n">
        <x:v>1</x:v>
      </x:c>
      <x:c r="P98" s="7" t="n">
        <x:v>1</x:v>
      </x:c>
      <x:c r="Q98" s="7" t="n">
        <x:v>1.9491325309717533</x:v>
      </x:c>
      <x:c r="R98" s="7" t="n">
        <x:f>H98+I98*Q98</x:f>
        <x:v>2.52996356604286</x:v>
      </x:c>
      <x:c r="S98" s="7" t="n">
        <x:f>R98-L98</x:f>
        <x:v>0.5299635660428601</x:v>
      </x:c>
      <x:c r="T98" s="7" t="n">
        <x:f>K98-R98</x:f>
        <x:v>0</x:v>
      </x:c>
      <x:c r="U98" s="7" t="n">
        <x:f>M98-S98-T98</x:f>
        <x:v>0</x:v>
      </x:c>
    </x:row>
    <x:row r="99" ht="27" customHeight="1">
      <x:c r="A99" s="2"/>
      <x:c r="B99" s="2" t="str">
        <x:v>Health Care | price_contribution | CUUR0000SEGB</x:v>
      </x:c>
      <x:c r="C99" s="2" t="str">
        <x:v>2026-03-31</x:v>
      </x:c>
      <x:c r="D99" s="2" t="str">
        <x:v>Pre-earnings</x:v>
      </x:c>
      <x:c r="E99" s="2" t="str">
        <x:v>2026-04-23</x:v>
      </x:c>
      <x:c r="F99" s="2" t="str">
        <x:v>Flat level</x:v>
      </x:c>
      <x:c r="G99" s="2" t="n">
        <x:v>19</x:v>
      </x:c>
      <x:c r="H99" s="7" t="n">
        <x:v>1.0474973721280845</x:v>
      </x:c>
      <x:c r="I99" s="7" t="n">
        <x:v>0.7605774211647279</x:v>
      </x:c>
      <x:c r="J99" s="7" t="n">
        <x:v>1.9491325309717533</x:v>
      </x:c>
      <x:c r="K99" s="7" t="n">
        <x:f>H99+I99*J99</x:f>
        <x:v>2.52996356604286</x:v>
      </x:c>
      <x:c r="L99" s="7" t="n">
        <x:v>2</x:v>
      </x:c>
      <x:c r="M99" s="7" t="n">
        <x:f>K99-L99</x:f>
        <x:v>0.5299635660428601</x:v>
      </x:c>
      <x:c r="N99" s="7" t="n">
        <x:f>M99^2</x:f>
        <x:v>0.2808613813328649</x:v>
      </x:c>
      <x:c r="O99" s="7" t="n">
        <x:v>1</x:v>
      </x:c>
      <x:c r="P99" s="7" t="n">
        <x:v>1</x:v>
      </x:c>
      <x:c r="Q99" s="7" t="n">
        <x:v>1.9491325309717533</x:v>
      </x:c>
      <x:c r="R99" s="7" t="n">
        <x:f>H99+I99*Q99</x:f>
        <x:v>2.52996356604286</x:v>
      </x:c>
      <x:c r="S99" s="7" t="n">
        <x:f>R99-L99</x:f>
        <x:v>0.5299635660428601</x:v>
      </x:c>
      <x:c r="T99" s="7" t="n">
        <x:f>K99-R99</x:f>
        <x:v>0</x:v>
      </x:c>
      <x:c r="U99" s="7" t="n">
        <x:f>M99-S99-T99</x:f>
        <x:v>0</x:v>
      </x:c>
    </x:row>
    <x:row r="100" ht="27" customHeight="1">
      <x:c r="A100" s="2"/>
      <x:c r="B100" s="2" t="str">
        <x:v>Health Care | price_contribution | CUUR0000SEGB</x:v>
      </x:c>
      <x:c r="C100" s="2" t="str">
        <x:v>2026-03-31</x:v>
      </x:c>
      <x:c r="D100" s="2" t="str">
        <x:v>Pre-earnings</x:v>
      </x:c>
      <x:c r="E100" s="2" t="str">
        <x:v>2026-04-23</x:v>
      </x:c>
      <x:c r="F100" s="2" t="str">
        <x:v>Recent trend</x:v>
      </x:c>
      <x:c r="G100" s="2" t="n">
        <x:v>19</x:v>
      </x:c>
      <x:c r="H100" s="7" t="n">
        <x:v>1.0474973721280845</x:v>
      </x:c>
      <x:c r="I100" s="7" t="n">
        <x:v>0.7605774211647279</x:v>
      </x:c>
      <x:c r="J100" s="7" t="n">
        <x:v>1.9491325309717533</x:v>
      </x:c>
      <x:c r="K100" s="7" t="n">
        <x:f>H100+I100*J100</x:f>
        <x:v>2.52996356604286</x:v>
      </x:c>
      <x:c r="L100" s="7" t="n">
        <x:v>2</x:v>
      </x:c>
      <x:c r="M100" s="7" t="n">
        <x:f>K100-L100</x:f>
        <x:v>0.5299635660428601</x:v>
      </x:c>
      <x:c r="N100" s="7" t="n">
        <x:f>M100^2</x:f>
        <x:v>0.2808613813328649</x:v>
      </x:c>
      <x:c r="O100" s="7" t="n">
        <x:v>1</x:v>
      </x:c>
      <x:c r="P100" s="7" t="n">
        <x:v>1</x:v>
      </x:c>
      <x:c r="Q100" s="7" t="n">
        <x:v>1.9491325309717533</x:v>
      </x:c>
      <x:c r="R100" s="7" t="n">
        <x:f>H100+I100*Q100</x:f>
        <x:v>2.52996356604286</x:v>
      </x:c>
      <x:c r="S100" s="7" t="n">
        <x:f>R100-L100</x:f>
        <x:v>0.5299635660428601</x:v>
      </x:c>
      <x:c r="T100" s="7" t="n">
        <x:f>K100-R100</x:f>
        <x:v>0</x:v>
      </x:c>
      <x:c r="U100" s="7" t="n">
        <x:f>M100-S100-T100</x:f>
        <x:v>0</x:v>
      </x:c>
    </x:row>
    <x:row r="101" ht="27" customHeight="1">
      <x:c r="A101" s="2"/>
      <x:c r="B101" s="2" t="str">
        <x:v>Health Care | price_contribution | CUUR0000SEGB</x:v>
      </x:c>
      <x:c r="C101" s="2" t="str">
        <x:v>2026-03-31</x:v>
      </x:c>
      <x:c r="D101" s="2" t="str">
        <x:v>Pre-earnings</x:v>
      </x:c>
      <x:c r="E101" s="2" t="str">
        <x:v>2026-04-23</x:v>
      </x:c>
      <x:c r="F101" s="2" t="str">
        <x:v>Seasonal step</x:v>
      </x:c>
      <x:c r="G101" s="2" t="n">
        <x:v>19</x:v>
      </x:c>
      <x:c r="H101" s="7" t="n">
        <x:v>1.0474973721280845</x:v>
      </x:c>
      <x:c r="I101" s="7" t="n">
        <x:v>0.7605774211647279</x:v>
      </x:c>
      <x:c r="J101" s="7" t="n">
        <x:v>1.9491325309717533</x:v>
      </x:c>
      <x:c r="K101" s="7" t="n">
        <x:f>H101+I101*J101</x:f>
        <x:v>2.52996356604286</x:v>
      </x:c>
      <x:c r="L101" s="7" t="n">
        <x:v>2</x:v>
      </x:c>
      <x:c r="M101" s="7" t="n">
        <x:f>K101-L101</x:f>
        <x:v>0.5299635660428601</x:v>
      </x:c>
      <x:c r="N101" s="7" t="n">
        <x:f>M101^2</x:f>
        <x:v>0.2808613813328649</x:v>
      </x:c>
      <x:c r="O101" s="7" t="n">
        <x:v>1</x:v>
      </x:c>
      <x:c r="P101" s="7" t="n">
        <x:v>1</x:v>
      </x:c>
      <x:c r="Q101" s="7" t="n">
        <x:v>1.9491325309717533</x:v>
      </x:c>
      <x:c r="R101" s="7" t="n">
        <x:f>H101+I101*Q101</x:f>
        <x:v>2.52996356604286</x:v>
      </x:c>
      <x:c r="S101" s="7" t="n">
        <x:f>R101-L101</x:f>
        <x:v>0.5299635660428601</x:v>
      </x:c>
      <x:c r="T101" s="7" t="n">
        <x:f>K101-R101</x:f>
        <x:v>0</x:v>
      </x:c>
      <x:c r="U101" s="7" t="n">
        <x:f>M101-S101-T101</x:f>
        <x:v>0</x:v>
      </x:c>
    </x:row>
    <x:row r="102" ht="27" customHeight="1">
      <x:c r="A102" s="2"/>
      <x:c r="B102" s="2" t="str">
        <x:v>Beauty | price_contribution | CUUR0000SEGB02</x:v>
      </x:c>
      <x:c r="C102" s="2" t="str">
        <x:v>2024-09-30</x:v>
      </x:c>
      <x:c r="D102" s="2" t="str">
        <x:v>Origin</x:v>
      </x:c>
      <x:c r="E102" s="2" t="str">
        <x:v>2024-07-01</x:v>
      </x:c>
      <x:c r="F102" s="2" t="str">
        <x:v>YoY carry</x:v>
      </x:c>
      <x:c r="G102" s="2" t="n">
        <x:v>13</x:v>
      </x:c>
      <x:c r="H102" s="7" t="n">
        <x:v>3.4190727616086347</x:v>
      </x:c>
      <x:c r="I102" s="7" t="n">
        <x:v>0.9269150746894717</x:v>
      </x:c>
      <x:c r="J102" s="7" t="n">
        <x:v>0.982945840137095</x:v>
      </x:c>
      <x:c r="K102" s="7" t="n">
        <x:f>H102+I102*J102</x:f>
        <x:v>4.330180078435015</x:v>
      </x:c>
      <x:c r="L102" s="7" t="n">
        <x:v>1</x:v>
      </x:c>
      <x:c r="M102" s="7" t="n">
        <x:f>K102-L102</x:f>
        <x:v>3.3301800784350153</x:v>
      </x:c>
      <x:c r="N102" s="7" t="n">
        <x:f>M102^2</x:f>
        <x:v>11.090099354805444</x:v>
      </x:c>
      <x:c r="O102" s="7" t="n">
        <x:v>4</x:v>
      </x:c>
      <x:c r="P102" s="7" t="n">
        <x:v>5.75</x:v>
      </x:c>
      <x:c r="Q102" s="7" t="n">
        <x:v>-0.3714085127806688</x:v>
      </x:c>
      <x:c r="R102" s="7" t="n">
        <x:f>H102+I102*Q102</x:f>
        <x:v>3.0748086122442357</x:v>
      </x:c>
      <x:c r="S102" s="7" t="n">
        <x:f>R102-L102</x:f>
        <x:v>2.0748086122442357</x:v>
      </x:c>
      <x:c r="T102" s="7" t="n">
        <x:f>K102-R102</x:f>
        <x:v>1.2553714661907796</x:v>
      </x:c>
      <x:c r="U102" s="7" t="n">
        <x:f>M102-S102-T102</x:f>
        <x:v>0</x:v>
      </x:c>
    </x:row>
    <x:row r="103" ht="27" customHeight="1">
      <x:c r="A103" s="2"/>
      <x:c r="B103" s="2" t="str">
        <x:v>Beauty | price_contribution | CUUR0000SEGB02</x:v>
      </x:c>
      <x:c r="C103" s="2" t="str">
        <x:v>2024-09-30</x:v>
      </x:c>
      <x:c r="D103" s="2" t="str">
        <x:v>Origin</x:v>
      </x:c>
      <x:c r="E103" s="2" t="str">
        <x:v>2024-07-01</x:v>
      </x:c>
      <x:c r="F103" s="2" t="str">
        <x:v>Flat level</x:v>
      </x:c>
      <x:c r="G103" s="2" t="n">
        <x:v>13</x:v>
      </x:c>
      <x:c r="H103" s="7" t="n">
        <x:v>3.4190727616086347</x:v>
      </x:c>
      <x:c r="I103" s="7" t="n">
        <x:v>0.9269150746894717</x:v>
      </x:c>
      <x:c r="J103" s="7" t="n">
        <x:v>-0.7105888009532602</x:v>
      </x:c>
      <x:c r="K103" s="7" t="n">
        <x:f>H103+I103*J103</x:f>
        <x:v>2.7604172900995416</x:v>
      </x:c>
      <x:c r="L103" s="7" t="n">
        <x:v>1</x:v>
      </x:c>
      <x:c r="M103" s="7" t="n">
        <x:f>K103-L103</x:f>
        <x:v>1.7604172900995416</x:v>
      </x:c>
      <x:c r="N103" s="7" t="n">
        <x:f>M103^2</x:f>
        <x:v>3.099069035281414</x:v>
      </x:c>
      <x:c r="O103" s="7" t="n">
        <x:v>4</x:v>
      </x:c>
      <x:c r="P103" s="7" t="n">
        <x:v>5.75</x:v>
      </x:c>
      <x:c r="Q103" s="7" t="n">
        <x:v>-0.3714085127806688</x:v>
      </x:c>
      <x:c r="R103" s="7" t="n">
        <x:f>H103+I103*Q103</x:f>
        <x:v>3.0748086122442357</x:v>
      </x:c>
      <x:c r="S103" s="7" t="n">
        <x:f>R103-L103</x:f>
        <x:v>2.0748086122442357</x:v>
      </x:c>
      <x:c r="T103" s="7" t="n">
        <x:f>K103-R103</x:f>
        <x:v>-0.3143913221446941</x:v>
      </x:c>
      <x:c r="U103" s="7" t="n">
        <x:f>M103-S103-T103</x:f>
        <x:v>0</x:v>
      </x:c>
    </x:row>
    <x:row r="104" ht="27" customHeight="1">
      <x:c r="A104" s="2"/>
      <x:c r="B104" s="2" t="str">
        <x:v>Beauty | price_contribution | CUUR0000SEGB02</x:v>
      </x:c>
      <x:c r="C104" s="2" t="str">
        <x:v>2024-09-30</x:v>
      </x:c>
      <x:c r="D104" s="2" t="str">
        <x:v>Origin</x:v>
      </x:c>
      <x:c r="E104" s="2" t="str">
        <x:v>2024-07-01</x:v>
      </x:c>
      <x:c r="F104" s="2" t="str">
        <x:v>Recent trend</x:v>
      </x:c>
      <x:c r="G104" s="2" t="n">
        <x:v>13</x:v>
      </x:c>
      <x:c r="H104" s="7" t="n">
        <x:v>3.4190727616086347</x:v>
      </x:c>
      <x:c r="I104" s="7" t="n">
        <x:v>0.9269150746894717</x:v>
      </x:c>
      <x:c r="J104" s="7" t="n">
        <x:v>-1.9829068464943478</x:v>
      </x:c>
      <x:c r="K104" s="7" t="n">
        <x:f>H104+I104*J104</x:f>
        <x:v>1.5810865138880617</x:v>
      </x:c>
      <x:c r="L104" s="7" t="n">
        <x:v>1</x:v>
      </x:c>
      <x:c r="M104" s="7" t="n">
        <x:f>K104-L104</x:f>
        <x:v>0.5810865138880617</x:v>
      </x:c>
      <x:c r="N104" s="7" t="n">
        <x:f>M104^2</x:f>
        <x:v>0.33766153662258047</x:v>
      </x:c>
      <x:c r="O104" s="7" t="n">
        <x:v>4</x:v>
      </x:c>
      <x:c r="P104" s="7" t="n">
        <x:v>5.75</x:v>
      </x:c>
      <x:c r="Q104" s="7" t="n">
        <x:v>-0.3714085127806688</x:v>
      </x:c>
      <x:c r="R104" s="7" t="n">
        <x:f>H104+I104*Q104</x:f>
        <x:v>3.0748086122442357</x:v>
      </x:c>
      <x:c r="S104" s="7" t="n">
        <x:f>R104-L104</x:f>
        <x:v>2.0748086122442357</x:v>
      </x:c>
      <x:c r="T104" s="7" t="n">
        <x:f>K104-R104</x:f>
        <x:v>-1.493722098356174</x:v>
      </x:c>
      <x:c r="U104" s="7" t="n">
        <x:f>M104-S104-T104</x:f>
        <x:v>0</x:v>
      </x:c>
    </x:row>
    <x:row r="105" ht="27" customHeight="1">
      <x:c r="A105" s="2"/>
      <x:c r="B105" s="2" t="str">
        <x:v>Beauty | price_contribution | CUUR0000SEGB02</x:v>
      </x:c>
      <x:c r="C105" s="2" t="str">
        <x:v>2024-09-30</x:v>
      </x:c>
      <x:c r="D105" s="2" t="str">
        <x:v>Origin</x:v>
      </x:c>
      <x:c r="E105" s="2" t="str">
        <x:v>2024-07-01</x:v>
      </x:c>
      <x:c r="F105" s="2" t="str">
        <x:v>Seasonal step</x:v>
      </x:c>
      <x:c r="G105" s="2" t="n">
        <x:v>13</x:v>
      </x:c>
      <x:c r="H105" s="7" t="n">
        <x:v>3.4190727616086347</x:v>
      </x:c>
      <x:c r="I105" s="7" t="n">
        <x:v>0.9269150746894717</x:v>
      </x:c>
      <x:c r="J105" s="7" t="n">
        <x:v>1.066748394650685</x:v>
      </x:c>
      <x:c r="K105" s="7" t="n">
        <x:f>H105+I105*J105</x:f>
        <x:v>4.407857929511149</x:v>
      </x:c>
      <x:c r="L105" s="7" t="n">
        <x:v>1</x:v>
      </x:c>
      <x:c r="M105" s="7" t="n">
        <x:f>K105-L105</x:f>
        <x:v>3.407857929511149</x:v>
      </x:c>
      <x:c r="N105" s="7" t="n">
        <x:f>M105^2</x:f>
        <x:v>11.613495667732014</x:v>
      </x:c>
      <x:c r="O105" s="7" t="n">
        <x:v>4</x:v>
      </x:c>
      <x:c r="P105" s="7" t="n">
        <x:v>5.75</x:v>
      </x:c>
      <x:c r="Q105" s="7" t="n">
        <x:v>-0.3714085127806688</x:v>
      </x:c>
      <x:c r="R105" s="7" t="n">
        <x:f>H105+I105*Q105</x:f>
        <x:v>3.0748086122442357</x:v>
      </x:c>
      <x:c r="S105" s="7" t="n">
        <x:f>R105-L105</x:f>
        <x:v>2.0748086122442357</x:v>
      </x:c>
      <x:c r="T105" s="7" t="n">
        <x:f>K105-R105</x:f>
        <x:v>1.3330493172669131</x:v>
      </x:c>
      <x:c r="U105" s="7" t="n">
        <x:f>M105-S105-T105</x:f>
        <x:v>0</x:v>
      </x:c>
    </x:row>
    <x:row r="106" ht="27" customHeight="1">
      <x:c r="A106" s="2"/>
      <x:c r="B106" s="2" t="str">
        <x:v>Beauty | price_contribution | CUUR0000SEGB02</x:v>
      </x:c>
      <x:c r="C106" s="2" t="str">
        <x:v>2024-09-30</x:v>
      </x:c>
      <x:c r="D106" s="2" t="str">
        <x:v>Two months</x:v>
      </x:c>
      <x:c r="E106" s="2" t="str">
        <x:v>2024-10-01</x:v>
      </x:c>
      <x:c r="F106" s="2" t="str">
        <x:v>YoY carry</x:v>
      </x:c>
      <x:c r="G106" s="2" t="n">
        <x:v>14</x:v>
      </x:c>
      <x:c r="H106" s="7" t="n">
        <x:v>3.331605891535138</x:v>
      </x:c>
      <x:c r="I106" s="7" t="n">
        <x:v>0.9423566400153798</x:v>
      </x:c>
      <x:c r="J106" s="7" t="n">
        <x:v>-0.24604760177121543</x:v>
      </x:c>
      <x:c r="K106" s="7" t="n">
        <x:f>H106+I106*J106</x:f>
        <x:v>3.099741300246173</x:v>
      </x:c>
      <x:c r="L106" s="7" t="n">
        <x:v>1</x:v>
      </x:c>
      <x:c r="M106" s="7" t="n">
        <x:f>K106-L106</x:f>
        <x:v>2.099741300246173</x:v>
      </x:c>
      <x:c r="N106" s="7" t="n">
        <x:f>M106^2</x:f>
        <x:v>4.4089135279594895</x:v>
      </x:c>
      <x:c r="O106" s="7" t="n">
        <x:v>3</x:v>
      </x:c>
      <x:c r="P106" s="7" t="n">
        <x:v>4.5</x:v>
      </x:c>
      <x:c r="Q106" s="7" t="n">
        <x:v>-0.3714085127806688</x:v>
      </x:c>
      <x:c r="R106" s="7" t="n">
        <x:f>H106+I106*Q106</x:f>
        <x:v>2.9816066133580374</x:v>
      </x:c>
      <x:c r="S106" s="7" t="n">
        <x:f>R106-L106</x:f>
        <x:v>1.9816066133580374</x:v>
      </x:c>
      <x:c r="T106" s="7" t="n">
        <x:f>K106-R106</x:f>
        <x:v>0.11813468688813566</x:v>
      </x:c>
      <x:c r="U106" s="7" t="n">
        <x:f>M106-S106-T106</x:f>
        <x:v>0</x:v>
      </x:c>
    </x:row>
    <x:row r="107" ht="27" customHeight="1">
      <x:c r="A107" s="2"/>
      <x:c r="B107" s="2" t="str">
        <x:v>Beauty | price_contribution | CUUR0000SEGB02</x:v>
      </x:c>
      <x:c r="C107" s="2" t="str">
        <x:v>2024-09-30</x:v>
      </x:c>
      <x:c r="D107" s="2" t="str">
        <x:v>Two months</x:v>
      </x:c>
      <x:c r="E107" s="2" t="str">
        <x:v>2024-10-01</x:v>
      </x:c>
      <x:c r="F107" s="2" t="str">
        <x:v>Flat level</x:v>
      </x:c>
      <x:c r="G107" s="2" t="n">
        <x:v>14</x:v>
      </x:c>
      <x:c r="H107" s="7" t="n">
        <x:v>3.331605891535138</x:v>
      </x:c>
      <x:c r="I107" s="7" t="n">
        <x:v>0.9423566400153798</x:v>
      </x:c>
      <x:c r="J107" s="7" t="n">
        <x:v>-0.42245105229509194</x:v>
      </x:c>
      <x:c r="K107" s="7" t="n">
        <x:f>H107+I107*J107</x:f>
        <x:v>2.9335063373233736</x:v>
      </x:c>
      <x:c r="L107" s="7" t="n">
        <x:v>1</x:v>
      </x:c>
      <x:c r="M107" s="7" t="n">
        <x:f>K107-L107</x:f>
        <x:v>1.9335063373233736</x:v>
      </x:c>
      <x:c r="N107" s="7" t="n">
        <x:f>M107^2</x:f>
        <x:v>3.7384467564696475</x:v>
      </x:c>
      <x:c r="O107" s="7" t="n">
        <x:v>3</x:v>
      </x:c>
      <x:c r="P107" s="7" t="n">
        <x:v>4.5</x:v>
      </x:c>
      <x:c r="Q107" s="7" t="n">
        <x:v>-0.3714085127806688</x:v>
      </x:c>
      <x:c r="R107" s="7" t="n">
        <x:f>H107+I107*Q107</x:f>
        <x:v>2.9816066133580374</x:v>
      </x:c>
      <x:c r="S107" s="7" t="n">
        <x:f>R107-L107</x:f>
        <x:v>1.9816066133580374</x:v>
      </x:c>
      <x:c r="T107" s="7" t="n">
        <x:f>K107-R107</x:f>
        <x:v>-0.048100276034663825</x:v>
      </x:c>
      <x:c r="U107" s="7" t="n">
        <x:f>M107-S107-T107</x:f>
        <x:v>0</x:v>
      </x:c>
    </x:row>
    <x:row r="108" ht="27" customHeight="1">
      <x:c r="A108" s="2"/>
      <x:c r="B108" s="2" t="str">
        <x:v>Beauty | price_contribution | CUUR0000SEGB02</x:v>
      </x:c>
      <x:c r="C108" s="2" t="str">
        <x:v>2024-09-30</x:v>
      </x:c>
      <x:c r="D108" s="2" t="str">
        <x:v>Two months</x:v>
      </x:c>
      <x:c r="E108" s="2" t="str">
        <x:v>2024-10-01</x:v>
      </x:c>
      <x:c r="F108" s="2" t="str">
        <x:v>Recent trend</x:v>
      </x:c>
      <x:c r="G108" s="2" t="n">
        <x:v>14</x:v>
      </x:c>
      <x:c r="H108" s="7" t="n">
        <x:v>3.331605891535138</x:v>
      </x:c>
      <x:c r="I108" s="7" t="n">
        <x:v>0.9423566400153798</x:v>
      </x:c>
      <x:c r="J108" s="7" t="n">
        <x:v>-0.38839365818222893</x:v>
      </x:c>
      <x:c r="K108" s="7" t="n">
        <x:f>H108+I108*J108</x:f>
        <x:v>2.9656005488072505</x:v>
      </x:c>
      <x:c r="L108" s="7" t="n">
        <x:v>1</x:v>
      </x:c>
      <x:c r="M108" s="7" t="n">
        <x:f>K108-L108</x:f>
        <x:v>1.9656005488072505</x:v>
      </x:c>
      <x:c r="N108" s="7" t="n">
        <x:f>M108^2</x:f>
        <x:v>3.8635855174713645</x:v>
      </x:c>
      <x:c r="O108" s="7" t="n">
        <x:v>3</x:v>
      </x:c>
      <x:c r="P108" s="7" t="n">
        <x:v>4.5</x:v>
      </x:c>
      <x:c r="Q108" s="7" t="n">
        <x:v>-0.3714085127806688</x:v>
      </x:c>
      <x:c r="R108" s="7" t="n">
        <x:f>H108+I108*Q108</x:f>
        <x:v>2.9816066133580374</x:v>
      </x:c>
      <x:c r="S108" s="7" t="n">
        <x:f>R108-L108</x:f>
        <x:v>1.9816066133580374</x:v>
      </x:c>
      <x:c r="T108" s="7" t="n">
        <x:f>K108-R108</x:f>
        <x:v>-0.016006064550786903</x:v>
      </x:c>
      <x:c r="U108" s="7" t="n">
        <x:f>M108-S108-T108</x:f>
        <x:v>0</x:v>
      </x:c>
    </x:row>
    <x:row r="109" ht="27" customHeight="1">
      <x:c r="A109" s="2"/>
      <x:c r="B109" s="2" t="str">
        <x:v>Beauty | price_contribution | CUUR0000SEGB02</x:v>
      </x:c>
      <x:c r="C109" s="2" t="str">
        <x:v>2024-09-30</x:v>
      </x:c>
      <x:c r="D109" s="2" t="str">
        <x:v>Two months</x:v>
      </x:c>
      <x:c r="E109" s="2" t="str">
        <x:v>2024-10-01</x:v>
      </x:c>
      <x:c r="F109" s="2" t="str">
        <x:v>Seasonal step</x:v>
      </x:c>
      <x:c r="G109" s="2" t="n">
        <x:v>14</x:v>
      </x:c>
      <x:c r="H109" s="7" t="n">
        <x:v>3.331605891535138</x:v>
      </x:c>
      <x:c r="I109" s="7" t="n">
        <x:v>0.9423566400153798</x:v>
      </x:c>
      <x:c r="J109" s="7" t="n">
        <x:v>-0.28630283025909975</x:v>
      </x:c>
      <x:c r="K109" s="7" t="n">
        <x:f>H109+I109*J109</x:f>
        <x:v>3.061806518385279</x:v>
      </x:c>
      <x:c r="L109" s="7" t="n">
        <x:v>1</x:v>
      </x:c>
      <x:c r="M109" s="7" t="n">
        <x:f>K109-L109</x:f>
        <x:v>2.061806518385279</x:v>
      </x:c>
      <x:c r="N109" s="7" t="n">
        <x:f>M109^2</x:f>
        <x:v>4.251046119256026</x:v>
      </x:c>
      <x:c r="O109" s="7" t="n">
        <x:v>3</x:v>
      </x:c>
      <x:c r="P109" s="7" t="n">
        <x:v>4.5</x:v>
      </x:c>
      <x:c r="Q109" s="7" t="n">
        <x:v>-0.3714085127806688</x:v>
      </x:c>
      <x:c r="R109" s="7" t="n">
        <x:f>H109+I109*Q109</x:f>
        <x:v>2.9816066133580374</x:v>
      </x:c>
      <x:c r="S109" s="7" t="n">
        <x:f>R109-L109</x:f>
        <x:v>1.9816066133580374</x:v>
      </x:c>
      <x:c r="T109" s="7" t="n">
        <x:f>K109-R109</x:f>
        <x:v>0.0801999050272415</x:v>
      </x:c>
      <x:c r="U109" s="7" t="n">
        <x:f>M109-S109-T109</x:f>
        <x:v>0</x:v>
      </x:c>
    </x:row>
    <x:row r="110" ht="27" customHeight="1">
      <x:c r="A110" s="2"/>
      <x:c r="B110" s="2" t="str">
        <x:v>Beauty | price_contribution | CUUR0000SEGB02</x:v>
      </x:c>
      <x:c r="C110" s="2" t="str">
        <x:v>2024-09-30</x:v>
      </x:c>
      <x:c r="D110" s="2" t="str">
        <x:v>Pre-earnings</x:v>
      </x:c>
      <x:c r="E110" s="2" t="str">
        <x:v>2024-10-17</x:v>
      </x:c>
      <x:c r="F110" s="2" t="str">
        <x:v>YoY carry</x:v>
      </x:c>
      <x:c r="G110" s="2" t="n">
        <x:v>14</x:v>
      </x:c>
      <x:c r="H110" s="7" t="n">
        <x:v>3.331605891535138</x:v>
      </x:c>
      <x:c r="I110" s="7" t="n">
        <x:v>0.9423566400153798</x:v>
      </x:c>
      <x:c r="J110" s="7" t="n">
        <x:v>-0.3714085127806688</x:v>
      </x:c>
      <x:c r="K110" s="7" t="n">
        <x:f>H110+I110*J110</x:f>
        <x:v>2.9816066133580374</x:v>
      </x:c>
      <x:c r="L110" s="7" t="n">
        <x:v>1</x:v>
      </x:c>
      <x:c r="M110" s="7" t="n">
        <x:f>K110-L110</x:f>
        <x:v>1.9816066133580374</x:v>
      </x:c>
      <x:c r="N110" s="7" t="n">
        <x:f>M110^2</x:f>
        <x:v>3.9267647701043105</x:v>
      </x:c>
      <x:c r="O110" s="7" t="n">
        <x:v>3</x:v>
      </x:c>
      <x:c r="P110" s="7" t="n">
        <x:v>4.5</x:v>
      </x:c>
      <x:c r="Q110" s="7" t="n">
        <x:v>-0.3714085127806688</x:v>
      </x:c>
      <x:c r="R110" s="7" t="n">
        <x:f>H110+I110*Q110</x:f>
        <x:v>2.9816066133580374</x:v>
      </x:c>
      <x:c r="S110" s="7" t="n">
        <x:f>R110-L110</x:f>
        <x:v>1.9816066133580374</x:v>
      </x:c>
      <x:c r="T110" s="7" t="n">
        <x:f>K110-R110</x:f>
        <x:v>0</x:v>
      </x:c>
      <x:c r="U110" s="7" t="n">
        <x:f>M110-S110-T110</x:f>
        <x:v>0</x:v>
      </x:c>
    </x:row>
    <x:row r="111" ht="27" customHeight="1">
      <x:c r="A111" s="2"/>
      <x:c r="B111" s="2" t="str">
        <x:v>Beauty | price_contribution | CUUR0000SEGB02</x:v>
      </x:c>
      <x:c r="C111" s="2" t="str">
        <x:v>2024-09-30</x:v>
      </x:c>
      <x:c r="D111" s="2" t="str">
        <x:v>Pre-earnings</x:v>
      </x:c>
      <x:c r="E111" s="2" t="str">
        <x:v>2024-10-17</x:v>
      </x:c>
      <x:c r="F111" s="2" t="str">
        <x:v>Flat level</x:v>
      </x:c>
      <x:c r="G111" s="2" t="n">
        <x:v>14</x:v>
      </x:c>
      <x:c r="H111" s="7" t="n">
        <x:v>3.331605891535138</x:v>
      </x:c>
      <x:c r="I111" s="7" t="n">
        <x:v>0.9423566400153798</x:v>
      </x:c>
      <x:c r="J111" s="7" t="n">
        <x:v>-0.3714085127806688</x:v>
      </x:c>
      <x:c r="K111" s="7" t="n">
        <x:f>H111+I111*J111</x:f>
        <x:v>2.9816066133580374</x:v>
      </x:c>
      <x:c r="L111" s="7" t="n">
        <x:v>1</x:v>
      </x:c>
      <x:c r="M111" s="7" t="n">
        <x:f>K111-L111</x:f>
        <x:v>1.9816066133580374</x:v>
      </x:c>
      <x:c r="N111" s="7" t="n">
        <x:f>M111^2</x:f>
        <x:v>3.9267647701043105</x:v>
      </x:c>
      <x:c r="O111" s="7" t="n">
        <x:v>3</x:v>
      </x:c>
      <x:c r="P111" s="7" t="n">
        <x:v>4.5</x:v>
      </x:c>
      <x:c r="Q111" s="7" t="n">
        <x:v>-0.3714085127806688</x:v>
      </x:c>
      <x:c r="R111" s="7" t="n">
        <x:f>H111+I111*Q111</x:f>
        <x:v>2.9816066133580374</x:v>
      </x:c>
      <x:c r="S111" s="7" t="n">
        <x:f>R111-L111</x:f>
        <x:v>1.9816066133580374</x:v>
      </x:c>
      <x:c r="T111" s="7" t="n">
        <x:f>K111-R111</x:f>
        <x:v>0</x:v>
      </x:c>
      <x:c r="U111" s="7" t="n">
        <x:f>M111-S111-T111</x:f>
        <x:v>0</x:v>
      </x:c>
    </x:row>
    <x:row r="112" ht="27" customHeight="1">
      <x:c r="A112" s="2"/>
      <x:c r="B112" s="2" t="str">
        <x:v>Beauty | price_contribution | CUUR0000SEGB02</x:v>
      </x:c>
      <x:c r="C112" s="2" t="str">
        <x:v>2024-09-30</x:v>
      </x:c>
      <x:c r="D112" s="2" t="str">
        <x:v>Pre-earnings</x:v>
      </x:c>
      <x:c r="E112" s="2" t="str">
        <x:v>2024-10-17</x:v>
      </x:c>
      <x:c r="F112" s="2" t="str">
        <x:v>Recent trend</x:v>
      </x:c>
      <x:c r="G112" s="2" t="n">
        <x:v>14</x:v>
      </x:c>
      <x:c r="H112" s="7" t="n">
        <x:v>3.331605891535138</x:v>
      </x:c>
      <x:c r="I112" s="7" t="n">
        <x:v>0.9423566400153798</x:v>
      </x:c>
      <x:c r="J112" s="7" t="n">
        <x:v>-0.3714085127806688</x:v>
      </x:c>
      <x:c r="K112" s="7" t="n">
        <x:f>H112+I112*J112</x:f>
        <x:v>2.9816066133580374</x:v>
      </x:c>
      <x:c r="L112" s="7" t="n">
        <x:v>1</x:v>
      </x:c>
      <x:c r="M112" s="7" t="n">
        <x:f>K112-L112</x:f>
        <x:v>1.9816066133580374</x:v>
      </x:c>
      <x:c r="N112" s="7" t="n">
        <x:f>M112^2</x:f>
        <x:v>3.9267647701043105</x:v>
      </x:c>
      <x:c r="O112" s="7" t="n">
        <x:v>3</x:v>
      </x:c>
      <x:c r="P112" s="7" t="n">
        <x:v>4.5</x:v>
      </x:c>
      <x:c r="Q112" s="7" t="n">
        <x:v>-0.3714085127806688</x:v>
      </x:c>
      <x:c r="R112" s="7" t="n">
        <x:f>H112+I112*Q112</x:f>
        <x:v>2.9816066133580374</x:v>
      </x:c>
      <x:c r="S112" s="7" t="n">
        <x:f>R112-L112</x:f>
        <x:v>1.9816066133580374</x:v>
      </x:c>
      <x:c r="T112" s="7" t="n">
        <x:f>K112-R112</x:f>
        <x:v>0</x:v>
      </x:c>
      <x:c r="U112" s="7" t="n">
        <x:f>M112-S112-T112</x:f>
        <x:v>0</x:v>
      </x:c>
    </x:row>
    <x:row r="113" ht="27" customHeight="1">
      <x:c r="A113" s="2"/>
      <x:c r="B113" s="2" t="str">
        <x:v>Beauty | price_contribution | CUUR0000SEGB02</x:v>
      </x:c>
      <x:c r="C113" s="2" t="str">
        <x:v>2024-09-30</x:v>
      </x:c>
      <x:c r="D113" s="2" t="str">
        <x:v>Pre-earnings</x:v>
      </x:c>
      <x:c r="E113" s="2" t="str">
        <x:v>2024-10-17</x:v>
      </x:c>
      <x:c r="F113" s="2" t="str">
        <x:v>Seasonal step</x:v>
      </x:c>
      <x:c r="G113" s="2" t="n">
        <x:v>14</x:v>
      </x:c>
      <x:c r="H113" s="7" t="n">
        <x:v>3.331605891535138</x:v>
      </x:c>
      <x:c r="I113" s="7" t="n">
        <x:v>0.9423566400153798</x:v>
      </x:c>
      <x:c r="J113" s="7" t="n">
        <x:v>-0.3714085127806688</x:v>
      </x:c>
      <x:c r="K113" s="7" t="n">
        <x:f>H113+I113*J113</x:f>
        <x:v>2.9816066133580374</x:v>
      </x:c>
      <x:c r="L113" s="7" t="n">
        <x:v>1</x:v>
      </x:c>
      <x:c r="M113" s="7" t="n">
        <x:f>K113-L113</x:f>
        <x:v>1.9816066133580374</x:v>
      </x:c>
      <x:c r="N113" s="7" t="n">
        <x:f>M113^2</x:f>
        <x:v>3.9267647701043105</x:v>
      </x:c>
      <x:c r="O113" s="7" t="n">
        <x:v>3</x:v>
      </x:c>
      <x:c r="P113" s="7" t="n">
        <x:v>4.5</x:v>
      </x:c>
      <x:c r="Q113" s="7" t="n">
        <x:v>-0.3714085127806688</x:v>
      </x:c>
      <x:c r="R113" s="7" t="n">
        <x:f>H113+I113*Q113</x:f>
        <x:v>2.9816066133580374</x:v>
      </x:c>
      <x:c r="S113" s="7" t="n">
        <x:f>R113-L113</x:f>
        <x:v>1.9816066133580374</x:v>
      </x:c>
      <x:c r="T113" s="7" t="n">
        <x:f>K113-R113</x:f>
        <x:v>0</x:v>
      </x:c>
      <x:c r="U113" s="7" t="n">
        <x:f>M113-S113-T113</x:f>
        <x:v>0</x:v>
      </x:c>
    </x:row>
    <x:row r="114" ht="27" customHeight="1">
      <x:c r="A114" s="2"/>
      <x:c r="B114" s="2" t="str">
        <x:v>Beauty | price_contribution | CUUR0000SEGB02</x:v>
      </x:c>
      <x:c r="C114" s="2" t="str">
        <x:v>2024-12-31</x:v>
      </x:c>
      <x:c r="D114" s="2" t="str">
        <x:v>Origin</x:v>
      </x:c>
      <x:c r="E114" s="2" t="str">
        <x:v>2024-10-01</x:v>
      </x:c>
      <x:c r="F114" s="2" t="str">
        <x:v>YoY carry</x:v>
      </x:c>
      <x:c r="G114" s="2" t="n">
        <x:v>14</x:v>
      </x:c>
      <x:c r="H114" s="7" t="n">
        <x:v>3.331605891535138</x:v>
      </x:c>
      <x:c r="I114" s="7" t="n">
        <x:v>0.9423566400153798</x:v>
      </x:c>
      <x:c r="J114" s="7" t="n">
        <x:v>-0.12100028060593182</x:v>
      </x:c>
      <x:c r="K114" s="7" t="n">
        <x:f>H114+I114*J114</x:f>
        <x:v>3.2175804736624136</x:v>
      </x:c>
      <x:c r="L114" s="7" t="n">
        <x:v>2</x:v>
      </x:c>
      <x:c r="M114" s="7" t="n">
        <x:f>K114-L114</x:f>
        <x:v>1.2175804736624136</x:v>
      </x:c>
      <x:c r="N114" s="7" t="n">
        <x:f>M114^2</x:f>
        <x:v>1.4825022098439875</x:v>
      </x:c>
      <x:c r="O114" s="7" t="n">
        <x:v>3</x:v>
      </x:c>
      <x:c r="P114" s="7" t="n">
        <x:v>4.5</x:v>
      </x:c>
      <x:c r="Q114" s="7" t="n">
        <x:v>-0.5082703089794416</x:v>
      </x:c>
      <x:c r="R114" s="7" t="n">
        <x:f>H114+I114*Q114</x:f>
        <x:v>2.8526339909456926</x:v>
      </x:c>
      <x:c r="S114" s="7" t="n">
        <x:f>R114-L114</x:f>
        <x:v>0.8526339909456926</x:v>
      </x:c>
      <x:c r="T114" s="7" t="n">
        <x:f>K114-R114</x:f>
        <x:v>0.36494648271672103</x:v>
      </x:c>
      <x:c r="U114" s="7" t="n">
        <x:f>M114-S114-T114</x:f>
        <x:v>0</x:v>
      </x:c>
    </x:row>
    <x:row r="115" ht="27" customHeight="1">
      <x:c r="A115" s="2"/>
      <x:c r="B115" s="2" t="str">
        <x:v>Beauty | price_contribution | CUUR0000SEGB02</x:v>
      </x:c>
      <x:c r="C115" s="2" t="str">
        <x:v>2024-12-31</x:v>
      </x:c>
      <x:c r="D115" s="2" t="str">
        <x:v>Origin</x:v>
      </x:c>
      <x:c r="E115" s="2" t="str">
        <x:v>2024-10-01</x:v>
      </x:c>
      <x:c r="F115" s="2" t="str">
        <x:v>Flat level</x:v>
      </x:c>
      <x:c r="G115" s="2" t="n">
        <x:v>14</x:v>
      </x:c>
      <x:c r="H115" s="7" t="n">
        <x:v>3.331605891535138</x:v>
      </x:c>
      <x:c r="I115" s="7" t="n">
        <x:v>0.9423566400153798</x:v>
      </x:c>
      <x:c r="J115" s="7" t="n">
        <x:v>-0.016418353623381954</x:v>
      </x:c>
      <x:c r="K115" s="7" t="n">
        <x:f>H115+I115*J115</x:f>
        <x:v>3.3161339469800235</x:v>
      </x:c>
      <x:c r="L115" s="7" t="n">
        <x:v>2</x:v>
      </x:c>
      <x:c r="M115" s="7" t="n">
        <x:f>K115-L115</x:f>
        <x:v>1.3161339469800235</x:v>
      </x:c>
      <x:c r="N115" s="7" t="n">
        <x:f>M115^2</x:f>
        <x:v>1.7322085663932154</x:v>
      </x:c>
      <x:c r="O115" s="7" t="n">
        <x:v>3</x:v>
      </x:c>
      <x:c r="P115" s="7" t="n">
        <x:v>4.5</x:v>
      </x:c>
      <x:c r="Q115" s="7" t="n">
        <x:v>-0.5082703089794416</x:v>
      </x:c>
      <x:c r="R115" s="7" t="n">
        <x:f>H115+I115*Q115</x:f>
        <x:v>2.8526339909456926</x:v>
      </x:c>
      <x:c r="S115" s="7" t="n">
        <x:f>R115-L115</x:f>
        <x:v>0.8526339909456926</x:v>
      </x:c>
      <x:c r="T115" s="7" t="n">
        <x:f>K115-R115</x:f>
        <x:v>0.4634999560343309</x:v>
      </x:c>
      <x:c r="U115" s="7" t="n">
        <x:f>M115-S115-T115</x:f>
        <x:v>0</x:v>
      </x:c>
    </x:row>
    <x:row r="116" ht="27" customHeight="1">
      <x:c r="A116" s="2"/>
      <x:c r="B116" s="2" t="str">
        <x:v>Beauty | price_contribution | CUUR0000SEGB02</x:v>
      </x:c>
      <x:c r="C116" s="2" t="str">
        <x:v>2024-12-31</x:v>
      </x:c>
      <x:c r="D116" s="2" t="str">
        <x:v>Origin</x:v>
      </x:c>
      <x:c r="E116" s="2" t="str">
        <x:v>2024-10-01</x:v>
      </x:c>
      <x:c r="F116" s="2" t="str">
        <x:v>Recent trend</x:v>
      </x:c>
      <x:c r="G116" s="2" t="n">
        <x:v>14</x:v>
      </x:c>
      <x:c r="H116" s="7" t="n">
        <x:v>3.331605891535138</x:v>
      </x:c>
      <x:c r="I116" s="7" t="n">
        <x:v>0.9423566400153798</x:v>
      </x:c>
      <x:c r="J116" s="7" t="n">
        <x:v>0.2909017868059527</x:v>
      </x:c>
      <x:c r="K116" s="7" t="n">
        <x:f>H116+I116*J116</x:f>
        <x:v>3.6057391219240658</x:v>
      </x:c>
      <x:c r="L116" s="7" t="n">
        <x:v>2</x:v>
      </x:c>
      <x:c r="M116" s="7" t="n">
        <x:f>K116-L116</x:f>
        <x:v>1.6057391219240658</x:v>
      </x:c>
      <x:c r="N116" s="7" t="n">
        <x:f>M116^2</x:f>
        <x:v>2.57839812767747</x:v>
      </x:c>
      <x:c r="O116" s="7" t="n">
        <x:v>3</x:v>
      </x:c>
      <x:c r="P116" s="7" t="n">
        <x:v>4.5</x:v>
      </x:c>
      <x:c r="Q116" s="7" t="n">
        <x:v>-0.5082703089794416</x:v>
      </x:c>
      <x:c r="R116" s="7" t="n">
        <x:f>H116+I116*Q116</x:f>
        <x:v>2.8526339909456926</x:v>
      </x:c>
      <x:c r="S116" s="7" t="n">
        <x:f>R116-L116</x:f>
        <x:v>0.8526339909456926</x:v>
      </x:c>
      <x:c r="T116" s="7" t="n">
        <x:f>K116-R116</x:f>
        <x:v>0.7531051309783732</x:v>
      </x:c>
      <x:c r="U116" s="7" t="n">
        <x:f>M116-S116-T116</x:f>
        <x:v>0</x:v>
      </x:c>
    </x:row>
    <x:row r="117" ht="27" customHeight="1">
      <x:c r="A117" s="2"/>
      <x:c r="B117" s="2" t="str">
        <x:v>Beauty | price_contribution | CUUR0000SEGB02</x:v>
      </x:c>
      <x:c r="C117" s="2" t="str">
        <x:v>2024-12-31</x:v>
      </x:c>
      <x:c r="D117" s="2" t="str">
        <x:v>Origin</x:v>
      </x:c>
      <x:c r="E117" s="2" t="str">
        <x:v>2024-10-01</x:v>
      </x:c>
      <x:c r="F117" s="2" t="str">
        <x:v>Seasonal step</x:v>
      </x:c>
      <x:c r="G117" s="2" t="n">
        <x:v>14</x:v>
      </x:c>
      <x:c r="H117" s="7" t="n">
        <x:v>3.331605891535138</x:v>
      </x:c>
      <x:c r="I117" s="7" t="n">
        <x:v>0.9423566400153798</x:v>
      </x:c>
      <x:c r="J117" s="7" t="n">
        <x:v>-0.3623906242188113</x:v>
      </x:c>
      <x:c r="K117" s="7" t="n">
        <x:f>H117+I117*J117</x:f>
        <x:v>2.9901046805232228</x:v>
      </x:c>
      <x:c r="L117" s="7" t="n">
        <x:v>2</x:v>
      </x:c>
      <x:c r="M117" s="7" t="n">
        <x:f>K117-L117</x:f>
        <x:v>0.9901046805232228</x:v>
      </x:c>
      <x:c r="N117" s="7" t="n">
        <x:f>M117^2</x:f>
        <x:v>0.980307278393993</x:v>
      </x:c>
      <x:c r="O117" s="7" t="n">
        <x:v>3</x:v>
      </x:c>
      <x:c r="P117" s="7" t="n">
        <x:v>4.5</x:v>
      </x:c>
      <x:c r="Q117" s="7" t="n">
        <x:v>-0.5082703089794416</x:v>
      </x:c>
      <x:c r="R117" s="7" t="n">
        <x:f>H117+I117*Q117</x:f>
        <x:v>2.8526339909456926</x:v>
      </x:c>
      <x:c r="S117" s="7" t="n">
        <x:f>R117-L117</x:f>
        <x:v>0.8526339909456926</x:v>
      </x:c>
      <x:c r="T117" s="7" t="n">
        <x:f>K117-R117</x:f>
        <x:v>0.13747068957753017</x:v>
      </x:c>
      <x:c r="U117" s="7" t="n">
        <x:f>M117-S117-T117</x:f>
        <x:v>0</x:v>
      </x:c>
    </x:row>
    <x:row r="118" ht="27" customHeight="1">
      <x:c r="A118" s="2"/>
      <x:c r="B118" s="2" t="str">
        <x:v>Beauty | price_contribution | CUUR0000SEGB02</x:v>
      </x:c>
      <x:c r="C118" s="2" t="str">
        <x:v>2024-12-31</x:v>
      </x:c>
      <x:c r="D118" s="2" t="str">
        <x:v>Two months</x:v>
      </x:c>
      <x:c r="E118" s="2" t="str">
        <x:v>2025-01-01</x:v>
      </x:c>
      <x:c r="F118" s="2" t="str">
        <x:v>YoY carry</x:v>
      </x:c>
      <x:c r="G118" s="2" t="n">
        <x:v>15</x:v>
      </x:c>
      <x:c r="H118" s="7" t="n">
        <x:v>3.1145883988274963</x:v>
      </x:c>
      <x:c r="I118" s="7" t="n">
        <x:v>0.9945238475452968</x:v>
      </x:c>
      <x:c r="J118" s="7" t="n">
        <x:v>-0.8358815965943567</x:v>
      </x:c>
      <x:c r="K118" s="7" t="n">
        <x:f>H118+I118*J118</x:f>
        <x:v>2.283284217290171</x:v>
      </x:c>
      <x:c r="L118" s="7" t="n">
        <x:v>2</x:v>
      </x:c>
      <x:c r="M118" s="7" t="n">
        <x:f>K118-L118</x:f>
        <x:v>0.28328421729017084</x:v>
      </x:c>
      <x:c r="N118" s="7" t="n">
        <x:f>M118^2</x:f>
        <x:v>0.08024994776570472</x:v>
      </x:c>
      <x:c r="O118" s="7" t="n">
        <x:v>1</x:v>
      </x:c>
      <x:c r="P118" s="7" t="n">
        <x:v>3</x:v>
      </x:c>
      <x:c r="Q118" s="7" t="n">
        <x:v>-0.5082703089794416</x:v>
      </x:c>
      <x:c r="R118" s="7" t="n">
        <x:f>H118+I118*Q118</x:f>
        <x:v>2.6091014555482253</x:v>
      </x:c>
      <x:c r="S118" s="7" t="n">
        <x:f>R118-L118</x:f>
        <x:v>0.6091014555482253</x:v>
      </x:c>
      <x:c r="T118" s="7" t="n">
        <x:f>K118-R118</x:f>
        <x:v>-0.3258172382580544</x:v>
      </x:c>
      <x:c r="U118" s="7" t="n">
        <x:f>M118-S118-T118</x:f>
        <x:v>0</x:v>
      </x:c>
    </x:row>
    <x:row r="119" ht="27" customHeight="1">
      <x:c r="A119" s="2"/>
      <x:c r="B119" s="2" t="str">
        <x:v>Beauty | price_contribution | CUUR0000SEGB02</x:v>
      </x:c>
      <x:c r="C119" s="2" t="str">
        <x:v>2024-12-31</x:v>
      </x:c>
      <x:c r="D119" s="2" t="str">
        <x:v>Two months</x:v>
      </x:c>
      <x:c r="E119" s="2" t="str">
        <x:v>2025-01-01</x:v>
      </x:c>
      <x:c r="F119" s="2" t="str">
        <x:v>Flat level</x:v>
      </x:c>
      <x:c r="G119" s="2" t="n">
        <x:v>15</x:v>
      </x:c>
      <x:c r="H119" s="7" t="n">
        <x:v>3.1145883988274963</x:v>
      </x:c>
      <x:c r="I119" s="7" t="n">
        <x:v>0.9945238475452968</x:v>
      </x:c>
      <x:c r="J119" s="7" t="n">
        <x:v>-0.1294255322865201</x:v>
      </x:c>
      <x:c r="K119" s="7" t="n">
        <x:f>H119+I119*J119</x:f>
        <x:v>2.985871620487308</x:v>
      </x:c>
      <x:c r="L119" s="7" t="n">
        <x:v>2</x:v>
      </x:c>
      <x:c r="M119" s="7" t="n">
        <x:f>K119-L119</x:f>
        <x:v>0.9858716204873081</x:v>
      </x:c>
      <x:c r="N119" s="7" t="n">
        <x:f>M119^2</x:f>
        <x:v>0.9719428520822709</x:v>
      </x:c>
      <x:c r="O119" s="7" t="n">
        <x:v>1</x:v>
      </x:c>
      <x:c r="P119" s="7" t="n">
        <x:v>3</x:v>
      </x:c>
      <x:c r="Q119" s="7" t="n">
        <x:v>-0.5082703089794416</x:v>
      </x:c>
      <x:c r="R119" s="7" t="n">
        <x:f>H119+I119*Q119</x:f>
        <x:v>2.6091014555482253</x:v>
      </x:c>
      <x:c r="S119" s="7" t="n">
        <x:f>R119-L119</x:f>
        <x:v>0.6091014555482253</x:v>
      </x:c>
      <x:c r="T119" s="7" t="n">
        <x:f>K119-R119</x:f>
        <x:v>0.3767701649390829</x:v>
      </x:c>
      <x:c r="U119" s="7" t="n">
        <x:f>M119-S119-T119</x:f>
        <x:v>0</x:v>
      </x:c>
    </x:row>
    <x:row r="120" ht="27" customHeight="1">
      <x:c r="A120" s="2"/>
      <x:c r="B120" s="2" t="str">
        <x:v>Beauty | price_contribution | CUUR0000SEGB02</x:v>
      </x:c>
      <x:c r="C120" s="2" t="str">
        <x:v>2024-12-31</x:v>
      </x:c>
      <x:c r="D120" s="2" t="str">
        <x:v>Two months</x:v>
      </x:c>
      <x:c r="E120" s="2" t="str">
        <x:v>2025-01-01</x:v>
      </x:c>
      <x:c r="F120" s="2" t="str">
        <x:v>Recent trend</x:v>
      </x:c>
      <x:c r="G120" s="2" t="n">
        <x:v>15</x:v>
      </x:c>
      <x:c r="H120" s="7" t="n">
        <x:v>3.1145883988274963</x:v>
      </x:c>
      <x:c r="I120" s="7" t="n">
        <x:v>0.9945238475452968</x:v>
      </x:c>
      <x:c r="J120" s="7" t="n">
        <x:v>-0.22697500567655515</x:v>
      </x:c>
      <x:c r="K120" s="7" t="n">
        <x:f>H120+I120*J120</x:f>
        <x:v>2.888856342885433</x:v>
      </x:c>
      <x:c r="L120" s="7" t="n">
        <x:v>2</x:v>
      </x:c>
      <x:c r="M120" s="7" t="n">
        <x:f>K120-L120</x:f>
        <x:v>0.888856342885433</x:v>
      </x:c>
      <x:c r="N120" s="7" t="n">
        <x:f>M120^2</x:f>
        <x:v>0.7900655982876665</x:v>
      </x:c>
      <x:c r="O120" s="7" t="n">
        <x:v>1</x:v>
      </x:c>
      <x:c r="P120" s="7" t="n">
        <x:v>3</x:v>
      </x:c>
      <x:c r="Q120" s="7" t="n">
        <x:v>-0.5082703089794416</x:v>
      </x:c>
      <x:c r="R120" s="7" t="n">
        <x:f>H120+I120*Q120</x:f>
        <x:v>2.6091014555482253</x:v>
      </x:c>
      <x:c r="S120" s="7" t="n">
        <x:f>R120-L120</x:f>
        <x:v>0.6091014555482253</x:v>
      </x:c>
      <x:c r="T120" s="7" t="n">
        <x:f>K120-R120</x:f>
        <x:v>0.27975488733720777</x:v>
      </x:c>
      <x:c r="U120" s="7" t="n">
        <x:f>M120-S120-T120</x:f>
        <x:v>0</x:v>
      </x:c>
    </x:row>
    <x:row r="121" ht="27" customHeight="1">
      <x:c r="A121" s="2"/>
      <x:c r="B121" s="2" t="str">
        <x:v>Beauty | price_contribution | CUUR0000SEGB02</x:v>
      </x:c>
      <x:c r="C121" s="2" t="str">
        <x:v>2024-12-31</x:v>
      </x:c>
      <x:c r="D121" s="2" t="str">
        <x:v>Two months</x:v>
      </x:c>
      <x:c r="E121" s="2" t="str">
        <x:v>2025-01-01</x:v>
      </x:c>
      <x:c r="F121" s="2" t="str">
        <x:v>Seasonal step</x:v>
      </x:c>
      <x:c r="G121" s="2" t="n">
        <x:v>15</x:v>
      </x:c>
      <x:c r="H121" s="7" t="n">
        <x:v>3.1145883988274963</x:v>
      </x:c>
      <x:c r="I121" s="7" t="n">
        <x:v>0.9945238475452968</x:v>
      </x:c>
      <x:c r="J121" s="7" t="n">
        <x:v>-0.3882803162885473</x:v>
      </x:c>
      <x:c r="K121" s="7" t="n">
        <x:f>H121+I121*J121</x:f>
        <x:v>2.7284343647461053</x:v>
      </x:c>
      <x:c r="L121" s="7" t="n">
        <x:v>2</x:v>
      </x:c>
      <x:c r="M121" s="7" t="n">
        <x:f>K121-L121</x:f>
        <x:v>0.7284343647461053</x:v>
      </x:c>
      <x:c r="N121" s="7" t="n">
        <x:f>M121^2</x:f>
        <x:v>0.5306166237430621</x:v>
      </x:c>
      <x:c r="O121" s="7" t="n">
        <x:v>1</x:v>
      </x:c>
      <x:c r="P121" s="7" t="n">
        <x:v>3</x:v>
      </x:c>
      <x:c r="Q121" s="7" t="n">
        <x:v>-0.5082703089794416</x:v>
      </x:c>
      <x:c r="R121" s="7" t="n">
        <x:f>H121+I121*Q121</x:f>
        <x:v>2.6091014555482253</x:v>
      </x:c>
      <x:c r="S121" s="7" t="n">
        <x:f>R121-L121</x:f>
        <x:v>0.6091014555482253</x:v>
      </x:c>
      <x:c r="T121" s="7" t="n">
        <x:f>K121-R121</x:f>
        <x:v>0.11933290919788009</x:v>
      </x:c>
      <x:c r="U121" s="7" t="n">
        <x:f>M121-S121-T121</x:f>
        <x:v>0</x:v>
      </x:c>
    </x:row>
    <x:row r="122" ht="27" customHeight="1">
      <x:c r="A122" s="2"/>
      <x:c r="B122" s="2" t="str">
        <x:v>Beauty | price_contribution | CUUR0000SEGB02</x:v>
      </x:c>
      <x:c r="C122" s="2" t="str">
        <x:v>2024-12-31</x:v>
      </x:c>
      <x:c r="D122" s="2" t="str">
        <x:v>Pre-earnings</x:v>
      </x:c>
      <x:c r="E122" s="2" t="str">
        <x:v>2025-01-21</x:v>
      </x:c>
      <x:c r="F122" s="2" t="str">
        <x:v>YoY carry</x:v>
      </x:c>
      <x:c r="G122" s="2" t="n">
        <x:v>15</x:v>
      </x:c>
      <x:c r="H122" s="7" t="n">
        <x:v>3.1145883988274963</x:v>
      </x:c>
      <x:c r="I122" s="7" t="n">
        <x:v>0.9945238475452968</x:v>
      </x:c>
      <x:c r="J122" s="7" t="n">
        <x:v>-0.5082703089794416</x:v>
      </x:c>
      <x:c r="K122" s="7" t="n">
        <x:f>H122+I122*J122</x:f>
        <x:v>2.6091014555482253</x:v>
      </x:c>
      <x:c r="L122" s="7" t="n">
        <x:v>2</x:v>
      </x:c>
      <x:c r="M122" s="7" t="n">
        <x:f>K122-L122</x:f>
        <x:v>0.6091014555482253</x:v>
      </x:c>
      <x:c r="N122" s="7" t="n">
        <x:f>M122^2</x:f>
        <x:v>0.3710045831509666</x:v>
      </x:c>
      <x:c r="O122" s="7" t="n">
        <x:v>1</x:v>
      </x:c>
      <x:c r="P122" s="7" t="n">
        <x:v>3</x:v>
      </x:c>
      <x:c r="Q122" s="7" t="n">
        <x:v>-0.5082703089794416</x:v>
      </x:c>
      <x:c r="R122" s="7" t="n">
        <x:f>H122+I122*Q122</x:f>
        <x:v>2.6091014555482253</x:v>
      </x:c>
      <x:c r="S122" s="7" t="n">
        <x:f>R122-L122</x:f>
        <x:v>0.6091014555482253</x:v>
      </x:c>
      <x:c r="T122" s="7" t="n">
        <x:f>K122-R122</x:f>
        <x:v>0</x:v>
      </x:c>
      <x:c r="U122" s="7" t="n">
        <x:f>M122-S122-T122</x:f>
        <x:v>0</x:v>
      </x:c>
    </x:row>
    <x:row r="123" ht="27" customHeight="1">
      <x:c r="A123" s="2"/>
      <x:c r="B123" s="2" t="str">
        <x:v>Beauty | price_contribution | CUUR0000SEGB02</x:v>
      </x:c>
      <x:c r="C123" s="2" t="str">
        <x:v>2024-12-31</x:v>
      </x:c>
      <x:c r="D123" s="2" t="str">
        <x:v>Pre-earnings</x:v>
      </x:c>
      <x:c r="E123" s="2" t="str">
        <x:v>2025-01-21</x:v>
      </x:c>
      <x:c r="F123" s="2" t="str">
        <x:v>Flat level</x:v>
      </x:c>
      <x:c r="G123" s="2" t="n">
        <x:v>15</x:v>
      </x:c>
      <x:c r="H123" s="7" t="n">
        <x:v>3.1145883988274963</x:v>
      </x:c>
      <x:c r="I123" s="7" t="n">
        <x:v>0.9945238475452968</x:v>
      </x:c>
      <x:c r="J123" s="7" t="n">
        <x:v>-0.5082703089794416</x:v>
      </x:c>
      <x:c r="K123" s="7" t="n">
        <x:f>H123+I123*J123</x:f>
        <x:v>2.6091014555482253</x:v>
      </x:c>
      <x:c r="L123" s="7" t="n">
        <x:v>2</x:v>
      </x:c>
      <x:c r="M123" s="7" t="n">
        <x:f>K123-L123</x:f>
        <x:v>0.6091014555482253</x:v>
      </x:c>
      <x:c r="N123" s="7" t="n">
        <x:f>M123^2</x:f>
        <x:v>0.3710045831509666</x:v>
      </x:c>
      <x:c r="O123" s="7" t="n">
        <x:v>1</x:v>
      </x:c>
      <x:c r="P123" s="7" t="n">
        <x:v>3</x:v>
      </x:c>
      <x:c r="Q123" s="7" t="n">
        <x:v>-0.5082703089794416</x:v>
      </x:c>
      <x:c r="R123" s="7" t="n">
        <x:f>H123+I123*Q123</x:f>
        <x:v>2.6091014555482253</x:v>
      </x:c>
      <x:c r="S123" s="7" t="n">
        <x:f>R123-L123</x:f>
        <x:v>0.6091014555482253</x:v>
      </x:c>
      <x:c r="T123" s="7" t="n">
        <x:f>K123-R123</x:f>
        <x:v>0</x:v>
      </x:c>
      <x:c r="U123" s="7" t="n">
        <x:f>M123-S123-T123</x:f>
        <x:v>0</x:v>
      </x:c>
    </x:row>
    <x:row r="124" ht="27" customHeight="1">
      <x:c r="A124" s="2"/>
      <x:c r="B124" s="2" t="str">
        <x:v>Beauty | price_contribution | CUUR0000SEGB02</x:v>
      </x:c>
      <x:c r="C124" s="2" t="str">
        <x:v>2024-12-31</x:v>
      </x:c>
      <x:c r="D124" s="2" t="str">
        <x:v>Pre-earnings</x:v>
      </x:c>
      <x:c r="E124" s="2" t="str">
        <x:v>2025-01-21</x:v>
      </x:c>
      <x:c r="F124" s="2" t="str">
        <x:v>Recent trend</x:v>
      </x:c>
      <x:c r="G124" s="2" t="n">
        <x:v>15</x:v>
      </x:c>
      <x:c r="H124" s="7" t="n">
        <x:v>3.1145883988274963</x:v>
      </x:c>
      <x:c r="I124" s="7" t="n">
        <x:v>0.9945238475452968</x:v>
      </x:c>
      <x:c r="J124" s="7" t="n">
        <x:v>-0.5082703089794416</x:v>
      </x:c>
      <x:c r="K124" s="7" t="n">
        <x:f>H124+I124*J124</x:f>
        <x:v>2.6091014555482253</x:v>
      </x:c>
      <x:c r="L124" s="7" t="n">
        <x:v>2</x:v>
      </x:c>
      <x:c r="M124" s="7" t="n">
        <x:f>K124-L124</x:f>
        <x:v>0.6091014555482253</x:v>
      </x:c>
      <x:c r="N124" s="7" t="n">
        <x:f>M124^2</x:f>
        <x:v>0.3710045831509666</x:v>
      </x:c>
      <x:c r="O124" s="7" t="n">
        <x:v>1</x:v>
      </x:c>
      <x:c r="P124" s="7" t="n">
        <x:v>3</x:v>
      </x:c>
      <x:c r="Q124" s="7" t="n">
        <x:v>-0.5082703089794416</x:v>
      </x:c>
      <x:c r="R124" s="7" t="n">
        <x:f>H124+I124*Q124</x:f>
        <x:v>2.6091014555482253</x:v>
      </x:c>
      <x:c r="S124" s="7" t="n">
        <x:f>R124-L124</x:f>
        <x:v>0.6091014555482253</x:v>
      </x:c>
      <x:c r="T124" s="7" t="n">
        <x:f>K124-R124</x:f>
        <x:v>0</x:v>
      </x:c>
      <x:c r="U124" s="7" t="n">
        <x:f>M124-S124-T124</x:f>
        <x:v>0</x:v>
      </x:c>
    </x:row>
    <x:row r="125" ht="27" customHeight="1">
      <x:c r="A125" s="2"/>
      <x:c r="B125" s="2" t="str">
        <x:v>Beauty | price_contribution | CUUR0000SEGB02</x:v>
      </x:c>
      <x:c r="C125" s="2" t="str">
        <x:v>2024-12-31</x:v>
      </x:c>
      <x:c r="D125" s="2" t="str">
        <x:v>Pre-earnings</x:v>
      </x:c>
      <x:c r="E125" s="2" t="str">
        <x:v>2025-01-21</x:v>
      </x:c>
      <x:c r="F125" s="2" t="str">
        <x:v>Seasonal step</x:v>
      </x:c>
      <x:c r="G125" s="2" t="n">
        <x:v>15</x:v>
      </x:c>
      <x:c r="H125" s="7" t="n">
        <x:v>3.1145883988274963</x:v>
      </x:c>
      <x:c r="I125" s="7" t="n">
        <x:v>0.9945238475452968</x:v>
      </x:c>
      <x:c r="J125" s="7" t="n">
        <x:v>-0.5082703089794416</x:v>
      </x:c>
      <x:c r="K125" s="7" t="n">
        <x:f>H125+I125*J125</x:f>
        <x:v>2.6091014555482253</x:v>
      </x:c>
      <x:c r="L125" s="7" t="n">
        <x:v>2</x:v>
      </x:c>
      <x:c r="M125" s="7" t="n">
        <x:f>K125-L125</x:f>
        <x:v>0.6091014555482253</x:v>
      </x:c>
      <x:c r="N125" s="7" t="n">
        <x:f>M125^2</x:f>
        <x:v>0.3710045831509666</x:v>
      </x:c>
      <x:c r="O125" s="7" t="n">
        <x:v>1</x:v>
      </x:c>
      <x:c r="P125" s="7" t="n">
        <x:v>3</x:v>
      </x:c>
      <x:c r="Q125" s="7" t="n">
        <x:v>-0.5082703089794416</x:v>
      </x:c>
      <x:c r="R125" s="7" t="n">
        <x:f>H125+I125*Q125</x:f>
        <x:v>2.6091014555482253</x:v>
      </x:c>
      <x:c r="S125" s="7" t="n">
        <x:f>R125-L125</x:f>
        <x:v>0.6091014555482253</x:v>
      </x:c>
      <x:c r="T125" s="7" t="n">
        <x:f>K125-R125</x:f>
        <x:v>0</x:v>
      </x:c>
      <x:c r="U125" s="7" t="n">
        <x:f>M125-S125-T125</x:f>
        <x:v>0</x:v>
      </x:c>
    </x:row>
    <x:row r="126" ht="27" customHeight="1">
      <x:c r="A126" s="2"/>
      <x:c r="B126" s="2" t="str">
        <x:v>Beauty | price_contribution | CUUR0000SEGB02</x:v>
      </x:c>
      <x:c r="C126" s="2" t="str">
        <x:v>2025-03-31</x:v>
      </x:c>
      <x:c r="D126" s="2" t="str">
        <x:v>Origin</x:v>
      </x:c>
      <x:c r="E126" s="2" t="str">
        <x:v>2025-01-01</x:v>
      </x:c>
      <x:c r="F126" s="2" t="str">
        <x:v>YoY carry</x:v>
      </x:c>
      <x:c r="G126" s="2" t="n">
        <x:v>15</x:v>
      </x:c>
      <x:c r="H126" s="7" t="n">
        <x:v>3.1145883988274963</x:v>
      </x:c>
      <x:c r="I126" s="7" t="n">
        <x:v>0.9945238475452968</x:v>
      </x:c>
      <x:c r="J126" s="7" t="n">
        <x:v>-0.7502964547350666</x:v>
      </x:c>
      <x:c r="K126" s="7" t="n">
        <x:f>H126+I126*J126</x:f>
        <x:v>2.3684006818647823</x:v>
      </x:c>
      <x:c r="L126" s="7" t="n">
        <x:v>3</x:v>
      </x:c>
      <x:c r="M126" s="7" t="n">
        <x:f>K126-L126</x:f>
        <x:v>-0.6315993181352177</x:v>
      </x:c>
      <x:c r="N126" s="7" t="n">
        <x:f>M126^2</x:f>
        <x:v>0.398917698668872</x:v>
      </x:c>
      <x:c r="O126" s="7" t="n">
        <x:v>1</x:v>
      </x:c>
      <x:c r="P126" s="7" t="n">
        <x:v>3</x:v>
      </x:c>
      <x:c r="Q126" s="7" t="n">
        <x:v>-0.42034549280647315</x:v>
      </x:c>
      <x:c r="R126" s="7" t="n">
        <x:f>H126+I126*Q126</x:f>
        <x:v>2.696544782023279</x:v>
      </x:c>
      <x:c r="S126" s="7" t="n">
        <x:f>R126-L126</x:f>
        <x:v>-0.30345521797672115</x:v>
      </x:c>
      <x:c r="T126" s="7" t="n">
        <x:f>K126-R126</x:f>
        <x:v>-0.3281441001584966</x:v>
      </x:c>
      <x:c r="U126" s="7" t="n">
        <x:f>M126-S126-T126</x:f>
        <x:v>0</x:v>
      </x:c>
    </x:row>
    <x:row r="127" ht="27" customHeight="1">
      <x:c r="A127" s="2"/>
      <x:c r="B127" s="2" t="str">
        <x:v>Beauty | price_contribution | CUUR0000SEGB02</x:v>
      </x:c>
      <x:c r="C127" s="2" t="str">
        <x:v>2025-03-31</x:v>
      </x:c>
      <x:c r="D127" s="2" t="str">
        <x:v>Origin</x:v>
      </x:c>
      <x:c r="E127" s="2" t="str">
        <x:v>2025-01-01</x:v>
      </x:c>
      <x:c r="F127" s="2" t="str">
        <x:v>Flat level</x:v>
      </x:c>
      <x:c r="G127" s="2" t="n">
        <x:v>15</x:v>
      </x:c>
      <x:c r="H127" s="7" t="n">
        <x:v>3.1145883988274963</x:v>
      </x:c>
      <x:c r="I127" s="7" t="n">
        <x:v>0.9945238475452968</x:v>
      </x:c>
      <x:c r="J127" s="7" t="n">
        <x:v>-0.1326392405395893</x:v>
      </x:c>
      <x:c r="K127" s="7" t="n">
        <x:f>H127+I127*J127</x:f>
        <x:v>2.982675510990578</x:v>
      </x:c>
      <x:c r="L127" s="7" t="n">
        <x:v>3</x:v>
      </x:c>
      <x:c r="M127" s="7" t="n">
        <x:f>K127-L127</x:f>
        <x:v>-0.017324489009422184</x:v>
      </x:c>
      <x:c r="N127" s="7" t="n">
        <x:f>M127^2</x:f>
        <x:v>0.00030013791943759004</x:v>
      </x:c>
      <x:c r="O127" s="7" t="n">
        <x:v>1</x:v>
      </x:c>
      <x:c r="P127" s="7" t="n">
        <x:v>3</x:v>
      </x:c>
      <x:c r="Q127" s="7" t="n">
        <x:v>-0.42034549280647315</x:v>
      </x:c>
      <x:c r="R127" s="7" t="n">
        <x:f>H127+I127*Q127</x:f>
        <x:v>2.696544782023279</x:v>
      </x:c>
      <x:c r="S127" s="7" t="n">
        <x:f>R127-L127</x:f>
        <x:v>-0.30345521797672115</x:v>
      </x:c>
      <x:c r="T127" s="7" t="n">
        <x:f>K127-R127</x:f>
        <x:v>0.28613072896729896</x:v>
      </x:c>
      <x:c r="U127" s="7" t="n">
        <x:f>M127-S127-T127</x:f>
        <x:v>0</x:v>
      </x:c>
    </x:row>
    <x:row r="128" ht="27" customHeight="1">
      <x:c r="A128" s="2"/>
      <x:c r="B128" s="2" t="str">
        <x:v>Beauty | price_contribution | CUUR0000SEGB02</x:v>
      </x:c>
      <x:c r="C128" s="2" t="str">
        <x:v>2025-03-31</x:v>
      </x:c>
      <x:c r="D128" s="2" t="str">
        <x:v>Origin</x:v>
      </x:c>
      <x:c r="E128" s="2" t="str">
        <x:v>2025-01-01</x:v>
      </x:c>
      <x:c r="F128" s="2" t="str">
        <x:v>Recent trend</x:v>
      </x:c>
      <x:c r="G128" s="2" t="n">
        <x:v>15</x:v>
      </x:c>
      <x:c r="H128" s="7" t="n">
        <x:v>3.1145883988274963</x:v>
      </x:c>
      <x:c r="I128" s="7" t="n">
        <x:v>0.9945238475452968</x:v>
      </x:c>
      <x:c r="J128" s="7" t="n">
        <x:v>-1.013367302061774</x:v>
      </x:c>
      <x:c r="K128" s="7" t="n">
        <x:f>H128+I128*J128</x:f>
        <x:v>2.106770450604424</x:v>
      </x:c>
      <x:c r="L128" s="7" t="n">
        <x:v>3</x:v>
      </x:c>
      <x:c r="M128" s="7" t="n">
        <x:f>K128-L128</x:f>
        <x:v>-0.893229549395576</x:v>
      </x:c>
      <x:c r="N128" s="7" t="n">
        <x:f>M128^2</x:f>
        <x:v>0.7978590279134237</x:v>
      </x:c>
      <x:c r="O128" s="7" t="n">
        <x:v>1</x:v>
      </x:c>
      <x:c r="P128" s="7" t="n">
        <x:v>3</x:v>
      </x:c>
      <x:c r="Q128" s="7" t="n">
        <x:v>-0.42034549280647315</x:v>
      </x:c>
      <x:c r="R128" s="7" t="n">
        <x:f>H128+I128*Q128</x:f>
        <x:v>2.696544782023279</x:v>
      </x:c>
      <x:c r="S128" s="7" t="n">
        <x:f>R128-L128</x:f>
        <x:v>-0.30345521797672115</x:v>
      </x:c>
      <x:c r="T128" s="7" t="n">
        <x:f>K128-R128</x:f>
        <x:v>-0.5897743314188548</x:v>
      </x:c>
      <x:c r="U128" s="7" t="n">
        <x:f>M128-S128-T128</x:f>
        <x:v>0</x:v>
      </x:c>
    </x:row>
    <x:row r="129" ht="27" customHeight="1">
      <x:c r="A129" s="2"/>
      <x:c r="B129" s="2" t="str">
        <x:v>Beauty | price_contribution | CUUR0000SEGB02</x:v>
      </x:c>
      <x:c r="C129" s="2" t="str">
        <x:v>2025-03-31</x:v>
      </x:c>
      <x:c r="D129" s="2" t="str">
        <x:v>Origin</x:v>
      </x:c>
      <x:c r="E129" s="2" t="str">
        <x:v>2025-01-01</x:v>
      </x:c>
      <x:c r="F129" s="2" t="str">
        <x:v>Seasonal step</x:v>
      </x:c>
      <x:c r="G129" s="2" t="n">
        <x:v>15</x:v>
      </x:c>
      <x:c r="H129" s="7" t="n">
        <x:v>3.1145883988274963</x:v>
      </x:c>
      <x:c r="I129" s="7" t="n">
        <x:v>0.9945238475452968</x:v>
      </x:c>
      <x:c r="J129" s="7" t="n">
        <x:v>0.3071526246006373</x:v>
      </x:c>
      <x:c r="K129" s="7" t="n">
        <x:f>H129+I129*J129</x:f>
        <x:v>3.420059008828958</x:v>
      </x:c>
      <x:c r="L129" s="7" t="n">
        <x:v>3</x:v>
      </x:c>
      <x:c r="M129" s="7" t="n">
        <x:f>K129-L129</x:f>
        <x:v>0.4200590088289582</x:v>
      </x:c>
      <x:c r="N129" s="7" t="n">
        <x:f>M129^2</x:f>
        <x:v>0.17644957089836677</x:v>
      </x:c>
      <x:c r="O129" s="7" t="n">
        <x:v>1</x:v>
      </x:c>
      <x:c r="P129" s="7" t="n">
        <x:v>3</x:v>
      </x:c>
      <x:c r="Q129" s="7" t="n">
        <x:v>-0.42034549280647315</x:v>
      </x:c>
      <x:c r="R129" s="7" t="n">
        <x:f>H129+I129*Q129</x:f>
        <x:v>2.696544782023279</x:v>
      </x:c>
      <x:c r="S129" s="7" t="n">
        <x:f>R129-L129</x:f>
        <x:v>-0.30345521797672115</x:v>
      </x:c>
      <x:c r="T129" s="7" t="n">
        <x:f>K129-R129</x:f>
        <x:v>0.7235142268056793</x:v>
      </x:c>
      <x:c r="U129" s="7" t="n">
        <x:f>M129-S129-T129</x:f>
        <x:v>0</x:v>
      </x:c>
    </x:row>
    <x:row r="130" ht="27" customHeight="1">
      <x:c r="A130" s="2"/>
      <x:c r="B130" s="2" t="str">
        <x:v>Beauty | price_contribution | CUUR0000SEGB02</x:v>
      </x:c>
      <x:c r="C130" s="2" t="str">
        <x:v>2025-03-31</x:v>
      </x:c>
      <x:c r="D130" s="2" t="str">
        <x:v>Two months</x:v>
      </x:c>
      <x:c r="E130" s="2" t="str">
        <x:v>2025-04-01</x:v>
      </x:c>
      <x:c r="F130" s="2" t="str">
        <x:v>YoY carry</x:v>
      </x:c>
      <x:c r="G130" s="2" t="n">
        <x:v>16</x:v>
      </x:c>
      <x:c r="H130" s="7" t="n">
        <x:v>3.0537999405231164</x:v>
      </x:c>
      <x:c r="I130" s="7" t="n">
        <x:v>1.0097294320897239</x:v>
      </x:c>
      <x:c r="J130" s="7" t="n">
        <x:v>-0.07779916809173004</x:v>
      </x:c>
      <x:c r="K130" s="7" t="n">
        <x:f>H130+I130*J130</x:f>
        <x:v>2.9752438307088007</x:v>
      </x:c>
      <x:c r="L130" s="7" t="n">
        <x:v>3</x:v>
      </x:c>
      <x:c r="M130" s="7" t="n">
        <x:f>K130-L130</x:f>
        <x:v>-0.02475616929119928</x:v>
      </x:c>
      <x:c r="N130" s="7" t="n">
        <x:f>M130^2</x:f>
        <x:v>0.0006128679179745184</x:v>
      </x:c>
      <x:c r="O130" s="7" t="n">
        <x:v>2</x:v>
      </x:c>
      <x:c r="P130" s="7" t="n">
        <x:v>2.5</x:v>
      </x:c>
      <x:c r="Q130" s="7" t="n">
        <x:v>-0.42034549280647315</x:v>
      </x:c>
      <x:c r="R130" s="7" t="n">
        <x:f>H130+I130*Q130</x:f>
        <x:v>2.629364724790161</x:v>
      </x:c>
      <x:c r="S130" s="7" t="n">
        <x:f>R130-L130</x:f>
        <x:v>-0.37063527520983897</x:v>
      </x:c>
      <x:c r="T130" s="7" t="n">
        <x:f>K130-R130</x:f>
        <x:v>0.3458791059186397</x:v>
      </x:c>
      <x:c r="U130" s="7" t="n">
        <x:f>M130-S130-T130</x:f>
        <x:v>0</x:v>
      </x:c>
    </x:row>
    <x:row r="131" ht="27" customHeight="1">
      <x:c r="A131" s="2"/>
      <x:c r="B131" s="2" t="str">
        <x:v>Beauty | price_contribution | CUUR0000SEGB02</x:v>
      </x:c>
      <x:c r="C131" s="2" t="str">
        <x:v>2025-03-31</x:v>
      </x:c>
      <x:c r="D131" s="2" t="str">
        <x:v>Two months</x:v>
      </x:c>
      <x:c r="E131" s="2" t="str">
        <x:v>2025-04-01</x:v>
      </x:c>
      <x:c r="F131" s="2" t="str">
        <x:v>Flat level</x:v>
      </x:c>
      <x:c r="G131" s="2" t="n">
        <x:v>16</x:v>
      </x:c>
      <x:c r="H131" s="7" t="n">
        <x:v>3.0537999405231164</x:v>
      </x:c>
      <x:c r="I131" s="7" t="n">
        <x:v>1.0097294320897239</x:v>
      </x:c>
      <x:c r="J131" s="7" t="n">
        <x:v>-0.4271789543402016</x:v>
      </x:c>
      <x:c r="K131" s="7" t="n">
        <x:f>H131+I131*J131</x:f>
        <x:v>2.6224647775565026</x:v>
      </x:c>
      <x:c r="L131" s="7" t="n">
        <x:v>3</x:v>
      </x:c>
      <x:c r="M131" s="7" t="n">
        <x:f>K131-L131</x:f>
        <x:v>-0.37753522244349735</x:v>
      </x:c>
      <x:c r="N131" s="7" t="n">
        <x:f>M131^2</x:f>
        <x:v>0.14253284418546103</x:v>
      </x:c>
      <x:c r="O131" s="7" t="n">
        <x:v>2</x:v>
      </x:c>
      <x:c r="P131" s="7" t="n">
        <x:v>2.5</x:v>
      </x:c>
      <x:c r="Q131" s="7" t="n">
        <x:v>-0.42034549280647315</x:v>
      </x:c>
      <x:c r="R131" s="7" t="n">
        <x:f>H131+I131*Q131</x:f>
        <x:v>2.629364724790161</x:v>
      </x:c>
      <x:c r="S131" s="7" t="n">
        <x:f>R131-L131</x:f>
        <x:v>-0.37063527520983897</x:v>
      </x:c>
      <x:c r="T131" s="7" t="n">
        <x:f>K131-R131</x:f>
        <x:v>-0.006899947233658388</x:v>
      </x:c>
      <x:c r="U131" s="7" t="n">
        <x:f>M131-S131-T131</x:f>
        <x:v>0</x:v>
      </x:c>
    </x:row>
    <x:row r="132" ht="27" customHeight="1">
      <x:c r="A132" s="2"/>
      <x:c r="B132" s="2" t="str">
        <x:v>Beauty | price_contribution | CUUR0000SEGB02</x:v>
      </x:c>
      <x:c r="C132" s="2" t="str">
        <x:v>2025-03-31</x:v>
      </x:c>
      <x:c r="D132" s="2" t="str">
        <x:v>Two months</x:v>
      </x:c>
      <x:c r="E132" s="2" t="str">
        <x:v>2025-04-01</x:v>
      </x:c>
      <x:c r="F132" s="2" t="str">
        <x:v>Recent trend</x:v>
      </x:c>
      <x:c r="G132" s="2" t="n">
        <x:v>16</x:v>
      </x:c>
      <x:c r="H132" s="7" t="n">
        <x:v>3.0537999405231164</x:v>
      </x:c>
      <x:c r="I132" s="7" t="n">
        <x:v>1.0097294320897239</x:v>
      </x:c>
      <x:c r="J132" s="7" t="n">
        <x:v>-0.2687828203272624</x:v>
      </x:c>
      <x:c r="K132" s="7" t="n">
        <x:f>H132+I132*J132</x:f>
        <x:v>2.7824020159985956</x:v>
      </x:c>
      <x:c r="L132" s="7" t="n">
        <x:v>3</x:v>
      </x:c>
      <x:c r="M132" s="7" t="n">
        <x:f>K132-L132</x:f>
        <x:v>-0.2175979840014044</x:v>
      </x:c>
      <x:c r="N132" s="7" t="n">
        <x:f>M132^2</x:f>
        <x:v>0.047348882641475444</x:v>
      </x:c>
      <x:c r="O132" s="7" t="n">
        <x:v>2</x:v>
      </x:c>
      <x:c r="P132" s="7" t="n">
        <x:v>2.5</x:v>
      </x:c>
      <x:c r="Q132" s="7" t="n">
        <x:v>-0.42034549280647315</x:v>
      </x:c>
      <x:c r="R132" s="7" t="n">
        <x:f>H132+I132*Q132</x:f>
        <x:v>2.629364724790161</x:v>
      </x:c>
      <x:c r="S132" s="7" t="n">
        <x:f>R132-L132</x:f>
        <x:v>-0.37063527520983897</x:v>
      </x:c>
      <x:c r="T132" s="7" t="n">
        <x:f>K132-R132</x:f>
        <x:v>0.15303729120843457</x:v>
      </x:c>
      <x:c r="U132" s="7" t="n">
        <x:f>M132-S132-T132</x:f>
        <x:v>0</x:v>
      </x:c>
    </x:row>
    <x:row r="133" ht="27" customHeight="1">
      <x:c r="A133" s="2"/>
      <x:c r="B133" s="2" t="str">
        <x:v>Beauty | price_contribution | CUUR0000SEGB02</x:v>
      </x:c>
      <x:c r="C133" s="2" t="str">
        <x:v>2025-03-31</x:v>
      </x:c>
      <x:c r="D133" s="2" t="str">
        <x:v>Two months</x:v>
      </x:c>
      <x:c r="E133" s="2" t="str">
        <x:v>2025-04-01</x:v>
      </x:c>
      <x:c r="F133" s="2" t="str">
        <x:v>Seasonal step</x:v>
      </x:c>
      <x:c r="G133" s="2" t="n">
        <x:v>16</x:v>
      </x:c>
      <x:c r="H133" s="7" t="n">
        <x:v>3.0537999405231164</x:v>
      </x:c>
      <x:c r="I133" s="7" t="n">
        <x:v>1.0097294320897239</x:v>
      </x:c>
      <x:c r="J133" s="7" t="n">
        <x:v>-0.3095113188887333</x:v>
      </x:c>
      <x:c r="K133" s="7" t="n">
        <x:f>H133+I133*J133</x:f>
        <x:v>2.7412772522762543</x:v>
      </x:c>
      <x:c r="L133" s="7" t="n">
        <x:v>3</x:v>
      </x:c>
      <x:c r="M133" s="7" t="n">
        <x:f>K133-L133</x:f>
        <x:v>-0.2587227477237457</x:v>
      </x:c>
      <x:c r="N133" s="7" t="n">
        <x:f>M133^2</x:f>
        <x:v>0.06693746018972496</x:v>
      </x:c>
      <x:c r="O133" s="7" t="n">
        <x:v>2</x:v>
      </x:c>
      <x:c r="P133" s="7" t="n">
        <x:v>2.5</x:v>
      </x:c>
      <x:c r="Q133" s="7" t="n">
        <x:v>-0.42034549280647315</x:v>
      </x:c>
      <x:c r="R133" s="7" t="n">
        <x:f>H133+I133*Q133</x:f>
        <x:v>2.629364724790161</x:v>
      </x:c>
      <x:c r="S133" s="7" t="n">
        <x:f>R133-L133</x:f>
        <x:v>-0.37063527520983897</x:v>
      </x:c>
      <x:c r="T133" s="7" t="n">
        <x:f>K133-R133</x:f>
        <x:v>0.11191252748609326</x:v>
      </x:c>
      <x:c r="U133" s="7" t="n">
        <x:f>M133-S133-T133</x:f>
        <x:v>0</x:v>
      </x:c>
    </x:row>
    <x:row r="134" ht="27" customHeight="1">
      <x:c r="A134" s="2"/>
      <x:c r="B134" s="2" t="str">
        <x:v>Beauty | price_contribution | CUUR0000SEGB02</x:v>
      </x:c>
      <x:c r="C134" s="2" t="str">
        <x:v>2025-03-31</x:v>
      </x:c>
      <x:c r="D134" s="2" t="str">
        <x:v>Pre-earnings</x:v>
      </x:c>
      <x:c r="E134" s="2" t="str">
        <x:v>2025-04-23</x:v>
      </x:c>
      <x:c r="F134" s="2" t="str">
        <x:v>YoY carry</x:v>
      </x:c>
      <x:c r="G134" s="2" t="n">
        <x:v>16</x:v>
      </x:c>
      <x:c r="H134" s="7" t="n">
        <x:v>3.0537999405231164</x:v>
      </x:c>
      <x:c r="I134" s="7" t="n">
        <x:v>1.0097294320897239</x:v>
      </x:c>
      <x:c r="J134" s="7" t="n">
        <x:v>-0.42034549280647315</x:v>
      </x:c>
      <x:c r="K134" s="7" t="n">
        <x:f>H134+I134*J134</x:f>
        <x:v>2.629364724790161</x:v>
      </x:c>
      <x:c r="L134" s="7" t="n">
        <x:v>3</x:v>
      </x:c>
      <x:c r="M134" s="7" t="n">
        <x:f>K134-L134</x:f>
        <x:v>-0.37063527520983897</x:v>
      </x:c>
      <x:c r="N134" s="7" t="n">
        <x:f>M134^2</x:f>
        <x:v>0.13737050722987307</x:v>
      </x:c>
      <x:c r="O134" s="7" t="n">
        <x:v>2</x:v>
      </x:c>
      <x:c r="P134" s="7" t="n">
        <x:v>2.5</x:v>
      </x:c>
      <x:c r="Q134" s="7" t="n">
        <x:v>-0.42034549280647315</x:v>
      </x:c>
      <x:c r="R134" s="7" t="n">
        <x:f>H134+I134*Q134</x:f>
        <x:v>2.629364724790161</x:v>
      </x:c>
      <x:c r="S134" s="7" t="n">
        <x:f>R134-L134</x:f>
        <x:v>-0.37063527520983897</x:v>
      </x:c>
      <x:c r="T134" s="7" t="n">
        <x:f>K134-R134</x:f>
        <x:v>0</x:v>
      </x:c>
      <x:c r="U134" s="7" t="n">
        <x:f>M134-S134-T134</x:f>
        <x:v>0</x:v>
      </x:c>
    </x:row>
    <x:row r="135" ht="27" customHeight="1">
      <x:c r="A135" s="2"/>
      <x:c r="B135" s="2" t="str">
        <x:v>Beauty | price_contribution | CUUR0000SEGB02</x:v>
      </x:c>
      <x:c r="C135" s="2" t="str">
        <x:v>2025-03-31</x:v>
      </x:c>
      <x:c r="D135" s="2" t="str">
        <x:v>Pre-earnings</x:v>
      </x:c>
      <x:c r="E135" s="2" t="str">
        <x:v>2025-04-23</x:v>
      </x:c>
      <x:c r="F135" s="2" t="str">
        <x:v>Flat level</x:v>
      </x:c>
      <x:c r="G135" s="2" t="n">
        <x:v>16</x:v>
      </x:c>
      <x:c r="H135" s="7" t="n">
        <x:v>3.0537999405231164</x:v>
      </x:c>
      <x:c r="I135" s="7" t="n">
        <x:v>1.0097294320897239</x:v>
      </x:c>
      <x:c r="J135" s="7" t="n">
        <x:v>-0.42034549280647315</x:v>
      </x:c>
      <x:c r="K135" s="7" t="n">
        <x:f>H135+I135*J135</x:f>
        <x:v>2.629364724790161</x:v>
      </x:c>
      <x:c r="L135" s="7" t="n">
        <x:v>3</x:v>
      </x:c>
      <x:c r="M135" s="7" t="n">
        <x:f>K135-L135</x:f>
        <x:v>-0.37063527520983897</x:v>
      </x:c>
      <x:c r="N135" s="7" t="n">
        <x:f>M135^2</x:f>
        <x:v>0.13737050722987307</x:v>
      </x:c>
      <x:c r="O135" s="7" t="n">
        <x:v>2</x:v>
      </x:c>
      <x:c r="P135" s="7" t="n">
        <x:v>2.5</x:v>
      </x:c>
      <x:c r="Q135" s="7" t="n">
        <x:v>-0.42034549280647315</x:v>
      </x:c>
      <x:c r="R135" s="7" t="n">
        <x:f>H135+I135*Q135</x:f>
        <x:v>2.629364724790161</x:v>
      </x:c>
      <x:c r="S135" s="7" t="n">
        <x:f>R135-L135</x:f>
        <x:v>-0.37063527520983897</x:v>
      </x:c>
      <x:c r="T135" s="7" t="n">
        <x:f>K135-R135</x:f>
        <x:v>0</x:v>
      </x:c>
      <x:c r="U135" s="7" t="n">
        <x:f>M135-S135-T135</x:f>
        <x:v>0</x:v>
      </x:c>
    </x:row>
    <x:row r="136" ht="27" customHeight="1">
      <x:c r="A136" s="2"/>
      <x:c r="B136" s="2" t="str">
        <x:v>Beauty | price_contribution | CUUR0000SEGB02</x:v>
      </x:c>
      <x:c r="C136" s="2" t="str">
        <x:v>2025-03-31</x:v>
      </x:c>
      <x:c r="D136" s="2" t="str">
        <x:v>Pre-earnings</x:v>
      </x:c>
      <x:c r="E136" s="2" t="str">
        <x:v>2025-04-23</x:v>
      </x:c>
      <x:c r="F136" s="2" t="str">
        <x:v>Recent trend</x:v>
      </x:c>
      <x:c r="G136" s="2" t="n">
        <x:v>16</x:v>
      </x:c>
      <x:c r="H136" s="7" t="n">
        <x:v>3.0537999405231164</x:v>
      </x:c>
      <x:c r="I136" s="7" t="n">
        <x:v>1.0097294320897239</x:v>
      </x:c>
      <x:c r="J136" s="7" t="n">
        <x:v>-0.42034549280647315</x:v>
      </x:c>
      <x:c r="K136" s="7" t="n">
        <x:f>H136+I136*J136</x:f>
        <x:v>2.629364724790161</x:v>
      </x:c>
      <x:c r="L136" s="7" t="n">
        <x:v>3</x:v>
      </x:c>
      <x:c r="M136" s="7" t="n">
        <x:f>K136-L136</x:f>
        <x:v>-0.37063527520983897</x:v>
      </x:c>
      <x:c r="N136" s="7" t="n">
        <x:f>M136^2</x:f>
        <x:v>0.13737050722987307</x:v>
      </x:c>
      <x:c r="O136" s="7" t="n">
        <x:v>2</x:v>
      </x:c>
      <x:c r="P136" s="7" t="n">
        <x:v>2.5</x:v>
      </x:c>
      <x:c r="Q136" s="7" t="n">
        <x:v>-0.42034549280647315</x:v>
      </x:c>
      <x:c r="R136" s="7" t="n">
        <x:f>H136+I136*Q136</x:f>
        <x:v>2.629364724790161</x:v>
      </x:c>
      <x:c r="S136" s="7" t="n">
        <x:f>R136-L136</x:f>
        <x:v>-0.37063527520983897</x:v>
      </x:c>
      <x:c r="T136" s="7" t="n">
        <x:f>K136-R136</x:f>
        <x:v>0</x:v>
      </x:c>
      <x:c r="U136" s="7" t="n">
        <x:f>M136-S136-T136</x:f>
        <x:v>0</x:v>
      </x:c>
    </x:row>
    <x:row r="137" ht="27" customHeight="1">
      <x:c r="A137" s="2"/>
      <x:c r="B137" s="2" t="str">
        <x:v>Beauty | price_contribution | CUUR0000SEGB02</x:v>
      </x:c>
      <x:c r="C137" s="2" t="str">
        <x:v>2025-03-31</x:v>
      </x:c>
      <x:c r="D137" s="2" t="str">
        <x:v>Pre-earnings</x:v>
      </x:c>
      <x:c r="E137" s="2" t="str">
        <x:v>2025-04-23</x:v>
      </x:c>
      <x:c r="F137" s="2" t="str">
        <x:v>Seasonal step</x:v>
      </x:c>
      <x:c r="G137" s="2" t="n">
        <x:v>16</x:v>
      </x:c>
      <x:c r="H137" s="7" t="n">
        <x:v>3.0537999405231164</x:v>
      </x:c>
      <x:c r="I137" s="7" t="n">
        <x:v>1.0097294320897239</x:v>
      </x:c>
      <x:c r="J137" s="7" t="n">
        <x:v>-0.42034549280647315</x:v>
      </x:c>
      <x:c r="K137" s="7" t="n">
        <x:f>H137+I137*J137</x:f>
        <x:v>2.629364724790161</x:v>
      </x:c>
      <x:c r="L137" s="7" t="n">
        <x:v>3</x:v>
      </x:c>
      <x:c r="M137" s="7" t="n">
        <x:f>K137-L137</x:f>
        <x:v>-0.37063527520983897</x:v>
      </x:c>
      <x:c r="N137" s="7" t="n">
        <x:f>M137^2</x:f>
        <x:v>0.13737050722987307</x:v>
      </x:c>
      <x:c r="O137" s="7" t="n">
        <x:v>2</x:v>
      </x:c>
      <x:c r="P137" s="7" t="n">
        <x:v>2.5</x:v>
      </x:c>
      <x:c r="Q137" s="7" t="n">
        <x:v>-0.42034549280647315</x:v>
      </x:c>
      <x:c r="R137" s="7" t="n">
        <x:f>H137+I137*Q137</x:f>
        <x:v>2.629364724790161</x:v>
      </x:c>
      <x:c r="S137" s="7" t="n">
        <x:f>R137-L137</x:f>
        <x:v>-0.37063527520983897</x:v>
      </x:c>
      <x:c r="T137" s="7" t="n">
        <x:f>K137-R137</x:f>
        <x:v>0</x:v>
      </x:c>
      <x:c r="U137" s="7" t="n">
        <x:f>M137-S137-T137</x:f>
        <x:v>0</x:v>
      </x:c>
    </x:row>
    <x:row r="138" ht="27" customHeight="1">
      <x:c r="A138" s="2"/>
      <x:c r="B138" s="2" t="str">
        <x:v>Beauty | price_contribution | CUUR0000SEGB02</x:v>
      </x:c>
      <x:c r="C138" s="2" t="str">
        <x:v>2025-06-30</x:v>
      </x:c>
      <x:c r="D138" s="2" t="str">
        <x:v>Origin</x:v>
      </x:c>
      <x:c r="E138" s="2" t="str">
        <x:v>2025-04-01</x:v>
      </x:c>
      <x:c r="F138" s="2" t="str">
        <x:v>YoY carry</x:v>
      </x:c>
      <x:c r="G138" s="2" t="n">
        <x:v>16</x:v>
      </x:c>
      <x:c r="H138" s="7" t="n">
        <x:v>3.0537999405231164</x:v>
      </x:c>
      <x:c r="I138" s="7" t="n">
        <x:v>1.0097294320897239</x:v>
      </x:c>
      <x:c r="J138" s="7" t="n">
        <x:v>0.00729817275733069</x:v>
      </x:c>
      <x:c r="K138" s="7" t="n">
        <x:f>H138+I138*J138</x:f>
        <x:v>3.0611691203566687</x:v>
      </x:c>
      <x:c r="L138" s="7" t="n">
        <x:v>1</x:v>
      </x:c>
      <x:c r="M138" s="7" t="n">
        <x:f>K138-L138</x:f>
        <x:v>2.0611691203566687</x:v>
      </x:c>
      <x:c r="N138" s="7" t="n">
        <x:f>M138^2</x:f>
        <x:v>4.248418142711883</x:v>
      </x:c>
      <x:c r="O138" s="7" t="n">
        <x:v>2</x:v>
      </x:c>
      <x:c r="P138" s="7" t="n">
        <x:v>2.5</x:v>
      </x:c>
      <x:c r="Q138" s="7" t="n">
        <x:v>0.06623166364128075</x:v>
      </x:c>
      <x:c r="R138" s="7" t="n">
        <x:f>H138+I138*Q138</x:f>
        <x:v>3.1206760006379843</x:v>
      </x:c>
      <x:c r="S138" s="7" t="n">
        <x:f>R138-L138</x:f>
        <x:v>2.1206760006379843</x:v>
      </x:c>
      <x:c r="T138" s="7" t="n">
        <x:f>K138-R138</x:f>
        <x:v>-0.05950688028131568</x:v>
      </x:c>
      <x:c r="U138" s="7" t="n">
        <x:f>M138-S138-T138</x:f>
        <x:v>0</x:v>
      </x:c>
    </x:row>
    <x:row r="139" ht="27" customHeight="1">
      <x:c r="A139" s="2"/>
      <x:c r="B139" s="2" t="str">
        <x:v>Beauty | price_contribution | CUUR0000SEGB02</x:v>
      </x:c>
      <x:c r="C139" s="2" t="str">
        <x:v>2025-06-30</x:v>
      </x:c>
      <x:c r="D139" s="2" t="str">
        <x:v>Origin</x:v>
      </x:c>
      <x:c r="E139" s="2" t="str">
        <x:v>2025-04-01</x:v>
      </x:c>
      <x:c r="F139" s="2" t="str">
        <x:v>Flat level</x:v>
      </x:c>
      <x:c r="G139" s="2" t="n">
        <x:v>16</x:v>
      </x:c>
      <x:c r="H139" s="7" t="n">
        <x:v>3.0537999405231164</x:v>
      </x:c>
      <x:c r="I139" s="7" t="n">
        <x:v>1.0097294320897239</x:v>
      </x:c>
      <x:c r="J139" s="7" t="n">
        <x:v>-0.3229231642615238</x:v>
      </x:c>
      <x:c r="K139" s="7" t="n">
        <x:f>H139+I139*J139</x:f>
        <x:v>2.727734917264711</x:v>
      </x:c>
      <x:c r="L139" s="7" t="n">
        <x:v>1</x:v>
      </x:c>
      <x:c r="M139" s="7" t="n">
        <x:f>K139-L139</x:f>
        <x:v>1.7277349172647112</x:v>
      </x:c>
      <x:c r="N139" s="7" t="n">
        <x:f>M139^2</x:f>
        <x:v>2.9850679443356984</x:v>
      </x:c>
      <x:c r="O139" s="7" t="n">
        <x:v>2</x:v>
      </x:c>
      <x:c r="P139" s="7" t="n">
        <x:v>2.5</x:v>
      </x:c>
      <x:c r="Q139" s="7" t="n">
        <x:v>0.06623166364128075</x:v>
      </x:c>
      <x:c r="R139" s="7" t="n">
        <x:f>H139+I139*Q139</x:f>
        <x:v>3.1206760006379843</x:v>
      </x:c>
      <x:c r="S139" s="7" t="n">
        <x:f>R139-L139</x:f>
        <x:v>2.1206760006379843</x:v>
      </x:c>
      <x:c r="T139" s="7" t="n">
        <x:f>K139-R139</x:f>
        <x:v>-0.39294108337327316</x:v>
      </x:c>
      <x:c r="U139" s="7" t="n">
        <x:f>M139-S139-T139</x:f>
        <x:v>0</x:v>
      </x:c>
    </x:row>
    <x:row r="140" ht="27" customHeight="1">
      <x:c r="A140" s="2"/>
      <x:c r="B140" s="2" t="str">
        <x:v>Beauty | price_contribution | CUUR0000SEGB02</x:v>
      </x:c>
      <x:c r="C140" s="2" t="str">
        <x:v>2025-06-30</x:v>
      </x:c>
      <x:c r="D140" s="2" t="str">
        <x:v>Origin</x:v>
      </x:c>
      <x:c r="E140" s="2" t="str">
        <x:v>2025-04-01</x:v>
      </x:c>
      <x:c r="F140" s="2" t="str">
        <x:v>Recent trend</x:v>
      </x:c>
      <x:c r="G140" s="2" t="n">
        <x:v>16</x:v>
      </x:c>
      <x:c r="H140" s="7" t="n">
        <x:v>3.0537999405231164</x:v>
      </x:c>
      <x:c r="I140" s="7" t="n">
        <x:v>1.0097294320897239</x:v>
      </x:c>
      <x:c r="J140" s="7" t="n">
        <x:v>1.102634548398207</x:v>
      </x:c>
      <x:c r="K140" s="7" t="n">
        <x:f>H140+I140*J140</x:f>
        <x:v>4.167162496879747</x:v>
      </x:c>
      <x:c r="L140" s="7" t="n">
        <x:v>1</x:v>
      </x:c>
      <x:c r="M140" s="7" t="n">
        <x:f>K140-L140</x:f>
        <x:v>3.1671624968797474</x:v>
      </x:c>
      <x:c r="N140" s="7" t="n">
        <x:f>M140^2</x:f>
        <x:v>10.030918281641556</x:v>
      </x:c>
      <x:c r="O140" s="7" t="n">
        <x:v>2</x:v>
      </x:c>
      <x:c r="P140" s="7" t="n">
        <x:v>2.5</x:v>
      </x:c>
      <x:c r="Q140" s="7" t="n">
        <x:v>0.06623166364128075</x:v>
      </x:c>
      <x:c r="R140" s="7" t="n">
        <x:f>H140+I140*Q140</x:f>
        <x:v>3.1206760006379843</x:v>
      </x:c>
      <x:c r="S140" s="7" t="n">
        <x:f>R140-L140</x:f>
        <x:v>2.1206760006379843</x:v>
      </x:c>
      <x:c r="T140" s="7" t="n">
        <x:f>K140-R140</x:f>
        <x:v>1.046486496241763</x:v>
      </x:c>
      <x:c r="U140" s="7" t="n">
        <x:f>M140-S140-T140</x:f>
        <x:v>0</x:v>
      </x:c>
    </x:row>
    <x:row r="141" ht="27" customHeight="1">
      <x:c r="A141" s="2"/>
      <x:c r="B141" s="2" t="str">
        <x:v>Beauty | price_contribution | CUUR0000SEGB02</x:v>
      </x:c>
      <x:c r="C141" s="2" t="str">
        <x:v>2025-06-30</x:v>
      </x:c>
      <x:c r="D141" s="2" t="str">
        <x:v>Origin</x:v>
      </x:c>
      <x:c r="E141" s="2" t="str">
        <x:v>2025-04-01</x:v>
      </x:c>
      <x:c r="F141" s="2" t="str">
        <x:v>Seasonal step</x:v>
      </x:c>
      <x:c r="G141" s="2" t="n">
        <x:v>16</x:v>
      </x:c>
      <x:c r="H141" s="7" t="n">
        <x:v>3.0537999405231164</x:v>
      </x:c>
      <x:c r="I141" s="7" t="n">
        <x:v>1.0097294320897239</x:v>
      </x:c>
      <x:c r="J141" s="7" t="n">
        <x:v>-0.32568217597741533</x:v>
      </x:c>
      <x:c r="K141" s="7" t="n">
        <x:f>H141+I141*J141</x:f>
        <x:v>2.7249490619316954</x:v>
      </x:c>
      <x:c r="L141" s="7" t="n">
        <x:v>1</x:v>
      </x:c>
      <x:c r="M141" s="7" t="n">
        <x:f>K141-L141</x:f>
        <x:v>1.7249490619316954</x:v>
      </x:c>
      <x:c r="N141" s="7" t="n">
        <x:f>M141^2</x:f>
        <x:v>2.975449266259036</x:v>
      </x:c>
      <x:c r="O141" s="7" t="n">
        <x:v>2</x:v>
      </x:c>
      <x:c r="P141" s="7" t="n">
        <x:v>2.5</x:v>
      </x:c>
      <x:c r="Q141" s="7" t="n">
        <x:v>0.06623166364128075</x:v>
      </x:c>
      <x:c r="R141" s="7" t="n">
        <x:f>H141+I141*Q141</x:f>
        <x:v>3.1206760006379843</x:v>
      </x:c>
      <x:c r="S141" s="7" t="n">
        <x:f>R141-L141</x:f>
        <x:v>2.1206760006379843</x:v>
      </x:c>
      <x:c r="T141" s="7" t="n">
        <x:f>K141-R141</x:f>
        <x:v>-0.39572693870628894</x:v>
      </x:c>
      <x:c r="U141" s="7" t="n">
        <x:f>M141-S141-T141</x:f>
        <x:v>0</x:v>
      </x:c>
    </x:row>
    <x:row r="142" ht="27" customHeight="1">
      <x:c r="A142" s="2"/>
      <x:c r="B142" s="2" t="str">
        <x:v>Beauty | price_contribution | CUUR0000SEGB02</x:v>
      </x:c>
      <x:c r="C142" s="2" t="str">
        <x:v>2025-06-30</x:v>
      </x:c>
      <x:c r="D142" s="2" t="str">
        <x:v>Two months</x:v>
      </x:c>
      <x:c r="E142" s="2" t="str">
        <x:v>2025-07-01</x:v>
      </x:c>
      <x:c r="F142" s="2" t="str">
        <x:v>YoY carry</x:v>
      </x:c>
      <x:c r="G142" s="2" t="n">
        <x:v>17</x:v>
      </x:c>
      <x:c r="H142" s="7" t="n">
        <x:v>3.086630304343101</x:v>
      </x:c>
      <x:c r="I142" s="7" t="n">
        <x:v>1.0017468530241134</x:v>
      </x:c>
      <x:c r="J142" s="7" t="n">
        <x:v>-0.17651054267793231</x:v>
      </x:c>
      <x:c r="K142" s="7" t="n">
        <x:f>H142+I142*J142</x:f>
        <x:v>2.909811423689904</x:v>
      </x:c>
      <x:c r="L142" s="7" t="n">
        <x:v>1</x:v>
      </x:c>
      <x:c r="M142" s="7" t="n">
        <x:f>K142-L142</x:f>
        <x:v>1.909811423689904</x:v>
      </x:c>
      <x:c r="N142" s="7" t="n">
        <x:f>M142^2</x:f>
        <x:v>3.647379674056458</x:v>
      </x:c>
      <x:c r="O142" s="7" t="n">
        <x:v>3</x:v>
      </x:c>
      <x:c r="P142" s="7" t="n">
        <x:v>2.25</x:v>
      </x:c>
      <x:c r="Q142" s="7" t="n">
        <x:v>0.06623166364128075</x:v>
      </x:c>
      <x:c r="R142" s="7" t="n">
        <x:f>H142+I142*Q142</x:f>
        <x:v>3.1529776649663055</x:v>
      </x:c>
      <x:c r="S142" s="7" t="n">
        <x:f>R142-L142</x:f>
        <x:v>2.1529776649663055</x:v>
      </x:c>
      <x:c r="T142" s="7" t="n">
        <x:f>K142-R142</x:f>
        <x:v>-0.24316624127640152</x:v>
      </x:c>
      <x:c r="U142" s="7" t="n">
        <x:f>M142-S142-T142</x:f>
        <x:v>0</x:v>
      </x:c>
    </x:row>
    <x:row r="143" ht="27" customHeight="1">
      <x:c r="A143" s="2"/>
      <x:c r="B143" s="2" t="str">
        <x:v>Beauty | price_contribution | CUUR0000SEGB02</x:v>
      </x:c>
      <x:c r="C143" s="2" t="str">
        <x:v>2025-06-30</x:v>
      </x:c>
      <x:c r="D143" s="2" t="str">
        <x:v>Two months</x:v>
      </x:c>
      <x:c r="E143" s="2" t="str">
        <x:v>2025-07-01</x:v>
      </x:c>
      <x:c r="F143" s="2" t="str">
        <x:v>Flat level</x:v>
      </x:c>
      <x:c r="G143" s="2" t="n">
        <x:v>17</x:v>
      </x:c>
      <x:c r="H143" s="7" t="n">
        <x:v>3.086630304343101</x:v>
      </x:c>
      <x:c r="I143" s="7" t="n">
        <x:v>1.0017468530241134</x:v>
      </x:c>
      <x:c r="J143" s="7" t="n">
        <x:v>-0.22690477358583427</x:v>
      </x:c>
      <x:c r="K143" s="7" t="n">
        <x:f>H143+I143*J143</x:f>
        <x:v>2.8593291614673424</x:v>
      </x:c>
      <x:c r="L143" s="7" t="n">
        <x:v>1</x:v>
      </x:c>
      <x:c r="M143" s="7" t="n">
        <x:f>K143-L143</x:f>
        <x:v>1.8593291614673424</x:v>
      </x:c>
      <x:c r="N143" s="7" t="n">
        <x:f>M143^2</x:f>
        <x:v>3.4571049306828505</x:v>
      </x:c>
      <x:c r="O143" s="7" t="n">
        <x:v>3</x:v>
      </x:c>
      <x:c r="P143" s="7" t="n">
        <x:v>2.25</x:v>
      </x:c>
      <x:c r="Q143" s="7" t="n">
        <x:v>0.06623166364128075</x:v>
      </x:c>
      <x:c r="R143" s="7" t="n">
        <x:f>H143+I143*Q143</x:f>
        <x:v>3.1529776649663055</x:v>
      </x:c>
      <x:c r="S143" s="7" t="n">
        <x:f>R143-L143</x:f>
        <x:v>2.1529776649663055</x:v>
      </x:c>
      <x:c r="T143" s="7" t="n">
        <x:f>K143-R143</x:f>
        <x:v>-0.2936485034989631</x:v>
      </x:c>
      <x:c r="U143" s="7" t="n">
        <x:f>M143-S143-T143</x:f>
        <x:v>0</x:v>
      </x:c>
    </x:row>
    <x:row r="144" ht="27" customHeight="1">
      <x:c r="A144" s="2"/>
      <x:c r="B144" s="2" t="str">
        <x:v>Beauty | price_contribution | CUUR0000SEGB02</x:v>
      </x:c>
      <x:c r="C144" s="2" t="str">
        <x:v>2025-06-30</x:v>
      </x:c>
      <x:c r="D144" s="2" t="str">
        <x:v>Two months</x:v>
      </x:c>
      <x:c r="E144" s="2" t="str">
        <x:v>2025-07-01</x:v>
      </x:c>
      <x:c r="F144" s="2" t="str">
        <x:v>Recent trend</x:v>
      </x:c>
      <x:c r="G144" s="2" t="n">
        <x:v>17</x:v>
      </x:c>
      <x:c r="H144" s="7" t="n">
        <x:v>3.086630304343101</x:v>
      </x:c>
      <x:c r="I144" s="7" t="n">
        <x:v>1.0017468530241134</x:v>
      </x:c>
      <x:c r="J144" s="7" t="n">
        <x:v>-0.2502961151099381</x:v>
      </x:c>
      <x:c r="K144" s="7" t="n">
        <x:f>H144+I144*J144</x:f>
        <x:v>2.835896958707559</x:v>
      </x:c>
      <x:c r="L144" s="7" t="n">
        <x:v>1</x:v>
      </x:c>
      <x:c r="M144" s="7" t="n">
        <x:f>K144-L144</x:f>
        <x:v>1.835896958707559</x:v>
      </x:c>
      <x:c r="N144" s="7" t="n">
        <x:f>M144^2</x:f>
        <x:v>3.370517642991665</x:v>
      </x:c>
      <x:c r="O144" s="7" t="n">
        <x:v>3</x:v>
      </x:c>
      <x:c r="P144" s="7" t="n">
        <x:v>2.25</x:v>
      </x:c>
      <x:c r="Q144" s="7" t="n">
        <x:v>0.06623166364128075</x:v>
      </x:c>
      <x:c r="R144" s="7" t="n">
        <x:f>H144+I144*Q144</x:f>
        <x:v>3.1529776649663055</x:v>
      </x:c>
      <x:c r="S144" s="7" t="n">
        <x:f>R144-L144</x:f>
        <x:v>2.1529776649663055</x:v>
      </x:c>
      <x:c r="T144" s="7" t="n">
        <x:f>K144-R144</x:f>
        <x:v>-0.3170807062587464</x:v>
      </x:c>
      <x:c r="U144" s="7" t="n">
        <x:f>M144-S144-T144</x:f>
        <x:v>0</x:v>
      </x:c>
    </x:row>
    <x:row r="145" ht="27" customHeight="1">
      <x:c r="A145" s="2"/>
      <x:c r="B145" s="2" t="str">
        <x:v>Beauty | price_contribution | CUUR0000SEGB02</x:v>
      </x:c>
      <x:c r="C145" s="2" t="str">
        <x:v>2025-06-30</x:v>
      </x:c>
      <x:c r="D145" s="2" t="str">
        <x:v>Two months</x:v>
      </x:c>
      <x:c r="E145" s="2" t="str">
        <x:v>2025-07-01</x:v>
      </x:c>
      <x:c r="F145" s="2" t="str">
        <x:v>Seasonal step</x:v>
      </x:c>
      <x:c r="G145" s="2" t="n">
        <x:v>17</x:v>
      </x:c>
      <x:c r="H145" s="7" t="n">
        <x:v>3.086630304343101</x:v>
      </x:c>
      <x:c r="I145" s="7" t="n">
        <x:v>1.0017468530241134</x:v>
      </x:c>
      <x:c r="J145" s="7" t="n">
        <x:v>-0.15897474867299088</x:v>
      </x:c>
      <x:c r="K145" s="7" t="n">
        <x:f>H145+I145*J145</x:f>
        <x:v>2.927377850149633</x:v>
      </x:c>
      <x:c r="L145" s="7" t="n">
        <x:v>1</x:v>
      </x:c>
      <x:c r="M145" s="7" t="n">
        <x:f>K145-L145</x:f>
        <x:v>1.9273778501496328</x:v>
      </x:c>
      <x:c r="N145" s="7" t="n">
        <x:f>M145^2</x:f>
        <x:v>3.7147853772474204</x:v>
      </x:c>
      <x:c r="O145" s="7" t="n">
        <x:v>3</x:v>
      </x:c>
      <x:c r="P145" s="7" t="n">
        <x:v>2.25</x:v>
      </x:c>
      <x:c r="Q145" s="7" t="n">
        <x:v>0.06623166364128075</x:v>
      </x:c>
      <x:c r="R145" s="7" t="n">
        <x:f>H145+I145*Q145</x:f>
        <x:v>3.1529776649663055</x:v>
      </x:c>
      <x:c r="S145" s="7" t="n">
        <x:f>R145-L145</x:f>
        <x:v>2.1529776649663055</x:v>
      </x:c>
      <x:c r="T145" s="7" t="n">
        <x:f>K145-R145</x:f>
        <x:v>-0.22559981481667268</x:v>
      </x:c>
      <x:c r="U145" s="7" t="n">
        <x:f>M145-S145-T145</x:f>
        <x:v>0</x:v>
      </x:c>
    </x:row>
    <x:row r="146" ht="27" customHeight="1">
      <x:c r="A146" s="2"/>
      <x:c r="B146" s="2" t="str">
        <x:v>Beauty | price_contribution | CUUR0000SEGB02</x:v>
      </x:c>
      <x:c r="C146" s="2" t="str">
        <x:v>2025-06-30</x:v>
      </x:c>
      <x:c r="D146" s="2" t="str">
        <x:v>Pre-earnings</x:v>
      </x:c>
      <x:c r="E146" s="2" t="str">
        <x:v>2025-07-28</x:v>
      </x:c>
      <x:c r="F146" s="2" t="str">
        <x:v>YoY carry</x:v>
      </x:c>
      <x:c r="G146" s="2" t="n">
        <x:v>17</x:v>
      </x:c>
      <x:c r="H146" s="7" t="n">
        <x:v>3.086630304343101</x:v>
      </x:c>
      <x:c r="I146" s="7" t="n">
        <x:v>1.0017468530241134</x:v>
      </x:c>
      <x:c r="J146" s="7" t="n">
        <x:v>0.06623166364128075</x:v>
      </x:c>
      <x:c r="K146" s="7" t="n">
        <x:f>H146+I146*J146</x:f>
        <x:v>3.1529776649663055</x:v>
      </x:c>
      <x:c r="L146" s="7" t="n">
        <x:v>1</x:v>
      </x:c>
      <x:c r="M146" s="7" t="n">
        <x:f>K146-L146</x:f>
        <x:v>2.1529776649663055</x:v>
      </x:c>
      <x:c r="N146" s="7" t="n">
        <x:f>M146^2</x:f>
        <x:v>4.635312825843765</x:v>
      </x:c>
      <x:c r="O146" s="7" t="n">
        <x:v>3</x:v>
      </x:c>
      <x:c r="P146" s="7" t="n">
        <x:v>2.25</x:v>
      </x:c>
      <x:c r="Q146" s="7" t="n">
        <x:v>0.06623166364128075</x:v>
      </x:c>
      <x:c r="R146" s="7" t="n">
        <x:f>H146+I146*Q146</x:f>
        <x:v>3.1529776649663055</x:v>
      </x:c>
      <x:c r="S146" s="7" t="n">
        <x:f>R146-L146</x:f>
        <x:v>2.1529776649663055</x:v>
      </x:c>
      <x:c r="T146" s="7" t="n">
        <x:f>K146-R146</x:f>
        <x:v>0</x:v>
      </x:c>
      <x:c r="U146" s="7" t="n">
        <x:f>M146-S146-T146</x:f>
        <x:v>0</x:v>
      </x:c>
    </x:row>
    <x:row r="147" ht="27" customHeight="1">
      <x:c r="A147" s="2"/>
      <x:c r="B147" s="2" t="str">
        <x:v>Beauty | price_contribution | CUUR0000SEGB02</x:v>
      </x:c>
      <x:c r="C147" s="2" t="str">
        <x:v>2025-06-30</x:v>
      </x:c>
      <x:c r="D147" s="2" t="str">
        <x:v>Pre-earnings</x:v>
      </x:c>
      <x:c r="E147" s="2" t="str">
        <x:v>2025-07-28</x:v>
      </x:c>
      <x:c r="F147" s="2" t="str">
        <x:v>Flat level</x:v>
      </x:c>
      <x:c r="G147" s="2" t="n">
        <x:v>17</x:v>
      </x:c>
      <x:c r="H147" s="7" t="n">
        <x:v>3.086630304343101</x:v>
      </x:c>
      <x:c r="I147" s="7" t="n">
        <x:v>1.0017468530241134</x:v>
      </x:c>
      <x:c r="J147" s="7" t="n">
        <x:v>0.06623166364128075</x:v>
      </x:c>
      <x:c r="K147" s="7" t="n">
        <x:f>H147+I147*J147</x:f>
        <x:v>3.1529776649663055</x:v>
      </x:c>
      <x:c r="L147" s="7" t="n">
        <x:v>1</x:v>
      </x:c>
      <x:c r="M147" s="7" t="n">
        <x:f>K147-L147</x:f>
        <x:v>2.1529776649663055</x:v>
      </x:c>
      <x:c r="N147" s="7" t="n">
        <x:f>M147^2</x:f>
        <x:v>4.635312825843765</x:v>
      </x:c>
      <x:c r="O147" s="7" t="n">
        <x:v>3</x:v>
      </x:c>
      <x:c r="P147" s="7" t="n">
        <x:v>2.25</x:v>
      </x:c>
      <x:c r="Q147" s="7" t="n">
        <x:v>0.06623166364128075</x:v>
      </x:c>
      <x:c r="R147" s="7" t="n">
        <x:f>H147+I147*Q147</x:f>
        <x:v>3.1529776649663055</x:v>
      </x:c>
      <x:c r="S147" s="7" t="n">
        <x:f>R147-L147</x:f>
        <x:v>2.1529776649663055</x:v>
      </x:c>
      <x:c r="T147" s="7" t="n">
        <x:f>K147-R147</x:f>
        <x:v>0</x:v>
      </x:c>
      <x:c r="U147" s="7" t="n">
        <x:f>M147-S147-T147</x:f>
        <x:v>0</x:v>
      </x:c>
    </x:row>
    <x:row r="148" ht="27" customHeight="1">
      <x:c r="A148" s="2"/>
      <x:c r="B148" s="2" t="str">
        <x:v>Beauty | price_contribution | CUUR0000SEGB02</x:v>
      </x:c>
      <x:c r="C148" s="2" t="str">
        <x:v>2025-06-30</x:v>
      </x:c>
      <x:c r="D148" s="2" t="str">
        <x:v>Pre-earnings</x:v>
      </x:c>
      <x:c r="E148" s="2" t="str">
        <x:v>2025-07-28</x:v>
      </x:c>
      <x:c r="F148" s="2" t="str">
        <x:v>Recent trend</x:v>
      </x:c>
      <x:c r="G148" s="2" t="n">
        <x:v>17</x:v>
      </x:c>
      <x:c r="H148" s="7" t="n">
        <x:v>3.086630304343101</x:v>
      </x:c>
      <x:c r="I148" s="7" t="n">
        <x:v>1.0017468530241134</x:v>
      </x:c>
      <x:c r="J148" s="7" t="n">
        <x:v>0.06623166364128075</x:v>
      </x:c>
      <x:c r="K148" s="7" t="n">
        <x:f>H148+I148*J148</x:f>
        <x:v>3.1529776649663055</x:v>
      </x:c>
      <x:c r="L148" s="7" t="n">
        <x:v>1</x:v>
      </x:c>
      <x:c r="M148" s="7" t="n">
        <x:f>K148-L148</x:f>
        <x:v>2.1529776649663055</x:v>
      </x:c>
      <x:c r="N148" s="7" t="n">
        <x:f>M148^2</x:f>
        <x:v>4.635312825843765</x:v>
      </x:c>
      <x:c r="O148" s="7" t="n">
        <x:v>3</x:v>
      </x:c>
      <x:c r="P148" s="7" t="n">
        <x:v>2.25</x:v>
      </x:c>
      <x:c r="Q148" s="7" t="n">
        <x:v>0.06623166364128075</x:v>
      </x:c>
      <x:c r="R148" s="7" t="n">
        <x:f>H148+I148*Q148</x:f>
        <x:v>3.1529776649663055</x:v>
      </x:c>
      <x:c r="S148" s="7" t="n">
        <x:f>R148-L148</x:f>
        <x:v>2.1529776649663055</x:v>
      </x:c>
      <x:c r="T148" s="7" t="n">
        <x:f>K148-R148</x:f>
        <x:v>0</x:v>
      </x:c>
      <x:c r="U148" s="7" t="n">
        <x:f>M148-S148-T148</x:f>
        <x:v>0</x:v>
      </x:c>
    </x:row>
    <x:row r="149" ht="27" customHeight="1">
      <x:c r="A149" s="2"/>
      <x:c r="B149" s="2" t="str">
        <x:v>Beauty | price_contribution | CUUR0000SEGB02</x:v>
      </x:c>
      <x:c r="C149" s="2" t="str">
        <x:v>2025-06-30</x:v>
      </x:c>
      <x:c r="D149" s="2" t="str">
        <x:v>Pre-earnings</x:v>
      </x:c>
      <x:c r="E149" s="2" t="str">
        <x:v>2025-07-28</x:v>
      </x:c>
      <x:c r="F149" s="2" t="str">
        <x:v>Seasonal step</x:v>
      </x:c>
      <x:c r="G149" s="2" t="n">
        <x:v>17</x:v>
      </x:c>
      <x:c r="H149" s="7" t="n">
        <x:v>3.086630304343101</x:v>
      </x:c>
      <x:c r="I149" s="7" t="n">
        <x:v>1.0017468530241134</x:v>
      </x:c>
      <x:c r="J149" s="7" t="n">
        <x:v>0.06623166364128075</x:v>
      </x:c>
      <x:c r="K149" s="7" t="n">
        <x:f>H149+I149*J149</x:f>
        <x:v>3.1529776649663055</x:v>
      </x:c>
      <x:c r="L149" s="7" t="n">
        <x:v>1</x:v>
      </x:c>
      <x:c r="M149" s="7" t="n">
        <x:f>K149-L149</x:f>
        <x:v>2.1529776649663055</x:v>
      </x:c>
      <x:c r="N149" s="7" t="n">
        <x:f>M149^2</x:f>
        <x:v>4.635312825843765</x:v>
      </x:c>
      <x:c r="O149" s="7" t="n">
        <x:v>3</x:v>
      </x:c>
      <x:c r="P149" s="7" t="n">
        <x:v>2.25</x:v>
      </x:c>
      <x:c r="Q149" s="7" t="n">
        <x:v>0.06623166364128075</x:v>
      </x:c>
      <x:c r="R149" s="7" t="n">
        <x:f>H149+I149*Q149</x:f>
        <x:v>3.1529776649663055</x:v>
      </x:c>
      <x:c r="S149" s="7" t="n">
        <x:f>R149-L149</x:f>
        <x:v>2.1529776649663055</x:v>
      </x:c>
      <x:c r="T149" s="7" t="n">
        <x:f>K149-R149</x:f>
        <x:v>0</x:v>
      </x:c>
      <x:c r="U149" s="7" t="n">
        <x:f>M149-S149-T149</x:f>
        <x:v>0</x:v>
      </x:c>
    </x:row>
    <x:row r="150" ht="27" customHeight="1">
      <x:c r="A150" s="2"/>
      <x:c r="B150" s="2" t="str">
        <x:v>Beauty | price_contribution | CUUR0000SEGB02</x:v>
      </x:c>
      <x:c r="C150" s="2" t="str">
        <x:v>2025-09-30</x:v>
      </x:c>
      <x:c r="D150" s="2" t="str">
        <x:v>Origin</x:v>
      </x:c>
      <x:c r="E150" s="2" t="str">
        <x:v>2025-07-01</x:v>
      </x:c>
      <x:c r="F150" s="2" t="str">
        <x:v>YoY carry</x:v>
      </x:c>
      <x:c r="G150" s="2" t="n">
        <x:v>17</x:v>
      </x:c>
      <x:c r="H150" s="7" t="n">
        <x:v>3.086630304343101</x:v>
      </x:c>
      <x:c r="I150" s="7" t="n">
        <x:v>1.0017468530241134</x:v>
      </x:c>
      <x:c r="J150" s="7" t="n">
        <x:v>-0.3856654621040789</x:v>
      </x:c>
      <x:c r="K150" s="7" t="n">
        <x:f>H150+I150*J150</x:f>
        <x:v>2.7002911413602493</x:v>
      </x:c>
      <x:c r="L150" s="7" t="n">
        <x:v>2</x:v>
      </x:c>
      <x:c r="M150" s="7" t="n">
        <x:f>K150-L150</x:f>
        <x:v>0.7002911413602493</x:v>
      </x:c>
      <x:c r="N150" s="7" t="n">
        <x:f>M150^2</x:f>
        <x:v>0.4904076826676406</x:v>
      </x:c>
      <x:c r="O150" s="7" t="n">
        <x:v>3</x:v>
      </x:c>
      <x:c r="P150" s="7" t="n">
        <x:v>2.25</x:v>
      </x:c>
      <x:c r="Q150" s="7" t="n">
        <x:v>0.44640749502971033</x:v>
      </x:c>
      <x:c r="R150" s="7" t="n">
        <x:f>H150+I150*Q150</x:f>
        <x:v>3.533817607655491</x:v>
      </x:c>
      <x:c r="S150" s="7" t="n">
        <x:f>R150-L150</x:f>
        <x:v>1.5338176076554908</x:v>
      </x:c>
      <x:c r="T150" s="7" t="n">
        <x:f>K150-R150</x:f>
        <x:v>-0.8335264662952415</x:v>
      </x:c>
      <x:c r="U150" s="7" t="n">
        <x:f>M150-S150-T150</x:f>
        <x:v>0</x:v>
      </x:c>
    </x:row>
    <x:row r="151" ht="27" customHeight="1">
      <x:c r="A151" s="2"/>
      <x:c r="B151" s="2" t="str">
        <x:v>Beauty | price_contribution | CUUR0000SEGB02</x:v>
      </x:c>
      <x:c r="C151" s="2" t="str">
        <x:v>2025-09-30</x:v>
      </x:c>
      <x:c r="D151" s="2" t="str">
        <x:v>Origin</x:v>
      </x:c>
      <x:c r="E151" s="2" t="str">
        <x:v>2025-07-01</x:v>
      </x:c>
      <x:c r="F151" s="2" t="str">
        <x:v>Flat level</x:v>
      </x:c>
      <x:c r="G151" s="2" t="n">
        <x:v>17</x:v>
      </x:c>
      <x:c r="H151" s="7" t="n">
        <x:v>3.086630304343101</x:v>
      </x:c>
      <x:c r="I151" s="7" t="n">
        <x:v>1.0017468530241134</x:v>
      </x:c>
      <x:c r="J151" s="7" t="n">
        <x:v>-0.6473170962005614</x:v>
      </x:c>
      <x:c r="K151" s="7" t="n">
        <x:f>H151+I151*J151</x:f>
        <x:v>2.4381824403154813</x:v>
      </x:c>
      <x:c r="L151" s="7" t="n">
        <x:v>2</x:v>
      </x:c>
      <x:c r="M151" s="7" t="n">
        <x:f>K151-L151</x:f>
        <x:v>0.43818244031548126</x:v>
      </x:c>
      <x:c r="N151" s="7" t="n">
        <x:f>M151^2</x:f>
        <x:v>0.19200385100083028</x:v>
      </x:c>
      <x:c r="O151" s="7" t="n">
        <x:v>3</x:v>
      </x:c>
      <x:c r="P151" s="7" t="n">
        <x:v>2.25</x:v>
      </x:c>
      <x:c r="Q151" s="7" t="n">
        <x:v>0.44640749502971033</x:v>
      </x:c>
      <x:c r="R151" s="7" t="n">
        <x:f>H151+I151*Q151</x:f>
        <x:v>3.533817607655491</x:v>
      </x:c>
      <x:c r="S151" s="7" t="n">
        <x:f>R151-L151</x:f>
        <x:v>1.5338176076554908</x:v>
      </x:c>
      <x:c r="T151" s="7" t="n">
        <x:f>K151-R151</x:f>
        <x:v>-1.0956351673400095</x:v>
      </x:c>
      <x:c r="U151" s="7" t="n">
        <x:f>M151-S151-T151</x:f>
        <x:v>0</x:v>
      </x:c>
    </x:row>
    <x:row r="152" ht="27" customHeight="1">
      <x:c r="A152" s="2"/>
      <x:c r="B152" s="2" t="str">
        <x:v>Beauty | price_contribution | CUUR0000SEGB02</x:v>
      </x:c>
      <x:c r="C152" s="2" t="str">
        <x:v>2025-09-30</x:v>
      </x:c>
      <x:c r="D152" s="2" t="str">
        <x:v>Origin</x:v>
      </x:c>
      <x:c r="E152" s="2" t="str">
        <x:v>2025-07-01</x:v>
      </x:c>
      <x:c r="F152" s="2" t="str">
        <x:v>Recent trend</x:v>
      </x:c>
      <x:c r="G152" s="2" t="n">
        <x:v>17</x:v>
      </x:c>
      <x:c r="H152" s="7" t="n">
        <x:v>3.086630304343101</x:v>
      </x:c>
      <x:c r="I152" s="7" t="n">
        <x:v>1.0017468530241134</x:v>
      </x:c>
      <x:c r="J152" s="7" t="n">
        <x:v>-0.8574066399836378</x:v>
      </x:c>
      <x:c r="K152" s="7" t="n">
        <x:f>H152+I152*J152</x:f>
        <x:v>2.227725900977513</x:v>
      </x:c>
      <x:c r="L152" s="7" t="n">
        <x:v>2</x:v>
      </x:c>
      <x:c r="M152" s="7" t="n">
        <x:f>K152-L152</x:f>
        <x:v>0.227725900977513</x:v>
      </x:c>
      <x:c r="N152" s="7" t="n">
        <x:f>M152^2</x:f>
        <x:v>0.051859085976020056</x:v>
      </x:c>
      <x:c r="O152" s="7" t="n">
        <x:v>3</x:v>
      </x:c>
      <x:c r="P152" s="7" t="n">
        <x:v>2.25</x:v>
      </x:c>
      <x:c r="Q152" s="7" t="n">
        <x:v>0.44640749502971033</x:v>
      </x:c>
      <x:c r="R152" s="7" t="n">
        <x:f>H152+I152*Q152</x:f>
        <x:v>3.533817607655491</x:v>
      </x:c>
      <x:c r="S152" s="7" t="n">
        <x:f>R152-L152</x:f>
        <x:v>1.5338176076554908</x:v>
      </x:c>
      <x:c r="T152" s="7" t="n">
        <x:f>K152-R152</x:f>
        <x:v>-1.3060917066779778</x:v>
      </x:c>
      <x:c r="U152" s="7" t="n">
        <x:f>M152-S152-T152</x:f>
        <x:v>0</x:v>
      </x:c>
    </x:row>
    <x:row r="153" ht="27" customHeight="1">
      <x:c r="A153" s="2"/>
      <x:c r="B153" s="2" t="str">
        <x:v>Beauty | price_contribution | CUUR0000SEGB02</x:v>
      </x:c>
      <x:c r="C153" s="2" t="str">
        <x:v>2025-09-30</x:v>
      </x:c>
      <x:c r="D153" s="2" t="str">
        <x:v>Origin</x:v>
      </x:c>
      <x:c r="E153" s="2" t="str">
        <x:v>2025-07-01</x:v>
      </x:c>
      <x:c r="F153" s="2" t="str">
        <x:v>Seasonal step</x:v>
      </x:c>
      <x:c r="G153" s="2" t="n">
        <x:v>17</x:v>
      </x:c>
      <x:c r="H153" s="7" t="n">
        <x:v>3.086630304343101</x:v>
      </x:c>
      <x:c r="I153" s="7" t="n">
        <x:v>1.0017468530241134</x:v>
      </x:c>
      <x:c r="J153" s="7" t="n">
        <x:v>0.539988114506551</x:v>
      </x:c>
      <x:c r="K153" s="7" t="n">
        <x:f>H153+I153*J153</x:f>
        <x:v>3.627561698720463</x:v>
      </x:c>
      <x:c r="L153" s="7" t="n">
        <x:v>2</x:v>
      </x:c>
      <x:c r="M153" s="7" t="n">
        <x:f>K153-L153</x:f>
        <x:v>1.6275616987204629</x:v>
      </x:c>
      <x:c r="N153" s="7" t="n">
        <x:f>M153^2</x:f>
        <x:v>2.6489570831418385</x:v>
      </x:c>
      <x:c r="O153" s="7" t="n">
        <x:v>3</x:v>
      </x:c>
      <x:c r="P153" s="7" t="n">
        <x:v>2.25</x:v>
      </x:c>
      <x:c r="Q153" s="7" t="n">
        <x:v>0.44640749502971033</x:v>
      </x:c>
      <x:c r="R153" s="7" t="n">
        <x:f>H153+I153*Q153</x:f>
        <x:v>3.533817607655491</x:v>
      </x:c>
      <x:c r="S153" s="7" t="n">
        <x:f>R153-L153</x:f>
        <x:v>1.5338176076554908</x:v>
      </x:c>
      <x:c r="T153" s="7" t="n">
        <x:f>K153-R153</x:f>
        <x:v>0.09374409106497206</x:v>
      </x:c>
      <x:c r="U153" s="7" t="n">
        <x:f>M153-S153-T153</x:f>
        <x:v>0</x:v>
      </x:c>
    </x:row>
    <x:row r="154" ht="27" customHeight="1">
      <x:c r="A154" s="2"/>
      <x:c r="B154" s="2" t="str">
        <x:v>Beauty | price_contribution | CUUR0000SEGB02</x:v>
      </x:c>
      <x:c r="C154" s="2" t="str">
        <x:v>2025-09-30</x:v>
      </x:c>
      <x:c r="D154" s="2" t="str">
        <x:v>Two months</x:v>
      </x:c>
      <x:c r="E154" s="2" t="str">
        <x:v>2025-10-01</x:v>
      </x:c>
      <x:c r="F154" s="2" t="str">
        <x:v>YoY carry</x:v>
      </x:c>
      <x:c r="G154" s="2" t="n">
        <x:v>18</x:v>
      </x:c>
      <x:c r="H154" s="7" t="n">
        <x:v>2.9259927026587045</x:v>
      </x:c>
      <x:c r="I154" s="7" t="n">
        <x:v>1.0331023140653053</x:v>
      </x:c>
      <x:c r="J154" s="7" t="n">
        <x:v>0.33913536558449753</x:v>
      </x:c>
      <x:c r="K154" s="7" t="n">
        <x:f>H154+I154*J154</x:f>
        <x:v>3.2763542336254323</x:v>
      </x:c>
      <x:c r="L154" s="7" t="n">
        <x:v>2</x:v>
      </x:c>
      <x:c r="M154" s="7" t="n">
        <x:f>K154-L154</x:f>
        <x:v>1.2763542336254323</x:v>
      </x:c>
      <x:c r="N154" s="7" t="n">
        <x:f>M154^2</x:f>
        <x:v>1.6290801296935646</x:v>
      </x:c>
      <x:c r="O154" s="7" t="n">
        <x:v>1</x:v>
      </x:c>
      <x:c r="P154" s="7" t="n">
        <x:v>1.75</x:v>
      </x:c>
      <x:c r="Q154" s="7" t="n">
        <x:v>0.44640749502971033</x:v>
      </x:c>
      <x:c r="R154" s="7" t="n">
        <x:f>H154+I154*Q154</x:f>
        <x:v>3.3871773187899947</x:v>
      </x:c>
      <x:c r="S154" s="7" t="n">
        <x:f>R154-L154</x:f>
        <x:v>1.3871773187899947</x:v>
      </x:c>
      <x:c r="T154" s="7" t="n">
        <x:f>K154-R154</x:f>
        <x:v>-0.11082308516456241</x:v>
      </x:c>
      <x:c r="U154" s="7" t="n">
        <x:f>M154-S154-T154</x:f>
        <x:v>0</x:v>
      </x:c>
    </x:row>
    <x:row r="155" ht="27" customHeight="1">
      <x:c r="A155" s="2"/>
      <x:c r="B155" s="2" t="str">
        <x:v>Beauty | price_contribution | CUUR0000SEGB02</x:v>
      </x:c>
      <x:c r="C155" s="2" t="str">
        <x:v>2025-09-30</x:v>
      </x:c>
      <x:c r="D155" s="2" t="str">
        <x:v>Two months</x:v>
      </x:c>
      <x:c r="E155" s="2" t="str">
        <x:v>2025-10-01</x:v>
      </x:c>
      <x:c r="F155" s="2" t="str">
        <x:v>Flat level</x:v>
      </x:c>
      <x:c r="G155" s="2" t="n">
        <x:v>18</x:v>
      </x:c>
      <x:c r="H155" s="7" t="n">
        <x:v>2.9259927026587045</x:v>
      </x:c>
      <x:c r="I155" s="7" t="n">
        <x:v>1.0331023140653053</x:v>
      </x:c>
      <x:c r="J155" s="7" t="n">
        <x:v>0.27137658922291585</x:v>
      </x:c>
      <x:c r="K155" s="7" t="n">
        <x:f>H155+I155*J155</x:f>
        <x:v>3.2063524849680487</x:v>
      </x:c>
      <x:c r="L155" s="7" t="n">
        <x:v>2</x:v>
      </x:c>
      <x:c r="M155" s="7" t="n">
        <x:f>K155-L155</x:f>
        <x:v>1.2063524849680487</x:v>
      </x:c>
      <x:c r="N155" s="7" t="n">
        <x:f>M155^2</x:f>
        <x:v>1.4552863179885862</x:v>
      </x:c>
      <x:c r="O155" s="7" t="n">
        <x:v>1</x:v>
      </x:c>
      <x:c r="P155" s="7" t="n">
        <x:v>1.75</x:v>
      </x:c>
      <x:c r="Q155" s="7" t="n">
        <x:v>0.44640749502971033</x:v>
      </x:c>
      <x:c r="R155" s="7" t="n">
        <x:f>H155+I155*Q155</x:f>
        <x:v>3.3871773187899947</x:v>
      </x:c>
      <x:c r="S155" s="7" t="n">
        <x:f>R155-L155</x:f>
        <x:v>1.3871773187899947</x:v>
      </x:c>
      <x:c r="T155" s="7" t="n">
        <x:f>K155-R155</x:f>
        <x:v>-0.18082483382194603</x:v>
      </x:c>
      <x:c r="U155" s="7" t="n">
        <x:f>M155-S155-T155</x:f>
        <x:v>0</x:v>
      </x:c>
    </x:row>
    <x:row r="156" ht="27" customHeight="1">
      <x:c r="A156" s="2"/>
      <x:c r="B156" s="2" t="str">
        <x:v>Beauty | price_contribution | CUUR0000SEGB02</x:v>
      </x:c>
      <x:c r="C156" s="2" t="str">
        <x:v>2025-09-30</x:v>
      </x:c>
      <x:c r="D156" s="2" t="str">
        <x:v>Two months</x:v>
      </x:c>
      <x:c r="E156" s="2" t="str">
        <x:v>2025-10-01</x:v>
      </x:c>
      <x:c r="F156" s="2" t="str">
        <x:v>Recent trend</x:v>
      </x:c>
      <x:c r="G156" s="2" t="n">
        <x:v>18</x:v>
      </x:c>
      <x:c r="H156" s="7" t="n">
        <x:v>2.9259927026587045</x:v>
      </x:c>
      <x:c r="I156" s="7" t="n">
        <x:v>1.0331023140653053</x:v>
      </x:c>
      <x:c r="J156" s="7" t="n">
        <x:v>0.2971678565620861</x:v>
      </x:c>
      <x:c r="K156" s="7" t="n">
        <x:f>H156+I156*J156</x:f>
        <x:v>3.2329975029388223</x:v>
      </x:c>
      <x:c r="L156" s="7" t="n">
        <x:v>2</x:v>
      </x:c>
      <x:c r="M156" s="7" t="n">
        <x:f>K156-L156</x:f>
        <x:v>1.2329975029388223</x:v>
      </x:c>
      <x:c r="N156" s="7" t="n">
        <x:f>M156^2</x:f>
        <x:v>1.520282842253371</x:v>
      </x:c>
      <x:c r="O156" s="7" t="n">
        <x:v>1</x:v>
      </x:c>
      <x:c r="P156" s="7" t="n">
        <x:v>1.75</x:v>
      </x:c>
      <x:c r="Q156" s="7" t="n">
        <x:v>0.44640749502971033</x:v>
      </x:c>
      <x:c r="R156" s="7" t="n">
        <x:f>H156+I156*Q156</x:f>
        <x:v>3.3871773187899947</x:v>
      </x:c>
      <x:c r="S156" s="7" t="n">
        <x:f>R156-L156</x:f>
        <x:v>1.3871773187899947</x:v>
      </x:c>
      <x:c r="T156" s="7" t="n">
        <x:f>K156-R156</x:f>
        <x:v>-0.15417981585117246</x:v>
      </x:c>
      <x:c r="U156" s="7" t="n">
        <x:f>M156-S156-T156</x:f>
        <x:v>0</x:v>
      </x:c>
    </x:row>
    <x:row r="157" ht="27" customHeight="1">
      <x:c r="A157" s="2"/>
      <x:c r="B157" s="2" t="str">
        <x:v>Beauty | price_contribution | CUUR0000SEGB02</x:v>
      </x:c>
      <x:c r="C157" s="2" t="str">
        <x:v>2025-09-30</x:v>
      </x:c>
      <x:c r="D157" s="2" t="str">
        <x:v>Two months</x:v>
      </x:c>
      <x:c r="E157" s="2" t="str">
        <x:v>2025-10-01</x:v>
      </x:c>
      <x:c r="F157" s="2" t="str">
        <x:v>Seasonal step</x:v>
      </x:c>
      <x:c r="G157" s="2" t="n">
        <x:v>18</x:v>
      </x:c>
      <x:c r="H157" s="7" t="n">
        <x:v>2.9259927026587045</x:v>
      </x:c>
      <x:c r="I157" s="7" t="n">
        <x:v>1.0331023140653053</x:v>
      </x:c>
      <x:c r="J157" s="7" t="n">
        <x:v>0.40842984243576463</x:v>
      </x:c>
      <x:c r="K157" s="7" t="n">
        <x:f>H157+I157*J157</x:f>
        <x:v>3.347942518012421</x:v>
      </x:c>
      <x:c r="L157" s="7" t="n">
        <x:v>2</x:v>
      </x:c>
      <x:c r="M157" s="7" t="n">
        <x:f>K157-L157</x:f>
        <x:v>1.3479425180124212</x:v>
      </x:c>
      <x:c r="N157" s="7" t="n">
        <x:f>M157^2</x:f>
        <x:v>1.8169490318656663</x:v>
      </x:c>
      <x:c r="O157" s="7" t="n">
        <x:v>1</x:v>
      </x:c>
      <x:c r="P157" s="7" t="n">
        <x:v>1.75</x:v>
      </x:c>
      <x:c r="Q157" s="7" t="n">
        <x:v>0.44640749502971033</x:v>
      </x:c>
      <x:c r="R157" s="7" t="n">
        <x:f>H157+I157*Q157</x:f>
        <x:v>3.3871773187899947</x:v>
      </x:c>
      <x:c r="S157" s="7" t="n">
        <x:f>R157-L157</x:f>
        <x:v>1.3871773187899947</x:v>
      </x:c>
      <x:c r="T157" s="7" t="n">
        <x:f>K157-R157</x:f>
        <x:v>-0.039234800777573575</x:v>
      </x:c>
      <x:c r="U157" s="7" t="n">
        <x:f>M157-S157-T157</x:f>
        <x:v>0</x:v>
      </x:c>
    </x:row>
    <x:row r="158" ht="27" customHeight="1">
      <x:c r="A158" s="2"/>
      <x:c r="B158" s="2" t="str">
        <x:v>Beauty | price_contribution | CUUR0000SEGB02</x:v>
      </x:c>
      <x:c r="C158" s="2" t="str">
        <x:v>2025-09-30</x:v>
      </x:c>
      <x:c r="D158" s="2" t="str">
        <x:v>Pre-earnings</x:v>
      </x:c>
      <x:c r="E158" s="2" t="str">
        <x:v>2025-10-23</x:v>
      </x:c>
      <x:c r="F158" s="2" t="str">
        <x:v>YoY carry</x:v>
      </x:c>
      <x:c r="G158" s="2" t="n">
        <x:v>18</x:v>
      </x:c>
      <x:c r="H158" s="7" t="n">
        <x:v>2.9259927026587045</x:v>
      </x:c>
      <x:c r="I158" s="7" t="n">
        <x:v>1.0331023140653053</x:v>
      </x:c>
      <x:c r="J158" s="7" t="n">
        <x:v>0.33913536558449753</x:v>
      </x:c>
      <x:c r="K158" s="7" t="n">
        <x:f>H158+I158*J158</x:f>
        <x:v>3.2763542336254323</x:v>
      </x:c>
      <x:c r="L158" s="7" t="n">
        <x:v>2</x:v>
      </x:c>
      <x:c r="M158" s="7" t="n">
        <x:f>K158-L158</x:f>
        <x:v>1.2763542336254323</x:v>
      </x:c>
      <x:c r="N158" s="7" t="n">
        <x:f>M158^2</x:f>
        <x:v>1.6290801296935646</x:v>
      </x:c>
      <x:c r="O158" s="7" t="n">
        <x:v>1</x:v>
      </x:c>
      <x:c r="P158" s="7" t="n">
        <x:v>1.75</x:v>
      </x:c>
      <x:c r="Q158" s="7" t="n">
        <x:v>0.44640749502971033</x:v>
      </x:c>
      <x:c r="R158" s="7" t="n">
        <x:f>H158+I158*Q158</x:f>
        <x:v>3.3871773187899947</x:v>
      </x:c>
      <x:c r="S158" s="7" t="n">
        <x:f>R158-L158</x:f>
        <x:v>1.3871773187899947</x:v>
      </x:c>
      <x:c r="T158" s="7" t="n">
        <x:f>K158-R158</x:f>
        <x:v>-0.11082308516456241</x:v>
      </x:c>
      <x:c r="U158" s="7" t="n">
        <x:f>M158-S158-T158</x:f>
        <x:v>0</x:v>
      </x:c>
    </x:row>
    <x:row r="159" ht="27" customHeight="1">
      <x:c r="A159" s="2"/>
      <x:c r="B159" s="2" t="str">
        <x:v>Beauty | price_contribution | CUUR0000SEGB02</x:v>
      </x:c>
      <x:c r="C159" s="2" t="str">
        <x:v>2025-09-30</x:v>
      </x:c>
      <x:c r="D159" s="2" t="str">
        <x:v>Pre-earnings</x:v>
      </x:c>
      <x:c r="E159" s="2" t="str">
        <x:v>2025-10-23</x:v>
      </x:c>
      <x:c r="F159" s="2" t="str">
        <x:v>Flat level</x:v>
      </x:c>
      <x:c r="G159" s="2" t="n">
        <x:v>18</x:v>
      </x:c>
      <x:c r="H159" s="7" t="n">
        <x:v>2.9259927026587045</x:v>
      </x:c>
      <x:c r="I159" s="7" t="n">
        <x:v>1.0331023140653053</x:v>
      </x:c>
      <x:c r="J159" s="7" t="n">
        <x:v>0.27137658922291585</x:v>
      </x:c>
      <x:c r="K159" s="7" t="n">
        <x:f>H159+I159*J159</x:f>
        <x:v>3.2063524849680487</x:v>
      </x:c>
      <x:c r="L159" s="7" t="n">
        <x:v>2</x:v>
      </x:c>
      <x:c r="M159" s="7" t="n">
        <x:f>K159-L159</x:f>
        <x:v>1.2063524849680487</x:v>
      </x:c>
      <x:c r="N159" s="7" t="n">
        <x:f>M159^2</x:f>
        <x:v>1.4552863179885862</x:v>
      </x:c>
      <x:c r="O159" s="7" t="n">
        <x:v>1</x:v>
      </x:c>
      <x:c r="P159" s="7" t="n">
        <x:v>1.75</x:v>
      </x:c>
      <x:c r="Q159" s="7" t="n">
        <x:v>0.44640749502971033</x:v>
      </x:c>
      <x:c r="R159" s="7" t="n">
        <x:f>H159+I159*Q159</x:f>
        <x:v>3.3871773187899947</x:v>
      </x:c>
      <x:c r="S159" s="7" t="n">
        <x:f>R159-L159</x:f>
        <x:v>1.3871773187899947</x:v>
      </x:c>
      <x:c r="T159" s="7" t="n">
        <x:f>K159-R159</x:f>
        <x:v>-0.18082483382194603</x:v>
      </x:c>
      <x:c r="U159" s="7" t="n">
        <x:f>M159-S159-T159</x:f>
        <x:v>0</x:v>
      </x:c>
    </x:row>
    <x:row r="160" ht="27" customHeight="1">
      <x:c r="A160" s="2"/>
      <x:c r="B160" s="2" t="str">
        <x:v>Beauty | price_contribution | CUUR0000SEGB02</x:v>
      </x:c>
      <x:c r="C160" s="2" t="str">
        <x:v>2025-09-30</x:v>
      </x:c>
      <x:c r="D160" s="2" t="str">
        <x:v>Pre-earnings</x:v>
      </x:c>
      <x:c r="E160" s="2" t="str">
        <x:v>2025-10-23</x:v>
      </x:c>
      <x:c r="F160" s="2" t="str">
        <x:v>Recent trend</x:v>
      </x:c>
      <x:c r="G160" s="2" t="n">
        <x:v>18</x:v>
      </x:c>
      <x:c r="H160" s="7" t="n">
        <x:v>2.9259927026587045</x:v>
      </x:c>
      <x:c r="I160" s="7" t="n">
        <x:v>1.0331023140653053</x:v>
      </x:c>
      <x:c r="J160" s="7" t="n">
        <x:v>0.2971678565620861</x:v>
      </x:c>
      <x:c r="K160" s="7" t="n">
        <x:f>H160+I160*J160</x:f>
        <x:v>3.2329975029388223</x:v>
      </x:c>
      <x:c r="L160" s="7" t="n">
        <x:v>2</x:v>
      </x:c>
      <x:c r="M160" s="7" t="n">
        <x:f>K160-L160</x:f>
        <x:v>1.2329975029388223</x:v>
      </x:c>
      <x:c r="N160" s="7" t="n">
        <x:f>M160^2</x:f>
        <x:v>1.520282842253371</x:v>
      </x:c>
      <x:c r="O160" s="7" t="n">
        <x:v>1</x:v>
      </x:c>
      <x:c r="P160" s="7" t="n">
        <x:v>1.75</x:v>
      </x:c>
      <x:c r="Q160" s="7" t="n">
        <x:v>0.44640749502971033</x:v>
      </x:c>
      <x:c r="R160" s="7" t="n">
        <x:f>H160+I160*Q160</x:f>
        <x:v>3.3871773187899947</x:v>
      </x:c>
      <x:c r="S160" s="7" t="n">
        <x:f>R160-L160</x:f>
        <x:v>1.3871773187899947</x:v>
      </x:c>
      <x:c r="T160" s="7" t="n">
        <x:f>K160-R160</x:f>
        <x:v>-0.15417981585117246</x:v>
      </x:c>
      <x:c r="U160" s="7" t="n">
        <x:f>M160-S160-T160</x:f>
        <x:v>0</x:v>
      </x:c>
    </x:row>
    <x:row r="161" ht="27" customHeight="1">
      <x:c r="A161" s="2"/>
      <x:c r="B161" s="2" t="str">
        <x:v>Beauty | price_contribution | CUUR0000SEGB02</x:v>
      </x:c>
      <x:c r="C161" s="2" t="str">
        <x:v>2025-09-30</x:v>
      </x:c>
      <x:c r="D161" s="2" t="str">
        <x:v>Pre-earnings</x:v>
      </x:c>
      <x:c r="E161" s="2" t="str">
        <x:v>2025-10-23</x:v>
      </x:c>
      <x:c r="F161" s="2" t="str">
        <x:v>Seasonal step</x:v>
      </x:c>
      <x:c r="G161" s="2" t="n">
        <x:v>18</x:v>
      </x:c>
      <x:c r="H161" s="7" t="n">
        <x:v>2.9259927026587045</x:v>
      </x:c>
      <x:c r="I161" s="7" t="n">
        <x:v>1.0331023140653053</x:v>
      </x:c>
      <x:c r="J161" s="7" t="n">
        <x:v>0.40842984243576463</x:v>
      </x:c>
      <x:c r="K161" s="7" t="n">
        <x:f>H161+I161*J161</x:f>
        <x:v>3.347942518012421</x:v>
      </x:c>
      <x:c r="L161" s="7" t="n">
        <x:v>2</x:v>
      </x:c>
      <x:c r="M161" s="7" t="n">
        <x:f>K161-L161</x:f>
        <x:v>1.3479425180124212</x:v>
      </x:c>
      <x:c r="N161" s="7" t="n">
        <x:f>M161^2</x:f>
        <x:v>1.8169490318656663</x:v>
      </x:c>
      <x:c r="O161" s="7" t="n">
        <x:v>1</x:v>
      </x:c>
      <x:c r="P161" s="7" t="n">
        <x:v>1.75</x:v>
      </x:c>
      <x:c r="Q161" s="7" t="n">
        <x:v>0.44640749502971033</x:v>
      </x:c>
      <x:c r="R161" s="7" t="n">
        <x:f>H161+I161*Q161</x:f>
        <x:v>3.3871773187899947</x:v>
      </x:c>
      <x:c r="S161" s="7" t="n">
        <x:f>R161-L161</x:f>
        <x:v>1.3871773187899947</x:v>
      </x:c>
      <x:c r="T161" s="7" t="n">
        <x:f>K161-R161</x:f>
        <x:v>-0.039234800777573575</x:v>
      </x:c>
      <x:c r="U161" s="7" t="n">
        <x:f>M161-S161-T161</x:f>
        <x:v>0</x:v>
      </x:c>
    </x:row>
    <x:row r="162" ht="27" customHeight="1">
      <x:c r="A162" s="2"/>
      <x:c r="B162" s="2" t="str">
        <x:v>Beauty | price_contribution | CUUR0000SEGB02</x:v>
      </x:c>
      <x:c r="C162" s="2" t="str">
        <x:v>2025-12-31</x:v>
      </x:c>
      <x:c r="D162" s="2" t="str">
        <x:v>Origin</x:v>
      </x:c>
      <x:c r="E162" s="2" t="str">
        <x:v>2025-10-01</x:v>
      </x:c>
      <x:c r="F162" s="2" t="str">
        <x:v>YoY carry</x:v>
      </x:c>
      <x:c r="G162" s="2" t="n">
        <x:v>18</x:v>
      </x:c>
      <x:c r="H162" s="7" t="n">
        <x:v>2.9259927026587045</x:v>
      </x:c>
      <x:c r="I162" s="7" t="n">
        <x:v>1.0331023140653053</x:v>
      </x:c>
      <x:c r="J162" s="7" t="n">
        <x:v>0.33987167495570514</x:v>
      </x:c>
      <x:c r="K162" s="7" t="n">
        <x:f>H162+I162*J162</x:f>
        <x:v>3.2771149165406945</x:v>
      </x:c>
      <x:c r="L162" s="7" t="n">
        <x:v>2</x:v>
      </x:c>
      <x:c r="M162" s="7" t="n">
        <x:f>K162-L162</x:f>
        <x:v>1.2771149165406945</x:v>
      </x:c>
      <x:c r="N162" s="7" t="n">
        <x:f>M162^2</x:f>
        <x:v>1.6310225100507452</x:v>
      </x:c>
      <x:c r="O162" s="7" t="n">
        <x:v>1</x:v>
      </x:c>
      <x:c r="P162" s="7" t="n">
        <x:v>1.75</x:v>
      </x:c>
      <x:c r="Q162" s="7"/>
      <x:c r="R162" s="7"/>
      <x:c r="S162" s="7"/>
      <x:c r="T162" s="7"/>
      <x:c r="U162" s="7"/>
    </x:row>
    <x:row r="163" ht="27" customHeight="1">
      <x:c r="A163" s="2"/>
      <x:c r="B163" s="2" t="str">
        <x:v>Beauty | price_contribution | CUUR0000SEGB02</x:v>
      </x:c>
      <x:c r="C163" s="2" t="str">
        <x:v>2025-12-31</x:v>
      </x:c>
      <x:c r="D163" s="2" t="str">
        <x:v>Origin</x:v>
      </x:c>
      <x:c r="E163" s="2" t="str">
        <x:v>2025-10-01</x:v>
      </x:c>
      <x:c r="F163" s="2" t="str">
        <x:v>Flat level</x:v>
      </x:c>
      <x:c r="G163" s="2" t="n">
        <x:v>18</x:v>
      </x:c>
      <x:c r="H163" s="7" t="n">
        <x:v>2.9259927026587045</x:v>
      </x:c>
      <x:c r="I163" s="7" t="n">
        <x:v>1.0331023140653053</x:v>
      </x:c>
      <x:c r="J163" s="7" t="n">
        <x:v>0.786664794073233</x:v>
      </x:c>
      <x:c r="K163" s="7" t="n">
        <x:f>H163+I163*J163</x:f>
        <x:v>3.7386979218094685</x:v>
      </x:c>
      <x:c r="L163" s="7" t="n">
        <x:v>2</x:v>
      </x:c>
      <x:c r="M163" s="7" t="n">
        <x:f>K163-L163</x:f>
        <x:v>1.7386979218094685</x:v>
      </x:c>
      <x:c r="N163" s="7" t="n">
        <x:f>M163^2</x:f>
        <x:v>3.0230704633045646</x:v>
      </x:c>
      <x:c r="O163" s="7" t="n">
        <x:v>1</x:v>
      </x:c>
      <x:c r="P163" s="7" t="n">
        <x:v>1.75</x:v>
      </x:c>
      <x:c r="Q163" s="7"/>
      <x:c r="R163" s="7"/>
      <x:c r="S163" s="7"/>
      <x:c r="T163" s="7"/>
      <x:c r="U163" s="7"/>
    </x:row>
    <x:row r="164" ht="27" customHeight="1">
      <x:c r="A164" s="2"/>
      <x:c r="B164" s="2" t="str">
        <x:v>Beauty | price_contribution | CUUR0000SEGB02</x:v>
      </x:c>
      <x:c r="C164" s="2" t="str">
        <x:v>2025-12-31</x:v>
      </x:c>
      <x:c r="D164" s="2" t="str">
        <x:v>Origin</x:v>
      </x:c>
      <x:c r="E164" s="2" t="str">
        <x:v>2025-10-01</x:v>
      </x:c>
      <x:c r="F164" s="2" t="str">
        <x:v>Recent trend</x:v>
      </x:c>
      <x:c r="G164" s="2" t="n">
        <x:v>18</x:v>
      </x:c>
      <x:c r="H164" s="7" t="n">
        <x:v>2.9259927026587045</x:v>
      </x:c>
      <x:c r="I164" s="7" t="n">
        <x:v>1.0331023140653053</x:v>
      </x:c>
      <x:c r="J164" s="7" t="n">
        <x:v>1.0197148976510473</x:v>
      </x:c>
      <x:c r="K164" s="7" t="n">
        <x:f>H164+I164*J164</x:f>
        <x:v>3.979462523108867</x:v>
      </x:c>
      <x:c r="L164" s="7" t="n">
        <x:v>2</x:v>
      </x:c>
      <x:c r="M164" s="7" t="n">
        <x:f>K164-L164</x:f>
        <x:v>1.9794625231088672</x:v>
      </x:c>
      <x:c r="N164" s="7" t="n">
        <x:f>M164^2</x:f>
        <x:v>3.9182718803925223</x:v>
      </x:c>
      <x:c r="O164" s="7" t="n">
        <x:v>1</x:v>
      </x:c>
      <x:c r="P164" s="7" t="n">
        <x:v>1.75</x:v>
      </x:c>
      <x:c r="Q164" s="7"/>
      <x:c r="R164" s="7"/>
      <x:c r="S164" s="7"/>
      <x:c r="T164" s="7"/>
      <x:c r="U164" s="7"/>
    </x:row>
    <x:row r="165" ht="27" customHeight="1">
      <x:c r="A165" s="2"/>
      <x:c r="B165" s="2" t="str">
        <x:v>Beauty | price_contribution | CUUR0000SEGB02</x:v>
      </x:c>
      <x:c r="C165" s="2" t="str">
        <x:v>2025-12-31</x:v>
      </x:c>
      <x:c r="D165" s="2" t="str">
        <x:v>Origin</x:v>
      </x:c>
      <x:c r="E165" s="2" t="str">
        <x:v>2025-10-01</x:v>
      </x:c>
      <x:c r="F165" s="2" t="str">
        <x:v>Seasonal step</x:v>
      </x:c>
      <x:c r="G165" s="2" t="n">
        <x:v>18</x:v>
      </x:c>
      <x:c r="H165" s="7" t="n">
        <x:v>2.9259927026587045</x:v>
      </x:c>
      <x:c r="I165" s="7" t="n">
        <x:v>1.0331023140653053</x:v>
      </x:c>
      <x:c r="J165" s="7" t="n">
        <x:v>0.5743112642532466</x:v>
      </x:c>
      <x:c r="K165" s="7" t="n">
        <x:f>H165+I165*J165</x:f>
        <x:v>3.5193149987525048</x:v>
      </x:c>
      <x:c r="L165" s="7" t="n">
        <x:v>2</x:v>
      </x:c>
      <x:c r="M165" s="7" t="n">
        <x:f>K165-L165</x:f>
        <x:v>1.5193149987525048</x:v>
      </x:c>
      <x:c r="N165" s="7" t="n">
        <x:f>M165^2</x:f>
        <x:v>2.3083180654343236</x:v>
      </x:c>
      <x:c r="O165" s="7" t="n">
        <x:v>1</x:v>
      </x:c>
      <x:c r="P165" s="7" t="n">
        <x:v>1.75</x:v>
      </x:c>
      <x:c r="Q165" s="7"/>
      <x:c r="R165" s="7"/>
      <x:c r="S165" s="7"/>
      <x:c r="T165" s="7"/>
      <x:c r="U165" s="7"/>
    </x:row>
    <x:row r="166" ht="27" customHeight="1">
      <x:c r="A166" s="2"/>
      <x:c r="B166" s="2" t="str">
        <x:v>Beauty | price_contribution | CUUR0000SEGB02</x:v>
      </x:c>
      <x:c r="C166" s="2" t="str">
        <x:v>2026-03-31</x:v>
      </x:c>
      <x:c r="D166" s="2" t="str">
        <x:v>Pre-earnings</x:v>
      </x:c>
      <x:c r="E166" s="2" t="str">
        <x:v>2026-04-23</x:v>
      </x:c>
      <x:c r="F166" s="2" t="str">
        <x:v>YoY carry</x:v>
      </x:c>
      <x:c r="G166" s="2" t="n">
        <x:v>19</x:v>
      </x:c>
      <x:c r="H166" s="7" t="n">
        <x:v>2.8363444037933174</x:v>
      </x:c>
      <x:c r="I166" s="7" t="n">
        <x:v>1.0462754344959981</x:v>
      </x:c>
      <x:c r="J166" s="7" t="n">
        <x:v>1.6103546932900725</x:v>
      </x:c>
      <x:c r="K166" s="7" t="n">
        <x:f>H166+I166*J166</x:f>
        <x:v>4.521218960208058</x:v>
      </x:c>
      <x:c r="L166" s="7" t="n">
        <x:v>1</x:v>
      </x:c>
      <x:c r="M166" s="7" t="n">
        <x:f>K166-L166</x:f>
        <x:v>3.521218960208058</x:v>
      </x:c>
      <x:c r="N166" s="7" t="n">
        <x:f>M166^2</x:f>
        <x:v>12.398982965728718</x:v>
      </x:c>
      <x:c r="O166" s="7" t="n">
        <x:v>2</x:v>
      </x:c>
      <x:c r="P166" s="7" t="n">
        <x:v>2</x:v>
      </x:c>
      <x:c r="Q166" s="7" t="n">
        <x:v>1.6103546932900725</x:v>
      </x:c>
      <x:c r="R166" s="7" t="n">
        <x:f>H166+I166*Q166</x:f>
        <x:v>4.521218960208058</x:v>
      </x:c>
      <x:c r="S166" s="7" t="n">
        <x:f>R166-L166</x:f>
        <x:v>3.521218960208058</x:v>
      </x:c>
      <x:c r="T166" s="7" t="n">
        <x:f>K166-R166</x:f>
        <x:v>0</x:v>
      </x:c>
      <x:c r="U166" s="7" t="n">
        <x:f>M166-S166-T166</x:f>
        <x:v>0</x:v>
      </x:c>
    </x:row>
    <x:row r="167" ht="27" customHeight="1">
      <x:c r="A167" s="2"/>
      <x:c r="B167" s="2" t="str">
        <x:v>Beauty | price_contribution | CUUR0000SEGB02</x:v>
      </x:c>
      <x:c r="C167" s="2" t="str">
        <x:v>2026-03-31</x:v>
      </x:c>
      <x:c r="D167" s="2" t="str">
        <x:v>Pre-earnings</x:v>
      </x:c>
      <x:c r="E167" s="2" t="str">
        <x:v>2026-04-23</x:v>
      </x:c>
      <x:c r="F167" s="2" t="str">
        <x:v>Flat level</x:v>
      </x:c>
      <x:c r="G167" s="2" t="n">
        <x:v>19</x:v>
      </x:c>
      <x:c r="H167" s="7" t="n">
        <x:v>2.8363444037933174</x:v>
      </x:c>
      <x:c r="I167" s="7" t="n">
        <x:v>1.0462754344959981</x:v>
      </x:c>
      <x:c r="J167" s="7" t="n">
        <x:v>1.6103546932900725</x:v>
      </x:c>
      <x:c r="K167" s="7" t="n">
        <x:f>H167+I167*J167</x:f>
        <x:v>4.521218960208058</x:v>
      </x:c>
      <x:c r="L167" s="7" t="n">
        <x:v>1</x:v>
      </x:c>
      <x:c r="M167" s="7" t="n">
        <x:f>K167-L167</x:f>
        <x:v>3.521218960208058</x:v>
      </x:c>
      <x:c r="N167" s="7" t="n">
        <x:f>M167^2</x:f>
        <x:v>12.398982965728718</x:v>
      </x:c>
      <x:c r="O167" s="7" t="n">
        <x:v>2</x:v>
      </x:c>
      <x:c r="P167" s="7" t="n">
        <x:v>2</x:v>
      </x:c>
      <x:c r="Q167" s="7" t="n">
        <x:v>1.6103546932900725</x:v>
      </x:c>
      <x:c r="R167" s="7" t="n">
        <x:f>H167+I167*Q167</x:f>
        <x:v>4.521218960208058</x:v>
      </x:c>
      <x:c r="S167" s="7" t="n">
        <x:f>R167-L167</x:f>
        <x:v>3.521218960208058</x:v>
      </x:c>
      <x:c r="T167" s="7" t="n">
        <x:f>K167-R167</x:f>
        <x:v>0</x:v>
      </x:c>
      <x:c r="U167" s="7" t="n">
        <x:f>M167-S167-T167</x:f>
        <x:v>0</x:v>
      </x:c>
    </x:row>
    <x:row r="168" ht="27" customHeight="1">
      <x:c r="A168" s="2"/>
      <x:c r="B168" s="2" t="str">
        <x:v>Beauty | price_contribution | CUUR0000SEGB02</x:v>
      </x:c>
      <x:c r="C168" s="2" t="str">
        <x:v>2026-03-31</x:v>
      </x:c>
      <x:c r="D168" s="2" t="str">
        <x:v>Pre-earnings</x:v>
      </x:c>
      <x:c r="E168" s="2" t="str">
        <x:v>2026-04-23</x:v>
      </x:c>
      <x:c r="F168" s="2" t="str">
        <x:v>Recent trend</x:v>
      </x:c>
      <x:c r="G168" s="2" t="n">
        <x:v>19</x:v>
      </x:c>
      <x:c r="H168" s="7" t="n">
        <x:v>2.8363444037933174</x:v>
      </x:c>
      <x:c r="I168" s="7" t="n">
        <x:v>1.0462754344959981</x:v>
      </x:c>
      <x:c r="J168" s="7" t="n">
        <x:v>1.6103546932900725</x:v>
      </x:c>
      <x:c r="K168" s="7" t="n">
        <x:f>H168+I168*J168</x:f>
        <x:v>4.521218960208058</x:v>
      </x:c>
      <x:c r="L168" s="7" t="n">
        <x:v>1</x:v>
      </x:c>
      <x:c r="M168" s="7" t="n">
        <x:f>K168-L168</x:f>
        <x:v>3.521218960208058</x:v>
      </x:c>
      <x:c r="N168" s="7" t="n">
        <x:f>M168^2</x:f>
        <x:v>12.398982965728718</x:v>
      </x:c>
      <x:c r="O168" s="7" t="n">
        <x:v>2</x:v>
      </x:c>
      <x:c r="P168" s="7" t="n">
        <x:v>2</x:v>
      </x:c>
      <x:c r="Q168" s="7" t="n">
        <x:v>1.6103546932900725</x:v>
      </x:c>
      <x:c r="R168" s="7" t="n">
        <x:f>H168+I168*Q168</x:f>
        <x:v>4.521218960208058</x:v>
      </x:c>
      <x:c r="S168" s="7" t="n">
        <x:f>R168-L168</x:f>
        <x:v>3.521218960208058</x:v>
      </x:c>
      <x:c r="T168" s="7" t="n">
        <x:f>K168-R168</x:f>
        <x:v>0</x:v>
      </x:c>
      <x:c r="U168" s="7" t="n">
        <x:f>M168-S168-T168</x:f>
        <x:v>0</x:v>
      </x:c>
    </x:row>
    <x:row r="169" ht="27" customHeight="1">
      <x:c r="A169" s="2"/>
      <x:c r="B169" s="2" t="str">
        <x:v>Beauty | price_contribution | CUUR0000SEGB02</x:v>
      </x:c>
      <x:c r="C169" s="2" t="str">
        <x:v>2026-03-31</x:v>
      </x:c>
      <x:c r="D169" s="2" t="str">
        <x:v>Pre-earnings</x:v>
      </x:c>
      <x:c r="E169" s="2" t="str">
        <x:v>2026-04-23</x:v>
      </x:c>
      <x:c r="F169" s="2" t="str">
        <x:v>Seasonal step</x:v>
      </x:c>
      <x:c r="G169" s="2" t="n">
        <x:v>19</x:v>
      </x:c>
      <x:c r="H169" s="7" t="n">
        <x:v>2.8363444037933174</x:v>
      </x:c>
      <x:c r="I169" s="7" t="n">
        <x:v>1.0462754344959981</x:v>
      </x:c>
      <x:c r="J169" s="7" t="n">
        <x:v>1.6103546932900725</x:v>
      </x:c>
      <x:c r="K169" s="7" t="n">
        <x:f>H169+I169*J169</x:f>
        <x:v>4.521218960208058</x:v>
      </x:c>
      <x:c r="L169" s="7" t="n">
        <x:v>1</x:v>
      </x:c>
      <x:c r="M169" s="7" t="n">
        <x:f>K169-L169</x:f>
        <x:v>3.521218960208058</x:v>
      </x:c>
      <x:c r="N169" s="7" t="n">
        <x:f>M169^2</x:f>
        <x:v>12.398982965728718</x:v>
      </x:c>
      <x:c r="O169" s="7" t="n">
        <x:v>2</x:v>
      </x:c>
      <x:c r="P169" s="7" t="n">
        <x:v>2</x:v>
      </x:c>
      <x:c r="Q169" s="7" t="n">
        <x:v>1.6103546932900725</x:v>
      </x:c>
      <x:c r="R169" s="7" t="n">
        <x:f>H169+I169*Q169</x:f>
        <x:v>4.521218960208058</x:v>
      </x:c>
      <x:c r="S169" s="7" t="n">
        <x:f>R169-L169</x:f>
        <x:v>3.521218960208058</x:v>
      </x:c>
      <x:c r="T169" s="7" t="n">
        <x:f>K169-R169</x:f>
        <x:v>0</x:v>
      </x:c>
      <x:c r="U169" s="7" t="n">
        <x:f>M169-S169-T169</x:f>
        <x:v>0</x:v>
      </x:c>
    </x:row>
    <x:row r="170" ht="27" customHeight="1">
      <x:c r="A170" s="2"/>
      <x:c r="B170" s="2" t="str">
        <x:v>Baby, Feminine &amp; Family Care | organic_volume_growth | PCENDC96</x:v>
      </x:c>
      <x:c r="C170" s="2" t="str">
        <x:v>2024-09-30</x:v>
      </x:c>
      <x:c r="D170" s="2" t="str">
        <x:v>Origin</x:v>
      </x:c>
      <x:c r="E170" s="2" t="str">
        <x:v>2024-07-01</x:v>
      </x:c>
      <x:c r="F170" s="2" t="str">
        <x:v>YoY carry</x:v>
      </x:c>
      <x:c r="G170" s="2" t="n">
        <x:v>13</x:v>
      </x:c>
      <x:c r="H170" s="7" t="n">
        <x:v>-2.2156902053612186</x:v>
      </x:c>
      <x:c r="I170" s="7" t="n">
        <x:v>0.11530623229139224</x:v>
      </x:c>
      <x:c r="J170" s="7" t="n">
        <x:v>1.8076142102986026</x:v>
      </x:c>
      <x:c r="K170" s="7" t="n">
        <x:f>H170+I170*J170</x:f>
        <x:v>-2.0072610213353066</x:v>
      </x:c>
      <x:c r="L170" s="7" t="n">
        <x:v>-1</x:v>
      </x:c>
      <x:c r="M170" s="7" t="n">
        <x:f>K170-L170</x:f>
        <x:v>-1.0072610213353066</x:v>
      </x:c>
      <x:c r="N170" s="7" t="n">
        <x:f>M170^2</x:f>
        <x:v>1.014574765101445</x:v>
      </x:c>
      <x:c r="O170" s="7" t="n">
        <x:v>-3</x:v>
      </x:c>
      <x:c r="P170" s="7" t="n">
        <x:v>-2</x:v>
      </x:c>
      <x:c r="Q170" s="7" t="n">
        <x:v>1.8541066532038464</x:v>
      </x:c>
      <x:c r="R170" s="7" t="n">
        <x:f>H170+I170*Q170</x:f>
        <x:v>-2.0019001529138802</x:v>
      </x:c>
      <x:c r="S170" s="7" t="n">
        <x:f>R170-L170</x:f>
        <x:v>-1.0019001529138802</x:v>
      </x:c>
      <x:c r="T170" s="7" t="n">
        <x:f>K170-R170</x:f>
        <x:v>-0.005360868421426357</x:v>
      </x:c>
      <x:c r="U170" s="7" t="n">
        <x:f>M170-S170-T170</x:f>
        <x:v>0</x:v>
      </x:c>
    </x:row>
    <x:row r="171" ht="27" customHeight="1">
      <x:c r="A171" s="2"/>
      <x:c r="B171" s="2" t="str">
        <x:v>Beauty | organic_volume_growth | PCENDC96</x:v>
      </x:c>
      <x:c r="C171" s="2" t="str">
        <x:v>2024-09-30</x:v>
      </x:c>
      <x:c r="D171" s="2" t="str">
        <x:v>Origin</x:v>
      </x:c>
      <x:c r="E171" s="2" t="str">
        <x:v>2024-07-01</x:v>
      </x:c>
      <x:c r="F171" s="2" t="str">
        <x:v>YoY carry</x:v>
      </x:c>
      <x:c r="G171" s="2" t="n">
        <x:v>13</x:v>
      </x:c>
      <x:c r="H171" s="7" t="n">
        <x:v>-1.103509477415869</x:v>
      </x:c>
      <x:c r="I171" s="7" t="n">
        <x:v>0.22431613883722168</x:v>
      </x:c>
      <x:c r="J171" s="7" t="n">
        <x:v>1.8076142102986026</x:v>
      </x:c>
      <x:c r="K171" s="7" t="n">
        <x:f>H171+I171*J171</x:f>
        <x:v>-0.6980324372543927</x:v>
      </x:c>
      <x:c r="L171" s="7" t="n">
        <x:v>0</x:v>
      </x:c>
      <x:c r="M171" s="7" t="n">
        <x:f>K171-L171</x:f>
        <x:v>-0.6980324372543927</x:v>
      </x:c>
      <x:c r="N171" s="7" t="n">
        <x:f>M171^2</x:f>
        <x:v>0.4872492834593076</x:v>
      </x:c>
      <x:c r="O171" s="7" t="n">
        <x:v>1</x:v>
      </x:c>
      <x:c r="P171" s="7" t="n">
        <x:v>-0.25</x:v>
      </x:c>
      <x:c r="Q171" s="7" t="n">
        <x:v>1.8541066532038464</x:v>
      </x:c>
      <x:c r="R171" s="7" t="n">
        <x:f>H171+I171*Q171</x:f>
        <x:v>-0.6876034319767785</x:v>
      </x:c>
      <x:c r="S171" s="7" t="n">
        <x:f>R171-L171</x:f>
        <x:v>-0.6876034319767785</x:v>
      </x:c>
      <x:c r="T171" s="7" t="n">
        <x:f>K171-R171</x:f>
        <x:v>-0.010429005277614145</x:v>
      </x:c>
      <x:c r="U171" s="7" t="n">
        <x:f>M171-S171-T171</x:f>
        <x:v>0</x:v>
      </x:c>
    </x:row>
    <x:row r="172" ht="27" customHeight="1">
      <x:c r="A172" s="2"/>
      <x:c r="B172" s="2" t="str">
        <x:v>Fabric &amp; Home Care | organic_volume_growth | PCENDC96</x:v>
      </x:c>
      <x:c r="C172" s="2" t="str">
        <x:v>2024-09-30</x:v>
      </x:c>
      <x:c r="D172" s="2" t="str">
        <x:v>Origin</x:v>
      </x:c>
      <x:c r="E172" s="2" t="str">
        <x:v>2024-07-01</x:v>
      </x:c>
      <x:c r="F172" s="2" t="str">
        <x:v>YoY carry</x:v>
      </x:c>
      <x:c r="G172" s="2" t="n">
        <x:v>8</x:v>
      </x:c>
      <x:c r="H172" s="7" t="n">
        <x:v>-3.3135121298678065</x:v>
      </x:c>
      <x:c r="I172" s="7" t="n">
        <x:v>2.5134614690964026</x:v>
      </x:c>
      <x:c r="J172" s="7" t="n">
        <x:v>1.8076142102986026</x:v>
      </x:c>
      <x:c r="K172" s="7" t="n">
        <x:f>H172+I172*J172</x:f>
        <x:v>1.2298565387088525</x:v>
      </x:c>
      <x:c r="L172" s="7" t="n">
        <x:v>1</x:v>
      </x:c>
      <x:c r="M172" s="7" t="n">
        <x:f>K172-L172</x:f>
        <x:v>0.22985653870885248</x:v>
      </x:c>
      <x:c r="N172" s="7" t="n">
        <x:f>M172^2</x:f>
        <x:v>0.052834028387214196</x:v>
      </x:c>
      <x:c r="O172" s="7" t="n">
        <x:v>1</x:v>
      </x:c>
      <x:c r="P172" s="7" t="n">
        <x:v>0</x:v>
      </x:c>
      <x:c r="Q172" s="7" t="n">
        <x:v>1.8541066532038464</x:v>
      </x:c>
      <x:c r="R172" s="7" t="n">
        <x:f>H172+I172*Q172</x:f>
        <x:v>1.346713502555347</x:v>
      </x:c>
      <x:c r="S172" s="7" t="n">
        <x:f>R172-L172</x:f>
        <x:v>0.34671350255534694</x:v>
      </x:c>
      <x:c r="T172" s="7" t="n">
        <x:f>K172-R172</x:f>
        <x:v>-0.11685696384649447</x:v>
      </x:c>
      <x:c r="U172" s="7" t="n">
        <x:f>M172-S172-T172</x:f>
        <x:v>0</x:v>
      </x:c>
    </x:row>
    <x:row r="173" ht="27" customHeight="1">
      <x:c r="A173" s="2"/>
      <x:c r="B173" s="2" t="str">
        <x:v>Baby, Feminine &amp; Family Care | organic_volume_growth | PCENDC96</x:v>
      </x:c>
      <x:c r="C173" s="2" t="str">
        <x:v>2024-09-30</x:v>
      </x:c>
      <x:c r="D173" s="2" t="str">
        <x:v>Origin</x:v>
      </x:c>
      <x:c r="E173" s="2" t="str">
        <x:v>2024-07-01</x:v>
      </x:c>
      <x:c r="F173" s="2" t="str">
        <x:v>Flat level</x:v>
      </x:c>
      <x:c r="G173" s="2" t="n">
        <x:v>13</x:v>
      </x:c>
      <x:c r="H173" s="7" t="n">
        <x:v>-2.2156902053612186</x:v>
      </x:c>
      <x:c r="I173" s="7" t="n">
        <x:v>0.11530623229139224</x:v>
      </x:c>
      <x:c r="J173" s="7" t="n">
        <x:v>0.5701897662815814</x:v>
      </x:c>
      <x:c r="K173" s="7" t="n">
        <x:f>H173+I173*J173</x:f>
        <x:v>-2.14994377172018</x:v>
      </x:c>
      <x:c r="L173" s="7" t="n">
        <x:v>-1</x:v>
      </x:c>
      <x:c r="M173" s="7" t="n">
        <x:f>K173-L173</x:f>
        <x:v>-1.1499437717201801</x:v>
      </x:c>
      <x:c r="N173" s="7" t="n">
        <x:f>M173^2</x:f>
        <x:v>1.3223706781180338</x:v>
      </x:c>
      <x:c r="O173" s="7" t="n">
        <x:v>-3</x:v>
      </x:c>
      <x:c r="P173" s="7" t="n">
        <x:v>-2</x:v>
      </x:c>
      <x:c r="Q173" s="7" t="n">
        <x:v>1.8541066532038464</x:v>
      </x:c>
      <x:c r="R173" s="7" t="n">
        <x:f>H173+I173*Q173</x:f>
        <x:v>-2.0019001529138802</x:v>
      </x:c>
      <x:c r="S173" s="7" t="n">
        <x:f>R173-L173</x:f>
        <x:v>-1.0019001529138802</x:v>
      </x:c>
      <x:c r="T173" s="7" t="n">
        <x:f>K173-R173</x:f>
        <x:v>-0.1480436188062999</x:v>
      </x:c>
      <x:c r="U173" s="7" t="n">
        <x:f>M173-S173-T173</x:f>
        <x:v>0</x:v>
      </x:c>
    </x:row>
    <x:row r="174" ht="27" customHeight="1">
      <x:c r="A174" s="2"/>
      <x:c r="B174" s="2" t="str">
        <x:v>Beauty | organic_volume_growth | PCENDC96</x:v>
      </x:c>
      <x:c r="C174" s="2" t="str">
        <x:v>2024-09-30</x:v>
      </x:c>
      <x:c r="D174" s="2" t="str">
        <x:v>Origin</x:v>
      </x:c>
      <x:c r="E174" s="2" t="str">
        <x:v>2024-07-01</x:v>
      </x:c>
      <x:c r="F174" s="2" t="str">
        <x:v>Flat level</x:v>
      </x:c>
      <x:c r="G174" s="2" t="n">
        <x:v>13</x:v>
      </x:c>
      <x:c r="H174" s="7" t="n">
        <x:v>-1.103509477415869</x:v>
      </x:c>
      <x:c r="I174" s="7" t="n">
        <x:v>0.22431613883722168</x:v>
      </x:c>
      <x:c r="J174" s="7" t="n">
        <x:v>0.5701897662815814</x:v>
      </x:c>
      <x:c r="K174" s="7" t="n">
        <x:f>H174+I174*J174</x:f>
        <x:v>-0.9756067106390867</x:v>
      </x:c>
      <x:c r="L174" s="7" t="n">
        <x:v>0</x:v>
      </x:c>
      <x:c r="M174" s="7" t="n">
        <x:f>K174-L174</x:f>
        <x:v>-0.9756067106390867</x:v>
      </x:c>
      <x:c r="N174" s="7" t="n">
        <x:f>M174^2</x:f>
        <x:v>0.9518084538440186</x:v>
      </x:c>
      <x:c r="O174" s="7" t="n">
        <x:v>1</x:v>
      </x:c>
      <x:c r="P174" s="7" t="n">
        <x:v>-0.25</x:v>
      </x:c>
      <x:c r="Q174" s="7" t="n">
        <x:v>1.8541066532038464</x:v>
      </x:c>
      <x:c r="R174" s="7" t="n">
        <x:f>H174+I174*Q174</x:f>
        <x:v>-0.6876034319767785</x:v>
      </x:c>
      <x:c r="S174" s="7" t="n">
        <x:f>R174-L174</x:f>
        <x:v>-0.6876034319767785</x:v>
      </x:c>
      <x:c r="T174" s="7" t="n">
        <x:f>K174-R174</x:f>
        <x:v>-0.2880032786623081</x:v>
      </x:c>
      <x:c r="U174" s="7" t="n">
        <x:f>M174-S174-T174</x:f>
        <x:v>0</x:v>
      </x:c>
    </x:row>
    <x:row r="175" ht="27" customHeight="1">
      <x:c r="A175" s="2"/>
      <x:c r="B175" s="2" t="str">
        <x:v>Fabric &amp; Home Care | organic_volume_growth | PCENDC96</x:v>
      </x:c>
      <x:c r="C175" s="2" t="str">
        <x:v>2024-09-30</x:v>
      </x:c>
      <x:c r="D175" s="2" t="str">
        <x:v>Origin</x:v>
      </x:c>
      <x:c r="E175" s="2" t="str">
        <x:v>2024-07-01</x:v>
      </x:c>
      <x:c r="F175" s="2" t="str">
        <x:v>Flat level</x:v>
      </x:c>
      <x:c r="G175" s="2" t="n">
        <x:v>8</x:v>
      </x:c>
      <x:c r="H175" s="7" t="n">
        <x:v>-3.3135121298678065</x:v>
      </x:c>
      <x:c r="I175" s="7" t="n">
        <x:v>2.5134614690964026</x:v>
      </x:c>
      <x:c r="J175" s="7" t="n">
        <x:v>0.5701897662815814</x:v>
      </x:c>
      <x:c r="K175" s="7" t="n">
        <x:f>H175+I175*J175</x:f>
        <x:v>-1.8803621222459685</x:v>
      </x:c>
      <x:c r="L175" s="7" t="n">
        <x:v>1</x:v>
      </x:c>
      <x:c r="M175" s="7" t="n">
        <x:f>K175-L175</x:f>
        <x:v>-2.8803621222459688</x:v>
      </x:c>
      <x:c r="N175" s="7" t="n">
        <x:f>M175^2</x:f>
        <x:v>8.2964859552693</x:v>
      </x:c>
      <x:c r="O175" s="7" t="n">
        <x:v>1</x:v>
      </x:c>
      <x:c r="P175" s="7" t="n">
        <x:v>0</x:v>
      </x:c>
      <x:c r="Q175" s="7" t="n">
        <x:v>1.8541066532038464</x:v>
      </x:c>
      <x:c r="R175" s="7" t="n">
        <x:f>H175+I175*Q175</x:f>
        <x:v>1.346713502555347</x:v>
      </x:c>
      <x:c r="S175" s="7" t="n">
        <x:f>R175-L175</x:f>
        <x:v>0.34671350255534694</x:v>
      </x:c>
      <x:c r="T175" s="7" t="n">
        <x:f>K175-R175</x:f>
        <x:v>-3.2270756248013157</x:v>
      </x:c>
      <x:c r="U175" s="7" t="n">
        <x:f>M175-S175-T175</x:f>
        <x:v>0</x:v>
      </x:c>
    </x:row>
    <x:row r="176" ht="27" customHeight="1">
      <x:c r="A176" s="2"/>
      <x:c r="B176" s="2" t="str">
        <x:v>Baby, Feminine &amp; Family Care | organic_volume_growth | PCENDC96</x:v>
      </x:c>
      <x:c r="C176" s="2" t="str">
        <x:v>2024-09-30</x:v>
      </x:c>
      <x:c r="D176" s="2" t="str">
        <x:v>Origin</x:v>
      </x:c>
      <x:c r="E176" s="2" t="str">
        <x:v>2024-07-01</x:v>
      </x:c>
      <x:c r="F176" s="2" t="str">
        <x:v>Recent trend</x:v>
      </x:c>
      <x:c r="G176" s="2" t="n">
        <x:v>13</x:v>
      </x:c>
      <x:c r="H176" s="7" t="n">
        <x:v>-2.2156902053612186</x:v>
      </x:c>
      <x:c r="I176" s="7" t="n">
        <x:v>0.11530623229139224</x:v>
      </x:c>
      <x:c r="J176" s="7" t="n">
        <x:v>0.02227303774535727</x:v>
      </x:c>
      <x:c r="K176" s="7" t="n">
        <x:f>H176+I176*J176</x:f>
        <x:v>-2.2131219852971173</x:v>
      </x:c>
      <x:c r="L176" s="7" t="n">
        <x:v>-1</x:v>
      </x:c>
      <x:c r="M176" s="7" t="n">
        <x:f>K176-L176</x:f>
        <x:v>-1.2131219852971173</x:v>
      </x:c>
      <x:c r="N176" s="7" t="n">
        <x:f>M176^2</x:f>
        <x:v>1.4716649512112194</x:v>
      </x:c>
      <x:c r="O176" s="7" t="n">
        <x:v>-3</x:v>
      </x:c>
      <x:c r="P176" s="7" t="n">
        <x:v>-2</x:v>
      </x:c>
      <x:c r="Q176" s="7" t="n">
        <x:v>1.8541066532038464</x:v>
      </x:c>
      <x:c r="R176" s="7" t="n">
        <x:f>H176+I176*Q176</x:f>
        <x:v>-2.0019001529138802</x:v>
      </x:c>
      <x:c r="S176" s="7" t="n">
        <x:f>R176-L176</x:f>
        <x:v>-1.0019001529138802</x:v>
      </x:c>
      <x:c r="T176" s="7" t="n">
        <x:f>K176-R176</x:f>
        <x:v>-0.2112218323832371</x:v>
      </x:c>
      <x:c r="U176" s="7" t="n">
        <x:f>M176-S176-T176</x:f>
        <x:v>0</x:v>
      </x:c>
    </x:row>
    <x:row r="177" ht="27" customHeight="1">
      <x:c r="A177" s="2"/>
      <x:c r="B177" s="2" t="str">
        <x:v>Beauty | organic_volume_growth | PCENDC96</x:v>
      </x:c>
      <x:c r="C177" s="2" t="str">
        <x:v>2024-09-30</x:v>
      </x:c>
      <x:c r="D177" s="2" t="str">
        <x:v>Origin</x:v>
      </x:c>
      <x:c r="E177" s="2" t="str">
        <x:v>2024-07-01</x:v>
      </x:c>
      <x:c r="F177" s="2" t="str">
        <x:v>Recent trend</x:v>
      </x:c>
      <x:c r="G177" s="2" t="n">
        <x:v>13</x:v>
      </x:c>
      <x:c r="H177" s="7" t="n">
        <x:v>-1.103509477415869</x:v>
      </x:c>
      <x:c r="I177" s="7" t="n">
        <x:v>0.22431613883722168</x:v>
      </x:c>
      <x:c r="J177" s="7" t="n">
        <x:v>0.02227303774535727</x:v>
      </x:c>
      <x:c r="K177" s="7" t="n">
        <x:f>H177+I177*J177</x:f>
        <x:v>-1.0985132755886546</x:v>
      </x:c>
      <x:c r="L177" s="7" t="n">
        <x:v>0</x:v>
      </x:c>
      <x:c r="M177" s="7" t="n">
        <x:f>K177-L177</x:f>
        <x:v>-1.0985132755886546</x:v>
      </x:c>
      <x:c r="N177" s="7" t="n">
        <x:f>M177^2</x:f>
        <x:v>1.2067314166445156</x:v>
      </x:c>
      <x:c r="O177" s="7" t="n">
        <x:v>1</x:v>
      </x:c>
      <x:c r="P177" s="7" t="n">
        <x:v>-0.25</x:v>
      </x:c>
      <x:c r="Q177" s="7" t="n">
        <x:v>1.8541066532038464</x:v>
      </x:c>
      <x:c r="R177" s="7" t="n">
        <x:f>H177+I177*Q177</x:f>
        <x:v>-0.6876034319767785</x:v>
      </x:c>
      <x:c r="S177" s="7" t="n">
        <x:f>R177-L177</x:f>
        <x:v>-0.6876034319767785</x:v>
      </x:c>
      <x:c r="T177" s="7" t="n">
        <x:f>K177-R177</x:f>
        <x:v>-0.4109098436118761</x:v>
      </x:c>
      <x:c r="U177" s="7" t="n">
        <x:f>M177-S177-T177</x:f>
        <x:v>0</x:v>
      </x:c>
    </x:row>
    <x:row r="178" ht="27" customHeight="1">
      <x:c r="A178" s="2"/>
      <x:c r="B178" s="2" t="str">
        <x:v>Fabric &amp; Home Care | organic_volume_growth | PCENDC96</x:v>
      </x:c>
      <x:c r="C178" s="2" t="str">
        <x:v>2024-09-30</x:v>
      </x:c>
      <x:c r="D178" s="2" t="str">
        <x:v>Origin</x:v>
      </x:c>
      <x:c r="E178" s="2" t="str">
        <x:v>2024-07-01</x:v>
      </x:c>
      <x:c r="F178" s="2" t="str">
        <x:v>Recent trend</x:v>
      </x:c>
      <x:c r="G178" s="2" t="n">
        <x:v>8</x:v>
      </x:c>
      <x:c r="H178" s="7" t="n">
        <x:v>-3.3135121298678065</x:v>
      </x:c>
      <x:c r="I178" s="7" t="n">
        <x:v>2.5134614690964026</x:v>
      </x:c>
      <x:c r="J178" s="7" t="n">
        <x:v>0.02227303774535727</x:v>
      </x:c>
      <x:c r="K178" s="7" t="n">
        <x:f>H178+I178*J178</x:f>
        <x:v>-3.257529707695121</x:v>
      </x:c>
      <x:c r="L178" s="7" t="n">
        <x:v>1</x:v>
      </x:c>
      <x:c r="M178" s="7" t="n">
        <x:f>K178-L178</x:f>
        <x:v>-4.257529707695121</x:v>
      </x:c>
      <x:c r="N178" s="7" t="n">
        <x:f>M178^2</x:f>
        <x:v>18.126559211906503</x:v>
      </x:c>
      <x:c r="O178" s="7" t="n">
        <x:v>1</x:v>
      </x:c>
      <x:c r="P178" s="7" t="n">
        <x:v>0</x:v>
      </x:c>
      <x:c r="Q178" s="7" t="n">
        <x:v>1.8541066532038464</x:v>
      </x:c>
      <x:c r="R178" s="7" t="n">
        <x:f>H178+I178*Q178</x:f>
        <x:v>1.346713502555347</x:v>
      </x:c>
      <x:c r="S178" s="7" t="n">
        <x:f>R178-L178</x:f>
        <x:v>0.34671350255534694</x:v>
      </x:c>
      <x:c r="T178" s="7" t="n">
        <x:f>K178-R178</x:f>
        <x:v>-4.604243210250468</x:v>
      </x:c>
      <x:c r="U178" s="7" t="n">
        <x:f>M178-S178-T178</x:f>
        <x:v>0</x:v>
      </x:c>
    </x:row>
    <x:row r="179" ht="27" customHeight="1">
      <x:c r="A179" s="2"/>
      <x:c r="B179" s="2" t="str">
        <x:v>Baby, Feminine &amp; Family Care | organic_volume_growth | PCENDC96</x:v>
      </x:c>
      <x:c r="C179" s="2" t="str">
        <x:v>2024-09-30</x:v>
      </x:c>
      <x:c r="D179" s="2" t="str">
        <x:v>One month</x:v>
      </x:c>
      <x:c r="E179" s="2" t="str">
        <x:v>2024-08-30</x:v>
      </x:c>
      <x:c r="F179" s="2" t="str">
        <x:v>YoY carry</x:v>
      </x:c>
      <x:c r="G179" s="2" t="n">
        <x:v>10</x:v>
      </x:c>
      <x:c r="H179" s="7" t="n">
        <x:v>-2.9551265161396167</x:v>
      </x:c>
      <x:c r="I179" s="7" t="n">
        <x:v>1.012625503576683</x:v>
      </x:c>
      <x:c r="J179" s="7" t="n">
        <x:v>1.8769844426292925</x:v>
      </x:c>
      <x:c r="K179" s="7" t="n">
        <x:f>H179+I179*J179</x:f>
        <x:v>-1.05444419971653</x:v>
      </x:c>
      <x:c r="L179" s="7" t="n">
        <x:v>-1</x:v>
      </x:c>
      <x:c r="M179" s="7" t="n">
        <x:f>K179-L179</x:f>
        <x:v>-0.05444419971652992</x:v>
      </x:c>
      <x:c r="N179" s="7" t="n">
        <x:f>M179^2</x:f>
        <x:v>0.0029641708827733964</x:v>
      </x:c>
      <x:c r="O179" s="7" t="n">
        <x:v>-1</x:v>
      </x:c>
      <x:c r="P179" s="7" t="n">
        <x:v>-2.25</x:v>
      </x:c>
      <x:c r="Q179" s="7" t="n">
        <x:v>1.8541066532038464</x:v>
      </x:c>
      <x:c r="R179" s="7" t="n">
        <x:f>H179+I179*Q179</x:f>
        <x:v>-1.0776108327541936</x:v>
      </x:c>
      <x:c r="S179" s="7" t="n">
        <x:f>R179-L179</x:f>
        <x:v>-0.07761083275419356</x:v>
      </x:c>
      <x:c r="T179" s="7" t="n">
        <x:f>K179-R179</x:f>
        <x:v>0.023166633037663642</x:v>
      </x:c>
      <x:c r="U179" s="7" t="n">
        <x:f>M179-S179-T179</x:f>
        <x:v>0</x:v>
      </x:c>
    </x:row>
    <x:row r="180" ht="27" customHeight="1">
      <x:c r="A180" s="2"/>
      <x:c r="B180" s="2" t="str">
        <x:v>Beauty | organic_volume_growth | PCENDC96</x:v>
      </x:c>
      <x:c r="C180" s="2" t="str">
        <x:v>2024-09-30</x:v>
      </x:c>
      <x:c r="D180" s="2" t="str">
        <x:v>One month</x:v>
      </x:c>
      <x:c r="E180" s="2" t="str">
        <x:v>2024-08-30</x:v>
      </x:c>
      <x:c r="F180" s="2" t="str">
        <x:v>YoY carry</x:v>
      </x:c>
      <x:c r="G180" s="2" t="n">
        <x:v>10</x:v>
      </x:c>
      <x:c r="H180" s="7" t="n">
        <x:v>-1.2568117040506988</x:v>
      </x:c>
      <x:c r="I180" s="7" t="n">
        <x:v>0.4843119461531559</x:v>
      </x:c>
      <x:c r="J180" s="7" t="n">
        <x:v>1.8769844426292925</x:v>
      </x:c>
      <x:c r="K180" s="7" t="n">
        <x:f>H180+I180*J180</x:f>
        <x:v>-0.34776571574170945</x:v>
      </x:c>
      <x:c r="L180" s="7" t="n">
        <x:v>0</x:v>
      </x:c>
      <x:c r="M180" s="7" t="n">
        <x:f>K180-L180</x:f>
        <x:v>-0.34776571574170945</x:v>
      </x:c>
      <x:c r="N180" s="7" t="n">
        <x:f>M180^2</x:f>
        <x:v>0.12094099304534346</x:v>
      </x:c>
      <x:c r="O180" s="7" t="n">
        <x:v>1</x:v>
      </x:c>
      <x:c r="P180" s="7" t="n">
        <x:v>0.25</x:v>
      </x:c>
      <x:c r="Q180" s="7" t="n">
        <x:v>1.8541066532038464</x:v>
      </x:c>
      <x:c r="R180" s="7" t="n">
        <x:f>H180+I180*Q180</x:f>
        <x:v>-0.3588457024620294</x:v>
      </x:c>
      <x:c r="S180" s="7" t="n">
        <x:f>R180-L180</x:f>
        <x:v>-0.3588457024620294</x:v>
      </x:c>
      <x:c r="T180" s="7" t="n">
        <x:f>K180-R180</x:f>
        <x:v>0.011079986720319956</x:v>
      </x:c>
      <x:c r="U180" s="7" t="n">
        <x:f>M180-S180-T180</x:f>
        <x:v>0</x:v>
      </x:c>
    </x:row>
    <x:row r="181" ht="27" customHeight="1">
      <x:c r="A181" s="2"/>
      <x:c r="B181" s="2" t="str">
        <x:v>Fabric &amp; Home Care | organic_volume_growth | PCENDC96</x:v>
      </x:c>
      <x:c r="C181" s="2" t="str">
        <x:v>2024-09-30</x:v>
      </x:c>
      <x:c r="D181" s="2" t="str">
        <x:v>One month</x:v>
      </x:c>
      <x:c r="E181" s="2" t="str">
        <x:v>2024-08-30</x:v>
      </x:c>
      <x:c r="F181" s="2" t="str">
        <x:v>YoY carry</x:v>
      </x:c>
      <x:c r="G181" s="2" t="n">
        <x:v>8</x:v>
      </x:c>
      <x:c r="H181" s="7" t="n">
        <x:v>-3.523730216141538</x:v>
      </x:c>
      <x:c r="I181" s="7" t="n">
        <x:v>2.7834636089842175</x:v>
      </x:c>
      <x:c r="J181" s="7" t="n">
        <x:v>1.8769844426292925</x:v>
      </x:c>
      <x:c r="K181" s="7" t="n">
        <x:f>H181+I181*J181</x:f>
        <x:v>1.7007876745466222</x:v>
      </x:c>
      <x:c r="L181" s="7" t="n">
        <x:v>1</x:v>
      </x:c>
      <x:c r="M181" s="7" t="n">
        <x:f>K181-L181</x:f>
        <x:v>0.7007876745466222</x:v>
      </x:c>
      <x:c r="N181" s="7" t="n">
        <x:f>M181^2</x:f>
        <x:v>0.49110336479646244</x:v>
      </x:c>
      <x:c r="O181" s="7" t="n">
        <x:v>3</x:v>
      </x:c>
      <x:c r="P181" s="7" t="n">
        <x:v>1.25</x:v>
      </x:c>
      <x:c r="Q181" s="7" t="n">
        <x:v>1.8541066532038464</x:v>
      </x:c>
      <x:c r="R181" s="7" t="n">
        <x:f>H181+I181*Q181</x:f>
        <x:v>1.637108180226889</x:v>
      </x:c>
      <x:c r="S181" s="7" t="n">
        <x:f>R181-L181</x:f>
        <x:v>0.637108180226889</x:v>
      </x:c>
      <x:c r="T181" s="7" t="n">
        <x:f>K181-R181</x:f>
        <x:v>0.06367949431973319</x:v>
      </x:c>
      <x:c r="U181" s="7" t="n">
        <x:f>M181-S181-T181</x:f>
        <x:v>0</x:v>
      </x:c>
    </x:row>
    <x:row r="182" ht="27" customHeight="1">
      <x:c r="A182" s="2"/>
      <x:c r="B182" s="2" t="str">
        <x:v>Baby, Feminine &amp; Family Care | organic_volume_growth | PCENDC96</x:v>
      </x:c>
      <x:c r="C182" s="2" t="str">
        <x:v>2024-09-30</x:v>
      </x:c>
      <x:c r="D182" s="2" t="str">
        <x:v>One month</x:v>
      </x:c>
      <x:c r="E182" s="2" t="str">
        <x:v>2024-08-30</x:v>
      </x:c>
      <x:c r="F182" s="2" t="str">
        <x:v>Flat level</x:v>
      </x:c>
      <x:c r="G182" s="2" t="n">
        <x:v>10</x:v>
      </x:c>
      <x:c r="H182" s="7" t="n">
        <x:v>-2.9551265161396167</x:v>
      </x:c>
      <x:c r="I182" s="7" t="n">
        <x:v>1.012625503576683</x:v>
      </x:c>
      <x:c r="J182" s="7" t="n">
        <x:v>1.615537671131162</x:v>
      </x:c>
      <x:c r="K182" s="7" t="n">
        <x:f>H182+I182*J182</x:f>
        <x:v>-1.3191918683633224</x:v>
      </x:c>
      <x:c r="L182" s="7" t="n">
        <x:v>-1</x:v>
      </x:c>
      <x:c r="M182" s="7" t="n">
        <x:f>K182-L182</x:f>
        <x:v>-0.31919186836332236</x:v>
      </x:c>
      <x:c r="N182" s="7" t="n">
        <x:f>M182^2</x:f>
        <x:v>0.10188344882926852</x:v>
      </x:c>
      <x:c r="O182" s="7" t="n">
        <x:v>-1</x:v>
      </x:c>
      <x:c r="P182" s="7" t="n">
        <x:v>-2.25</x:v>
      </x:c>
      <x:c r="Q182" s="7" t="n">
        <x:v>1.8541066532038464</x:v>
      </x:c>
      <x:c r="R182" s="7" t="n">
        <x:f>H182+I182*Q182</x:f>
        <x:v>-1.0776108327541936</x:v>
      </x:c>
      <x:c r="S182" s="7" t="n">
        <x:f>R182-L182</x:f>
        <x:v>-0.07761083275419356</x:v>
      </x:c>
      <x:c r="T182" s="7" t="n">
        <x:f>K182-R182</x:f>
        <x:v>-0.2415810356091288</x:v>
      </x:c>
      <x:c r="U182" s="7" t="n">
        <x:f>M182-S182-T182</x:f>
        <x:v>0</x:v>
      </x:c>
    </x:row>
    <x:row r="183" ht="27" customHeight="1">
      <x:c r="A183" s="2"/>
      <x:c r="B183" s="2" t="str">
        <x:v>Beauty | organic_volume_growth | PCENDC96</x:v>
      </x:c>
      <x:c r="C183" s="2" t="str">
        <x:v>2024-09-30</x:v>
      </x:c>
      <x:c r="D183" s="2" t="str">
        <x:v>One month</x:v>
      </x:c>
      <x:c r="E183" s="2" t="str">
        <x:v>2024-08-30</x:v>
      </x:c>
      <x:c r="F183" s="2" t="str">
        <x:v>Flat level</x:v>
      </x:c>
      <x:c r="G183" s="2" t="n">
        <x:v>10</x:v>
      </x:c>
      <x:c r="H183" s="7" t="n">
        <x:v>-1.2568117040506988</x:v>
      </x:c>
      <x:c r="I183" s="7" t="n">
        <x:v>0.4843119461531559</x:v>
      </x:c>
      <x:c r="J183" s="7" t="n">
        <x:v>1.615537671131162</x:v>
      </x:c>
      <x:c r="K183" s="7" t="n">
        <x:f>H183+I183*J183</x:f>
        <x:v>-0.47438751046142846</x:v>
      </x:c>
      <x:c r="L183" s="7" t="n">
        <x:v>0</x:v>
      </x:c>
      <x:c r="M183" s="7" t="n">
        <x:f>K183-L183</x:f>
        <x:v>-0.47438751046142846</x:v>
      </x:c>
      <x:c r="N183" s="7" t="n">
        <x:f>M183^2</x:f>
        <x:v>0.2250435100817919</x:v>
      </x:c>
      <x:c r="O183" s="7" t="n">
        <x:v>1</x:v>
      </x:c>
      <x:c r="P183" s="7" t="n">
        <x:v>0.25</x:v>
      </x:c>
      <x:c r="Q183" s="7" t="n">
        <x:v>1.8541066532038464</x:v>
      </x:c>
      <x:c r="R183" s="7" t="n">
        <x:f>H183+I183*Q183</x:f>
        <x:v>-0.3588457024620294</x:v>
      </x:c>
      <x:c r="S183" s="7" t="n">
        <x:f>R183-L183</x:f>
        <x:v>-0.3588457024620294</x:v>
      </x:c>
      <x:c r="T183" s="7" t="n">
        <x:f>K183-R183</x:f>
        <x:v>-0.11554180799939906</x:v>
      </x:c>
      <x:c r="U183" s="7" t="n">
        <x:f>M183-S183-T183</x:f>
        <x:v>0</x:v>
      </x:c>
    </x:row>
    <x:row r="184" ht="27" customHeight="1">
      <x:c r="A184" s="2"/>
      <x:c r="B184" s="2" t="str">
        <x:v>Fabric &amp; Home Care | organic_volume_growth | PCENDC96</x:v>
      </x:c>
      <x:c r="C184" s="2" t="str">
        <x:v>2024-09-30</x:v>
      </x:c>
      <x:c r="D184" s="2" t="str">
        <x:v>One month</x:v>
      </x:c>
      <x:c r="E184" s="2" t="str">
        <x:v>2024-08-30</x:v>
      </x:c>
      <x:c r="F184" s="2" t="str">
        <x:v>Flat level</x:v>
      </x:c>
      <x:c r="G184" s="2" t="n">
        <x:v>8</x:v>
      </x:c>
      <x:c r="H184" s="7" t="n">
        <x:v>-3.523730216141538</x:v>
      </x:c>
      <x:c r="I184" s="7" t="n">
        <x:v>2.7834636089842175</x:v>
      </x:c>
      <x:c r="J184" s="7" t="n">
        <x:v>1.615537671131162</x:v>
      </x:c>
      <x:c r="K184" s="7" t="n">
        <x:f>H184+I184*J184</x:f>
        <x:v>0.9730601003951644</x:v>
      </x:c>
      <x:c r="L184" s="7" t="n">
        <x:v>1</x:v>
      </x:c>
      <x:c r="M184" s="7" t="n">
        <x:f>K184-L184</x:f>
        <x:v>-0.02693989960483556</x:v>
      </x:c>
      <x:c r="N184" s="7" t="n">
        <x:f>M184^2</x:f>
        <x:v>0.0007257581907186191</x:v>
      </x:c>
      <x:c r="O184" s="7" t="n">
        <x:v>3</x:v>
      </x:c>
      <x:c r="P184" s="7" t="n">
        <x:v>1.25</x:v>
      </x:c>
      <x:c r="Q184" s="7" t="n">
        <x:v>1.8541066532038464</x:v>
      </x:c>
      <x:c r="R184" s="7" t="n">
        <x:f>H184+I184*Q184</x:f>
        <x:v>1.637108180226889</x:v>
      </x:c>
      <x:c r="S184" s="7" t="n">
        <x:f>R184-L184</x:f>
        <x:v>0.637108180226889</x:v>
      </x:c>
      <x:c r="T184" s="7" t="n">
        <x:f>K184-R184</x:f>
        <x:v>-0.6640480798317245</x:v>
      </x:c>
      <x:c r="U184" s="7" t="n">
        <x:f>M184-S184-T184</x:f>
        <x:v>0</x:v>
      </x:c>
    </x:row>
    <x:row r="185" ht="27" customHeight="1">
      <x:c r="A185" s="2"/>
      <x:c r="B185" s="2" t="str">
        <x:v>Baby, Feminine &amp; Family Care | organic_volume_growth | PCENDC96</x:v>
      </x:c>
      <x:c r="C185" s="2" t="str">
        <x:v>2024-09-30</x:v>
      </x:c>
      <x:c r="D185" s="2" t="str">
        <x:v>One month</x:v>
      </x:c>
      <x:c r="E185" s="2" t="str">
        <x:v>2024-08-30</x:v>
      </x:c>
      <x:c r="F185" s="2" t="str">
        <x:v>Recent trend</x:v>
      </x:c>
      <x:c r="G185" s="2" t="n">
        <x:v>10</x:v>
      </x:c>
      <x:c r="H185" s="7" t="n">
        <x:v>-2.9551265161396167</x:v>
      </x:c>
      <x:c r="I185" s="7" t="n">
        <x:v>1.012625503576683</x:v>
      </x:c>
      <x:c r="J185" s="7" t="n">
        <x:v>1.9689365366911016</x:v>
      </x:c>
      <x:c r="K185" s="7" t="n">
        <x:f>H185+I185*J185</x:f>
        <x:v>-0.9613311641622599</x:v>
      </x:c>
      <x:c r="L185" s="7" t="n">
        <x:v>-1</x:v>
      </x:c>
      <x:c r="M185" s="7" t="n">
        <x:f>K185-L185</x:f>
        <x:v>0.038668835837740057</x:v>
      </x:c>
      <x:c r="N185" s="7" t="n">
        <x:f>M185^2</x:f>
        <x:v>0.0014952788650460897</x:v>
      </x:c>
      <x:c r="O185" s="7" t="n">
        <x:v>-1</x:v>
      </x:c>
      <x:c r="P185" s="7" t="n">
        <x:v>-2.25</x:v>
      </x:c>
      <x:c r="Q185" s="7" t="n">
        <x:v>1.8541066532038464</x:v>
      </x:c>
      <x:c r="R185" s="7" t="n">
        <x:f>H185+I185*Q185</x:f>
        <x:v>-1.0776108327541936</x:v>
      </x:c>
      <x:c r="S185" s="7" t="n">
        <x:f>R185-L185</x:f>
        <x:v>-0.07761083275419356</x:v>
      </x:c>
      <x:c r="T185" s="7" t="n">
        <x:f>K185-R185</x:f>
        <x:v>0.11627966859193362</x:v>
      </x:c>
      <x:c r="U185" s="7" t="n">
        <x:f>M185-S185-T185</x:f>
        <x:v>0</x:v>
      </x:c>
    </x:row>
    <x:row r="186" ht="27" customHeight="1">
      <x:c r="A186" s="2"/>
      <x:c r="B186" s="2" t="str">
        <x:v>Beauty | organic_volume_growth | PCENDC96</x:v>
      </x:c>
      <x:c r="C186" s="2" t="str">
        <x:v>2024-09-30</x:v>
      </x:c>
      <x:c r="D186" s="2" t="str">
        <x:v>One month</x:v>
      </x:c>
      <x:c r="E186" s="2" t="str">
        <x:v>2024-08-30</x:v>
      </x:c>
      <x:c r="F186" s="2" t="str">
        <x:v>Recent trend</x:v>
      </x:c>
      <x:c r="G186" s="2" t="n">
        <x:v>10</x:v>
      </x:c>
      <x:c r="H186" s="7" t="n">
        <x:v>-1.2568117040506988</x:v>
      </x:c>
      <x:c r="I186" s="7" t="n">
        <x:v>0.4843119461531559</x:v>
      </x:c>
      <x:c r="J186" s="7" t="n">
        <x:v>1.9689365366911016</x:v>
      </x:c>
      <x:c r="K186" s="7" t="n">
        <x:f>H186+I186*J186</x:f>
        <x:v>-0.30323221811377665</x:v>
      </x:c>
      <x:c r="L186" s="7" t="n">
        <x:v>0</x:v>
      </x:c>
      <x:c r="M186" s="7" t="n">
        <x:f>K186-L186</x:f>
        <x:v>-0.30323221811377665</x:v>
      </x:c>
      <x:c r="N186" s="7" t="n">
        <x:f>M186^2</x:f>
        <x:v>0.09194977810220102</x:v>
      </x:c>
      <x:c r="O186" s="7" t="n">
        <x:v>1</x:v>
      </x:c>
      <x:c r="P186" s="7" t="n">
        <x:v>0.25</x:v>
      </x:c>
      <x:c r="Q186" s="7" t="n">
        <x:v>1.8541066532038464</x:v>
      </x:c>
      <x:c r="R186" s="7" t="n">
        <x:f>H186+I186*Q186</x:f>
        <x:v>-0.3588457024620294</x:v>
      </x:c>
      <x:c r="S186" s="7" t="n">
        <x:f>R186-L186</x:f>
        <x:v>-0.3588457024620294</x:v>
      </x:c>
      <x:c r="T186" s="7" t="n">
        <x:f>K186-R186</x:f>
        <x:v>0.05561348434825275</x:v>
      </x:c>
      <x:c r="U186" s="7" t="n">
        <x:f>M186-S186-T186</x:f>
        <x:v>0</x:v>
      </x:c>
    </x:row>
    <x:row r="187" ht="27" customHeight="1">
      <x:c r="A187" s="2"/>
      <x:c r="B187" s="2" t="str">
        <x:v>Fabric &amp; Home Care | organic_volume_growth | PCENDC96</x:v>
      </x:c>
      <x:c r="C187" s="2" t="str">
        <x:v>2024-09-30</x:v>
      </x:c>
      <x:c r="D187" s="2" t="str">
        <x:v>One month</x:v>
      </x:c>
      <x:c r="E187" s="2" t="str">
        <x:v>2024-08-30</x:v>
      </x:c>
      <x:c r="F187" s="2" t="str">
        <x:v>Recent trend</x:v>
      </x:c>
      <x:c r="G187" s="2" t="n">
        <x:v>8</x:v>
      </x:c>
      <x:c r="H187" s="7" t="n">
        <x:v>-3.523730216141538</x:v>
      </x:c>
      <x:c r="I187" s="7" t="n">
        <x:v>2.7834636089842175</x:v>
      </x:c>
      <x:c r="J187" s="7" t="n">
        <x:v>1.9689365366911016</x:v>
      </x:c>
      <x:c r="K187" s="7" t="n">
        <x:f>H187+I187*J187</x:f>
        <x:v>1.956732982137562</x:v>
      </x:c>
      <x:c r="L187" s="7" t="n">
        <x:v>1</x:v>
      </x:c>
      <x:c r="M187" s="7" t="n">
        <x:f>K187-L187</x:f>
        <x:v>0.9567329821375621</x:v>
      </x:c>
      <x:c r="N187" s="7" t="n">
        <x:f>M187^2</x:f>
        <x:v>0.9153379991098327</x:v>
      </x:c>
      <x:c r="O187" s="7" t="n">
        <x:v>3</x:v>
      </x:c>
      <x:c r="P187" s="7" t="n">
        <x:v>1.25</x:v>
      </x:c>
      <x:c r="Q187" s="7" t="n">
        <x:v>1.8541066532038464</x:v>
      </x:c>
      <x:c r="R187" s="7" t="n">
        <x:f>H187+I187*Q187</x:f>
        <x:v>1.637108180226889</x:v>
      </x:c>
      <x:c r="S187" s="7" t="n">
        <x:f>R187-L187</x:f>
        <x:v>0.637108180226889</x:v>
      </x:c>
      <x:c r="T187" s="7" t="n">
        <x:f>K187-R187</x:f>
        <x:v>0.3196248019106731</x:v>
      </x:c>
      <x:c r="U187" s="7" t="n">
        <x:f>M187-S187-T187</x:f>
        <x:v>0</x:v>
      </x:c>
    </x:row>
    <x:row r="188" ht="27" customHeight="1">
      <x:c r="A188" s="2"/>
      <x:c r="B188" s="2" t="str">
        <x:v>Baby, Feminine &amp; Family Care | organic_volume_growth | PCENDC96</x:v>
      </x:c>
      <x:c r="C188" s="2" t="str">
        <x:v>2024-09-30</x:v>
      </x:c>
      <x:c r="D188" s="2" t="str">
        <x:v>Two months</x:v>
      </x:c>
      <x:c r="E188" s="2" t="str">
        <x:v>2024-09-27</x:v>
      </x:c>
      <x:c r="F188" s="2" t="str">
        <x:v>YoY carry</x:v>
      </x:c>
      <x:c r="G188" s="2" t="n">
        <x:v>10</x:v>
      </x:c>
      <x:c r="H188" s="7" t="n">
        <x:v>-2.6267193577305967</x:v>
      </x:c>
      <x:c r="I188" s="7" t="n">
        <x:v>0.8967705015755335</x:v>
      </x:c>
      <x:c r="J188" s="7" t="n">
        <x:v>2.202595864225132</x:v>
      </x:c>
      <x:c r="K188" s="7" t="n">
        <x:f>H188+I188*J188</x:f>
        <x:v>-0.6514963598012293</x:v>
      </x:c>
      <x:c r="L188" s="7" t="n">
        <x:v>-1</x:v>
      </x:c>
      <x:c r="M188" s="7" t="n">
        <x:f>K188-L188</x:f>
        <x:v>0.34850364019877067</x:v>
      </x:c>
      <x:c r="N188" s="7" t="n">
        <x:f>M188^2</x:f>
        <x:v>0.1214547872317942</x:v>
      </x:c>
      <x:c r="O188" s="7" t="n">
        <x:v>-1</x:v>
      </x:c>
      <x:c r="P188" s="7" t="n">
        <x:v>-2.25</x:v>
      </x:c>
      <x:c r="Q188" s="7" t="n">
        <x:v>2.309344790547807</x:v>
      </x:c>
      <x:c r="R188" s="7" t="n">
        <x:f>H188+I188*Q188</x:f>
        <x:v>-0.5557670716001946</x:v>
      </x:c>
      <x:c r="S188" s="7" t="n">
        <x:f>R188-L188</x:f>
        <x:v>0.44423292839980544</x:v>
      </x:c>
      <x:c r="T188" s="7" t="n">
        <x:f>K188-R188</x:f>
        <x:v>-0.09572928820103477</x:v>
      </x:c>
      <x:c r="U188" s="7" t="n">
        <x:f>M188-S188-T188</x:f>
        <x:v>0</x:v>
      </x:c>
    </x:row>
    <x:row r="189" ht="27" customHeight="1">
      <x:c r="A189" s="2"/>
      <x:c r="B189" s="2" t="str">
        <x:v>Beauty | organic_volume_growth | PCENDC96</x:v>
      </x:c>
      <x:c r="C189" s="2" t="str">
        <x:v>2024-09-30</x:v>
      </x:c>
      <x:c r="D189" s="2" t="str">
        <x:v>Two months</x:v>
      </x:c>
      <x:c r="E189" s="2" t="str">
        <x:v>2024-09-27</x:v>
      </x:c>
      <x:c r="F189" s="2" t="str">
        <x:v>YoY carry</x:v>
      </x:c>
      <x:c r="G189" s="2" t="n">
        <x:v>10</x:v>
      </x:c>
      <x:c r="H189" s="7" t="n">
        <x:v>-1.147867532132199</x:v>
      </x:c>
      <x:c r="I189" s="7" t="n">
        <x:v>0.4977624153842298</x:v>
      </x:c>
      <x:c r="J189" s="7" t="n">
        <x:v>2.202595864225132</x:v>
      </x:c>
      <x:c r="K189" s="7" t="n">
        <x:f>H189+I189*J189</x:f>
        <x:v>-0.05149809464018218</x:v>
      </x:c>
      <x:c r="L189" s="7" t="n">
        <x:v>0</x:v>
      </x:c>
      <x:c r="M189" s="7" t="n">
        <x:f>K189-L189</x:f>
        <x:v>-0.05149809464018218</x:v>
      </x:c>
      <x:c r="N189" s="7" t="n">
        <x:f>M189^2</x:f>
        <x:v>0.0026520537515691603</x:v>
      </x:c>
      <x:c r="O189" s="7" t="n">
        <x:v>1</x:v>
      </x:c>
      <x:c r="P189" s="7" t="n">
        <x:v>0.25</x:v>
      </x:c>
      <x:c r="Q189" s="7" t="n">
        <x:v>2.309344790547807</x:v>
      </x:c>
      <x:c r="R189" s="7" t="n">
        <x:f>H189+I189*Q189</x:f>
        <x:v>0.0016375087658657694</x:v>
      </x:c>
      <x:c r="S189" s="7" t="n">
        <x:f>R189-L189</x:f>
        <x:v>0.0016375087658657694</x:v>
      </x:c>
      <x:c r="T189" s="7" t="n">
        <x:f>K189-R189</x:f>
        <x:v>-0.05313560340604795</x:v>
      </x:c>
      <x:c r="U189" s="7" t="n">
        <x:f>M189-S189-T189</x:f>
        <x:v>0</x:v>
      </x:c>
    </x:row>
    <x:row r="190" ht="27" customHeight="1">
      <x:c r="A190" s="2"/>
      <x:c r="B190" s="2" t="str">
        <x:v>Fabric &amp; Home Care | organic_volume_growth | PCENDC96</x:v>
      </x:c>
      <x:c r="C190" s="2" t="str">
        <x:v>2024-09-30</x:v>
      </x:c>
      <x:c r="D190" s="2" t="str">
        <x:v>Two months</x:v>
      </x:c>
      <x:c r="E190" s="2" t="str">
        <x:v>2024-09-27</x:v>
      </x:c>
      <x:c r="F190" s="2" t="str">
        <x:v>YoY carry</x:v>
      </x:c>
      <x:c r="G190" s="2" t="n">
        <x:v>8</x:v>
      </x:c>
      <x:c r="H190" s="7" t="n">
        <x:v>-2.7554164467887263</x:v>
      </x:c>
      <x:c r="I190" s="7" t="n">
        <x:v>2.3474175191585807</x:v>
      </x:c>
      <x:c r="J190" s="7" t="n">
        <x:v>2.202595864225132</x:v>
      </x:c>
      <x:c r="K190" s="7" t="n">
        <x:f>H190+I190*J190</x:f>
        <x:v>2.4149956725195834</x:v>
      </x:c>
      <x:c r="L190" s="7" t="n">
        <x:v>1</x:v>
      </x:c>
      <x:c r="M190" s="7" t="n">
        <x:f>K190-L190</x:f>
        <x:v>1.4149956725195834</x:v>
      </x:c>
      <x:c r="N190" s="7" t="n">
        <x:f>M190^2</x:f>
        <x:v>2.002212753249148</x:v>
      </x:c>
      <x:c r="O190" s="7" t="n">
        <x:v>3</x:v>
      </x:c>
      <x:c r="P190" s="7" t="n">
        <x:v>1.25</x:v>
      </x:c>
      <x:c r="Q190" s="7" t="n">
        <x:v>2.309344790547807</x:v>
      </x:c>
      <x:c r="R190" s="7" t="n">
        <x:f>H190+I190*Q190</x:f>
        <x:v>2.665579972320799</x:v>
      </x:c>
      <x:c r="S190" s="7" t="n">
        <x:f>R190-L190</x:f>
        <x:v>1.6655799723207991</x:v>
      </x:c>
      <x:c r="T190" s="7" t="n">
        <x:f>K190-R190</x:f>
        <x:v>-0.25058429980121577</x:v>
      </x:c>
      <x:c r="U190" s="7" t="n">
        <x:f>M190-S190-T190</x:f>
        <x:v>0</x:v>
      </x:c>
    </x:row>
    <x:row r="191" ht="27" customHeight="1">
      <x:c r="A191" s="2"/>
      <x:c r="B191" s="2" t="str">
        <x:v>Baby, Feminine &amp; Family Care | organic_volume_growth | PCENDC96</x:v>
      </x:c>
      <x:c r="C191" s="2" t="str">
        <x:v>2024-09-30</x:v>
      </x:c>
      <x:c r="D191" s="2" t="str">
        <x:v>Two months</x:v>
      </x:c>
      <x:c r="E191" s="2" t="str">
        <x:v>2024-09-27</x:v>
      </x:c>
      <x:c r="F191" s="2" t="str">
        <x:v>Flat level</x:v>
      </x:c>
      <x:c r="G191" s="2" t="n">
        <x:v>10</x:v>
      </x:c>
      <x:c r="H191" s="7" t="n">
        <x:v>-2.6267193577305967</x:v>
      </x:c>
      <x:c r="I191" s="7" t="n">
        <x:v>0.8967705015755335</x:v>
      </x:c>
      <x:c r="J191" s="7" t="n">
        <x:v>2.0517563750646506</x:v>
      </x:c>
      <x:c r="K191" s="7" t="n">
        <x:f>H191+I191*J191</x:f>
        <x:v>-0.7867647641530715</x:v>
      </x:c>
      <x:c r="L191" s="7" t="n">
        <x:v>-1</x:v>
      </x:c>
      <x:c r="M191" s="7" t="n">
        <x:f>K191-L191</x:f>
        <x:v>0.2132352358469285</x:v>
      </x:c>
      <x:c r="N191" s="7" t="n">
        <x:f>M191^2</x:f>
        <x:v>0.04546926580669522</x:v>
      </x:c>
      <x:c r="O191" s="7" t="n">
        <x:v>-1</x:v>
      </x:c>
      <x:c r="P191" s="7" t="n">
        <x:v>-2.25</x:v>
      </x:c>
      <x:c r="Q191" s="7" t="n">
        <x:v>2.309344790547807</x:v>
      </x:c>
      <x:c r="R191" s="7" t="n">
        <x:f>H191+I191*Q191</x:f>
        <x:v>-0.5557670716001946</x:v>
      </x:c>
      <x:c r="S191" s="7" t="n">
        <x:f>R191-L191</x:f>
        <x:v>0.44423292839980544</x:v>
      </x:c>
      <x:c r="T191" s="7" t="n">
        <x:f>K191-R191</x:f>
        <x:v>-0.23099769255287694</x:v>
      </x:c>
      <x:c r="U191" s="7" t="n">
        <x:f>M191-S191-T191</x:f>
        <x:v>0</x:v>
      </x:c>
    </x:row>
    <x:row r="192" ht="27" customHeight="1">
      <x:c r="A192" s="2"/>
      <x:c r="B192" s="2" t="str">
        <x:v>Beauty | organic_volume_growth | PCENDC96</x:v>
      </x:c>
      <x:c r="C192" s="2" t="str">
        <x:v>2024-09-30</x:v>
      </x:c>
      <x:c r="D192" s="2" t="str">
        <x:v>Two months</x:v>
      </x:c>
      <x:c r="E192" s="2" t="str">
        <x:v>2024-09-27</x:v>
      </x:c>
      <x:c r="F192" s="2" t="str">
        <x:v>Flat level</x:v>
      </x:c>
      <x:c r="G192" s="2" t="n">
        <x:v>10</x:v>
      </x:c>
      <x:c r="H192" s="7" t="n">
        <x:v>-1.147867532132199</x:v>
      </x:c>
      <x:c r="I192" s="7" t="n">
        <x:v>0.4977624153842298</x:v>
      </x:c>
      <x:c r="J192" s="7" t="n">
        <x:v>2.0517563750646506</x:v>
      </x:c>
      <x:c r="K192" s="7" t="n">
        <x:f>H192+I192*J192</x:f>
        <x:v>-0.12658032310002687</x:v>
      </x:c>
      <x:c r="L192" s="7" t="n">
        <x:v>0</x:v>
      </x:c>
      <x:c r="M192" s="7" t="n">
        <x:f>K192-L192</x:f>
        <x:v>-0.12658032310002687</x:v>
      </x:c>
      <x:c r="N192" s="7" t="n">
        <x:f>M192^2</x:f>
        <x:v>0.016022578196107196</x:v>
      </x:c>
      <x:c r="O192" s="7" t="n">
        <x:v>1</x:v>
      </x:c>
      <x:c r="P192" s="7" t="n">
        <x:v>0.25</x:v>
      </x:c>
      <x:c r="Q192" s="7" t="n">
        <x:v>2.309344790547807</x:v>
      </x:c>
      <x:c r="R192" s="7" t="n">
        <x:f>H192+I192*Q192</x:f>
        <x:v>0.0016375087658657694</x:v>
      </x:c>
      <x:c r="S192" s="7" t="n">
        <x:f>R192-L192</x:f>
        <x:v>0.0016375087658657694</x:v>
      </x:c>
      <x:c r="T192" s="7" t="n">
        <x:f>K192-R192</x:f>
        <x:v>-0.12821783186589264</x:v>
      </x:c>
      <x:c r="U192" s="7" t="n">
        <x:f>M192-S192-T192</x:f>
        <x:v>0</x:v>
      </x:c>
    </x:row>
    <x:row r="193" ht="27" customHeight="1">
      <x:c r="A193" s="2"/>
      <x:c r="B193" s="2" t="str">
        <x:v>Fabric &amp; Home Care | organic_volume_growth | PCENDC96</x:v>
      </x:c>
      <x:c r="C193" s="2" t="str">
        <x:v>2024-09-30</x:v>
      </x:c>
      <x:c r="D193" s="2" t="str">
        <x:v>Two months</x:v>
      </x:c>
      <x:c r="E193" s="2" t="str">
        <x:v>2024-09-27</x:v>
      </x:c>
      <x:c r="F193" s="2" t="str">
        <x:v>Flat level</x:v>
      </x:c>
      <x:c r="G193" s="2" t="n">
        <x:v>8</x:v>
      </x:c>
      <x:c r="H193" s="7" t="n">
        <x:v>-2.7554164467887263</x:v>
      </x:c>
      <x:c r="I193" s="7" t="n">
        <x:v>2.3474175191585807</x:v>
      </x:c>
      <x:c r="J193" s="7" t="n">
        <x:v>2.0517563750646506</x:v>
      </x:c>
      <x:c r="K193" s="7" t="n">
        <x:f>H193+I193*J193</x:f>
        <x:v>2.0609124130833383</x:v>
      </x:c>
      <x:c r="L193" s="7" t="n">
        <x:v>1</x:v>
      </x:c>
      <x:c r="M193" s="7" t="n">
        <x:f>K193-L193</x:f>
        <x:v>1.0609124130833383</x:v>
      </x:c>
      <x:c r="N193" s="7" t="n">
        <x:f>M193^2</x:f>
        <x:v>1.1255351482343119</x:v>
      </x:c>
      <x:c r="O193" s="7" t="n">
        <x:v>3</x:v>
      </x:c>
      <x:c r="P193" s="7" t="n">
        <x:v>1.25</x:v>
      </x:c>
      <x:c r="Q193" s="7" t="n">
        <x:v>2.309344790547807</x:v>
      </x:c>
      <x:c r="R193" s="7" t="n">
        <x:f>H193+I193*Q193</x:f>
        <x:v>2.665579972320799</x:v>
      </x:c>
      <x:c r="S193" s="7" t="n">
        <x:f>R193-L193</x:f>
        <x:v>1.6655799723207991</x:v>
      </x:c>
      <x:c r="T193" s="7" t="n">
        <x:f>K193-R193</x:f>
        <x:v>-0.6046675592374608</x:v>
      </x:c>
      <x:c r="U193" s="7" t="n">
        <x:f>M193-S193-T193</x:f>
        <x:v>0</x:v>
      </x:c>
    </x:row>
    <x:row r="194" ht="27" customHeight="1">
      <x:c r="A194" s="2"/>
      <x:c r="B194" s="2" t="str">
        <x:v>Baby, Feminine &amp; Family Care | organic_volume_growth | PCENDC96</x:v>
      </x:c>
      <x:c r="C194" s="2" t="str">
        <x:v>2024-09-30</x:v>
      </x:c>
      <x:c r="D194" s="2" t="str">
        <x:v>Two months</x:v>
      </x:c>
      <x:c r="E194" s="2" t="str">
        <x:v>2024-09-27</x:v>
      </x:c>
      <x:c r="F194" s="2" t="str">
        <x:v>Recent trend</x:v>
      </x:c>
      <x:c r="G194" s="2" t="n">
        <x:v>10</x:v>
      </x:c>
      <x:c r="H194" s="7" t="n">
        <x:v>-2.6267193577305967</x:v>
      </x:c>
      <x:c r="I194" s="7" t="n">
        <x:v>0.8967705015755335</x:v>
      </x:c>
      <x:c r="J194" s="7" t="n">
        <x:v>2.166626884671996</x:v>
      </x:c>
      <x:c r="K194" s="7" t="n">
        <x:f>H194+I194*J194</x:f>
        <x:v>-0.6837522796362552</x:v>
      </x:c>
      <x:c r="L194" s="7" t="n">
        <x:v>-1</x:v>
      </x:c>
      <x:c r="M194" s="7" t="n">
        <x:f>K194-L194</x:f>
        <x:v>0.3162477203637448</x:v>
      </x:c>
      <x:c r="N194" s="7" t="n">
        <x:f>M194^2</x:f>
        <x:v>0.10001262063526534</x:v>
      </x:c>
      <x:c r="O194" s="7" t="n">
        <x:v>-1</x:v>
      </x:c>
      <x:c r="P194" s="7" t="n">
        <x:v>-2.25</x:v>
      </x:c>
      <x:c r="Q194" s="7" t="n">
        <x:v>2.309344790547807</x:v>
      </x:c>
      <x:c r="R194" s="7" t="n">
        <x:f>H194+I194*Q194</x:f>
        <x:v>-0.5557670716001946</x:v>
      </x:c>
      <x:c r="S194" s="7" t="n">
        <x:f>R194-L194</x:f>
        <x:v>0.44423292839980544</x:v>
      </x:c>
      <x:c r="T194" s="7" t="n">
        <x:f>K194-R194</x:f>
        <x:v>-0.12798520803606062</x:v>
      </x:c>
      <x:c r="U194" s="7" t="n">
        <x:f>M194-S194-T194</x:f>
        <x:v>0</x:v>
      </x:c>
    </x:row>
    <x:row r="195" ht="27" customHeight="1">
      <x:c r="A195" s="2"/>
      <x:c r="B195" s="2" t="str">
        <x:v>Beauty | organic_volume_growth | PCENDC96</x:v>
      </x:c>
      <x:c r="C195" s="2" t="str">
        <x:v>2024-09-30</x:v>
      </x:c>
      <x:c r="D195" s="2" t="str">
        <x:v>Two months</x:v>
      </x:c>
      <x:c r="E195" s="2" t="str">
        <x:v>2024-09-27</x:v>
      </x:c>
      <x:c r="F195" s="2" t="str">
        <x:v>Recent trend</x:v>
      </x:c>
      <x:c r="G195" s="2" t="n">
        <x:v>10</x:v>
      </x:c>
      <x:c r="H195" s="7" t="n">
        <x:v>-1.147867532132199</x:v>
      </x:c>
      <x:c r="I195" s="7" t="n">
        <x:v>0.4977624153842298</x:v>
      </x:c>
      <x:c r="J195" s="7" t="n">
        <x:v>2.166626884671996</x:v>
      </x:c>
      <x:c r="K195" s="7" t="n">
        <x:f>H195+I195*J195</x:f>
        <x:v>-0.06940210078145714</x:v>
      </x:c>
      <x:c r="L195" s="7" t="n">
        <x:v>0</x:v>
      </x:c>
      <x:c r="M195" s="7" t="n">
        <x:f>K195-L195</x:f>
        <x:v>-0.06940210078145714</x:v>
      </x:c>
      <x:c r="N195" s="7" t="n">
        <x:f>M195^2</x:f>
        <x:v>0.0048166515928795344</x:v>
      </x:c>
      <x:c r="O195" s="7" t="n">
        <x:v>1</x:v>
      </x:c>
      <x:c r="P195" s="7" t="n">
        <x:v>0.25</x:v>
      </x:c>
      <x:c r="Q195" s="7" t="n">
        <x:v>2.309344790547807</x:v>
      </x:c>
      <x:c r="R195" s="7" t="n">
        <x:f>H195+I195*Q195</x:f>
        <x:v>0.0016375087658657694</x:v>
      </x:c>
      <x:c r="S195" s="7" t="n">
        <x:f>R195-L195</x:f>
        <x:v>0.0016375087658657694</x:v>
      </x:c>
      <x:c r="T195" s="7" t="n">
        <x:f>K195-R195</x:f>
        <x:v>-0.07103960954732291</x:v>
      </x:c>
      <x:c r="U195" s="7" t="n">
        <x:f>M195-S195-T195</x:f>
        <x:v>0</x:v>
      </x:c>
    </x:row>
    <x:row r="196" ht="27" customHeight="1">
      <x:c r="A196" s="2"/>
      <x:c r="B196" s="2" t="str">
        <x:v>Fabric &amp; Home Care | organic_volume_growth | PCENDC96</x:v>
      </x:c>
      <x:c r="C196" s="2" t="str">
        <x:v>2024-09-30</x:v>
      </x:c>
      <x:c r="D196" s="2" t="str">
        <x:v>Two months</x:v>
      </x:c>
      <x:c r="E196" s="2" t="str">
        <x:v>2024-09-27</x:v>
      </x:c>
      <x:c r="F196" s="2" t="str">
        <x:v>Recent trend</x:v>
      </x:c>
      <x:c r="G196" s="2" t="n">
        <x:v>8</x:v>
      </x:c>
      <x:c r="H196" s="7" t="n">
        <x:v>-2.7554164467887263</x:v>
      </x:c>
      <x:c r="I196" s="7" t="n">
        <x:v>2.3474175191585807</x:v>
      </x:c>
      <x:c r="J196" s="7" t="n">
        <x:v>2.166626884671996</x:v>
      </x:c>
      <x:c r="K196" s="7" t="n">
        <x:f>H196+I196*J196</x:f>
        <x:v>2.330561459770295</x:v>
      </x:c>
      <x:c r="L196" s="7" t="n">
        <x:v>1</x:v>
      </x:c>
      <x:c r="M196" s="7" t="n">
        <x:f>K196-L196</x:f>
        <x:v>1.330561459770295</x:v>
      </x:c>
      <x:c r="N196" s="7" t="n">
        <x:f>M196^2</x:f>
        <x:v>1.7703937982260585</x:v>
      </x:c>
      <x:c r="O196" s="7" t="n">
        <x:v>3</x:v>
      </x:c>
      <x:c r="P196" s="7" t="n">
        <x:v>1.25</x:v>
      </x:c>
      <x:c r="Q196" s="7" t="n">
        <x:v>2.309344790547807</x:v>
      </x:c>
      <x:c r="R196" s="7" t="n">
        <x:f>H196+I196*Q196</x:f>
        <x:v>2.665579972320799</x:v>
      </x:c>
      <x:c r="S196" s="7" t="n">
        <x:f>R196-L196</x:f>
        <x:v>1.6655799723207991</x:v>
      </x:c>
      <x:c r="T196" s="7" t="n">
        <x:f>K196-R196</x:f>
        <x:v>-0.3350185125505041</x:v>
      </x:c>
      <x:c r="U196" s="7" t="n">
        <x:f>M196-S196-T196</x:f>
        <x:v>0</x:v>
      </x:c>
    </x:row>
    <x:row r="197" ht="27" customHeight="1">
      <x:c r="A197" s="2"/>
      <x:c r="B197" s="2" t="str">
        <x:v>Baby, Feminine &amp; Family Care | organic_volume_growth | PCENDC96</x:v>
      </x:c>
      <x:c r="C197" s="2" t="str">
        <x:v>2024-09-30</x:v>
      </x:c>
      <x:c r="D197" s="2" t="str">
        <x:v>Pre-earnings</x:v>
      </x:c>
      <x:c r="E197" s="2" t="str">
        <x:v>2024-10-17</x:v>
      </x:c>
      <x:c r="F197" s="2" t="str">
        <x:v>YoY carry</x:v>
      </x:c>
      <x:c r="G197" s="2" t="n">
        <x:v>14</x:v>
      </x:c>
      <x:c r="H197" s="7" t="n">
        <x:v>-2.080534591525106</x:v>
      </x:c>
      <x:c r="I197" s="7" t="n">
        <x:v>0.0992450761549538</x:v>
      </x:c>
      <x:c r="J197" s="7" t="n">
        <x:v>2.202595864225132</x:v>
      </x:c>
      <x:c r="K197" s="7" t="n">
        <x:f>H197+I197*J197</x:f>
        <x:v>-1.8619377972414963</x:v>
      </x:c>
      <x:c r="L197" s="7" t="n">
        <x:v>-1</x:v>
      </x:c>
      <x:c r="M197" s="7" t="n">
        <x:f>K197-L197</x:f>
        <x:v>-0.8619377972414963</x:v>
      </x:c>
      <x:c r="N197" s="7" t="n">
        <x:f>M197^2</x:f>
        <x:v>0.7429367663135228</x:v>
      </x:c>
      <x:c r="O197" s="7" t="n">
        <x:v>-1</x:v>
      </x:c>
      <x:c r="P197" s="7" t="n">
        <x:v>-2.25</x:v>
      </x:c>
      <x:c r="Q197" s="7" t="n">
        <x:v>2.309344790547807</x:v>
      </x:c>
      <x:c r="R197" s="7" t="n">
        <x:f>H197+I197*Q197</x:f>
        <x:v>-1.851343491919143</x:v>
      </x:c>
      <x:c r="S197" s="7" t="n">
        <x:f>R197-L197</x:f>
        <x:v>-0.8513434919191429</x:v>
      </x:c>
      <x:c r="T197" s="7" t="n">
        <x:f>K197-R197</x:f>
        <x:v>-0.010594305322353392</x:v>
      </x:c>
      <x:c r="U197" s="7" t="n">
        <x:f>M197-S197-T197</x:f>
        <x:v>0</x:v>
      </x:c>
    </x:row>
    <x:row r="198" ht="27" customHeight="1">
      <x:c r="A198" s="2"/>
      <x:c r="B198" s="2" t="str">
        <x:v>Beauty | organic_volume_growth | PCENDC96</x:v>
      </x:c>
      <x:c r="C198" s="2" t="str">
        <x:v>2024-09-30</x:v>
      </x:c>
      <x:c r="D198" s="2" t="str">
        <x:v>Pre-earnings</x:v>
      </x:c>
      <x:c r="E198" s="2" t="str">
        <x:v>2024-10-17</x:v>
      </x:c>
      <x:c r="F198" s="2" t="str">
        <x:v>YoY carry</x:v>
      </x:c>
      <x:c r="G198" s="2" t="n">
        <x:v>14</x:v>
      </x:c>
      <x:c r="H198" s="7" t="n">
        <x:v>-0.9203128740214753</x:v>
      </x:c>
      <x:c r="I198" s="7" t="n">
        <x:v>0.21362431278660504</x:v>
      </x:c>
      <x:c r="J198" s="7" t="n">
        <x:v>2.202595864225132</x:v>
      </x:c>
      <x:c r="K198" s="7" t="n">
        <x:f>H198+I198*J198</x:f>
        <x:v>-0.44978484617976305</x:v>
      </x:c>
      <x:c r="L198" s="7" t="n">
        <x:v>0</x:v>
      </x:c>
      <x:c r="M198" s="7" t="n">
        <x:f>K198-L198</x:f>
        <x:v>-0.44978484617976305</x:v>
      </x:c>
      <x:c r="N198" s="7" t="n">
        <x:f>M198^2</x:f>
        <x:v>0.20230640785295312</x:v>
      </x:c>
      <x:c r="O198" s="7" t="n">
        <x:v>1</x:v>
      </x:c>
      <x:c r="P198" s="7" t="n">
        <x:v>0.25</x:v>
      </x:c>
      <x:c r="Q198" s="7" t="n">
        <x:v>2.309344790547807</x:v>
      </x:c>
      <x:c r="R198" s="7" t="n">
        <x:f>H198+I198*Q198</x:f>
        <x:v>-0.4269806801533737</x:v>
      </x:c>
      <x:c r="S198" s="7" t="n">
        <x:f>R198-L198</x:f>
        <x:v>-0.4269806801533737</x:v>
      </x:c>
      <x:c r="T198" s="7" t="n">
        <x:f>K198-R198</x:f>
        <x:v>-0.02280416602638935</x:v>
      </x:c>
      <x:c r="U198" s="7" t="n">
        <x:f>M198-S198-T198</x:f>
        <x:v>0</x:v>
      </x:c>
    </x:row>
    <x:row r="199" ht="27" customHeight="1">
      <x:c r="A199" s="2"/>
      <x:c r="B199" s="2" t="str">
        <x:v>Fabric &amp; Home Care | organic_volume_growth | PCENDC96</x:v>
      </x:c>
      <x:c r="C199" s="2" t="str">
        <x:v>2024-09-30</x:v>
      </x:c>
      <x:c r="D199" s="2" t="str">
        <x:v>Pre-earnings</x:v>
      </x:c>
      <x:c r="E199" s="2" t="str">
        <x:v>2024-10-17</x:v>
      </x:c>
      <x:c r="F199" s="2" t="str">
        <x:v>YoY carry</x:v>
      </x:c>
      <x:c r="G199" s="2" t="n">
        <x:v>8</x:v>
      </x:c>
      <x:c r="H199" s="7" t="n">
        <x:v>-2.7554164467887263</x:v>
      </x:c>
      <x:c r="I199" s="7" t="n">
        <x:v>2.3474175191585807</x:v>
      </x:c>
      <x:c r="J199" s="7" t="n">
        <x:v>2.202595864225132</x:v>
      </x:c>
      <x:c r="K199" s="7" t="n">
        <x:f>H199+I199*J199</x:f>
        <x:v>2.4149956725195834</x:v>
      </x:c>
      <x:c r="L199" s="7" t="n">
        <x:v>1</x:v>
      </x:c>
      <x:c r="M199" s="7" t="n">
        <x:f>K199-L199</x:f>
        <x:v>1.4149956725195834</x:v>
      </x:c>
      <x:c r="N199" s="7" t="n">
        <x:f>M199^2</x:f>
        <x:v>2.002212753249148</x:v>
      </x:c>
      <x:c r="O199" s="7" t="n">
        <x:v>3</x:v>
      </x:c>
      <x:c r="P199" s="7" t="n">
        <x:v>1.25</x:v>
      </x:c>
      <x:c r="Q199" s="7" t="n">
        <x:v>2.309344790547807</x:v>
      </x:c>
      <x:c r="R199" s="7" t="n">
        <x:f>H199+I199*Q199</x:f>
        <x:v>2.665579972320799</x:v>
      </x:c>
      <x:c r="S199" s="7" t="n">
        <x:f>R199-L199</x:f>
        <x:v>1.6655799723207991</x:v>
      </x:c>
      <x:c r="T199" s="7" t="n">
        <x:f>K199-R199</x:f>
        <x:v>-0.25058429980121577</x:v>
      </x:c>
      <x:c r="U199" s="7" t="n">
        <x:f>M199-S199-T199</x:f>
        <x:v>0</x:v>
      </x:c>
    </x:row>
    <x:row r="200" ht="27" customHeight="1">
      <x:c r="A200" s="2"/>
      <x:c r="B200" s="2" t="str">
        <x:v>Baby, Feminine &amp; Family Care | organic_volume_growth | PCENDC96</x:v>
      </x:c>
      <x:c r="C200" s="2" t="str">
        <x:v>2024-09-30</x:v>
      </x:c>
      <x:c r="D200" s="2" t="str">
        <x:v>Pre-earnings</x:v>
      </x:c>
      <x:c r="E200" s="2" t="str">
        <x:v>2024-10-17</x:v>
      </x:c>
      <x:c r="F200" s="2" t="str">
        <x:v>Flat level</x:v>
      </x:c>
      <x:c r="G200" s="2" t="n">
        <x:v>14</x:v>
      </x:c>
      <x:c r="H200" s="7" t="n">
        <x:v>-2.080534591525106</x:v>
      </x:c>
      <x:c r="I200" s="7" t="n">
        <x:v>0.0992450761549538</x:v>
      </x:c>
      <x:c r="J200" s="7" t="n">
        <x:v>2.0517563750646506</x:v>
      </x:c>
      <x:c r="K200" s="7" t="n">
        <x:f>H200+I200*J200</x:f>
        <x:v>-1.8769078738304028</x:v>
      </x:c>
      <x:c r="L200" s="7" t="n">
        <x:v>-1</x:v>
      </x:c>
      <x:c r="M200" s="7" t="n">
        <x:f>K200-L200</x:f>
        <x:v>-0.8769078738304028</x:v>
      </x:c>
      <x:c r="N200" s="7" t="n">
        <x:f>M200^2</x:f>
        <x:v>0.7689674191857576</x:v>
      </x:c>
      <x:c r="O200" s="7" t="n">
        <x:v>-1</x:v>
      </x:c>
      <x:c r="P200" s="7" t="n">
        <x:v>-2.25</x:v>
      </x:c>
      <x:c r="Q200" s="7" t="n">
        <x:v>2.309344790547807</x:v>
      </x:c>
      <x:c r="R200" s="7" t="n">
        <x:f>H200+I200*Q200</x:f>
        <x:v>-1.851343491919143</x:v>
      </x:c>
      <x:c r="S200" s="7" t="n">
        <x:f>R200-L200</x:f>
        <x:v>-0.8513434919191429</x:v>
      </x:c>
      <x:c r="T200" s="7" t="n">
        <x:f>K200-R200</x:f>
        <x:v>-0.02556438191125987</x:v>
      </x:c>
      <x:c r="U200" s="7" t="n">
        <x:f>M200-S200-T200</x:f>
        <x:v>0</x:v>
      </x:c>
    </x:row>
    <x:row r="201" ht="27" customHeight="1">
      <x:c r="A201" s="2"/>
      <x:c r="B201" s="2" t="str">
        <x:v>Beauty | organic_volume_growth | PCENDC96</x:v>
      </x:c>
      <x:c r="C201" s="2" t="str">
        <x:v>2024-09-30</x:v>
      </x:c>
      <x:c r="D201" s="2" t="str">
        <x:v>Pre-earnings</x:v>
      </x:c>
      <x:c r="E201" s="2" t="str">
        <x:v>2024-10-17</x:v>
      </x:c>
      <x:c r="F201" s="2" t="str">
        <x:v>Flat level</x:v>
      </x:c>
      <x:c r="G201" s="2" t="n">
        <x:v>14</x:v>
      </x:c>
      <x:c r="H201" s="7" t="n">
        <x:v>-0.9203128740214753</x:v>
      </x:c>
      <x:c r="I201" s="7" t="n">
        <x:v>0.21362431278660504</x:v>
      </x:c>
      <x:c r="J201" s="7" t="n">
        <x:v>2.0517563750646506</x:v>
      </x:c>
      <x:c r="K201" s="7" t="n">
        <x:f>H201+I201*J201</x:f>
        <x:v>-0.48200782839275347</x:v>
      </x:c>
      <x:c r="L201" s="7" t="n">
        <x:v>0</x:v>
      </x:c>
      <x:c r="M201" s="7" t="n">
        <x:f>K201-L201</x:f>
        <x:v>-0.48200782839275347</x:v>
      </x:c>
      <x:c r="N201" s="7" t="n">
        <x:f>M201^2</x:f>
        <x:v>0.2323315466318981</x:v>
      </x:c>
      <x:c r="O201" s="7" t="n">
        <x:v>1</x:v>
      </x:c>
      <x:c r="P201" s="7" t="n">
        <x:v>0.25</x:v>
      </x:c>
      <x:c r="Q201" s="7" t="n">
        <x:v>2.309344790547807</x:v>
      </x:c>
      <x:c r="R201" s="7" t="n">
        <x:f>H201+I201*Q201</x:f>
        <x:v>-0.4269806801533737</x:v>
      </x:c>
      <x:c r="S201" s="7" t="n">
        <x:f>R201-L201</x:f>
        <x:v>-0.4269806801533737</x:v>
      </x:c>
      <x:c r="T201" s="7" t="n">
        <x:f>K201-R201</x:f>
        <x:v>-0.055027148239379764</x:v>
      </x:c>
      <x:c r="U201" s="7" t="n">
        <x:f>M201-S201-T201</x:f>
        <x:v>0</x:v>
      </x:c>
    </x:row>
    <x:row r="202" ht="27" customHeight="1">
      <x:c r="A202" s="2"/>
      <x:c r="B202" s="2" t="str">
        <x:v>Fabric &amp; Home Care | organic_volume_growth | PCENDC96</x:v>
      </x:c>
      <x:c r="C202" s="2" t="str">
        <x:v>2024-09-30</x:v>
      </x:c>
      <x:c r="D202" s="2" t="str">
        <x:v>Pre-earnings</x:v>
      </x:c>
      <x:c r="E202" s="2" t="str">
        <x:v>2024-10-17</x:v>
      </x:c>
      <x:c r="F202" s="2" t="str">
        <x:v>Flat level</x:v>
      </x:c>
      <x:c r="G202" s="2" t="n">
        <x:v>8</x:v>
      </x:c>
      <x:c r="H202" s="7" t="n">
        <x:v>-2.7554164467887263</x:v>
      </x:c>
      <x:c r="I202" s="7" t="n">
        <x:v>2.3474175191585807</x:v>
      </x:c>
      <x:c r="J202" s="7" t="n">
        <x:v>2.0517563750646506</x:v>
      </x:c>
      <x:c r="K202" s="7" t="n">
        <x:f>H202+I202*J202</x:f>
        <x:v>2.0609124130833383</x:v>
      </x:c>
      <x:c r="L202" s="7" t="n">
        <x:v>1</x:v>
      </x:c>
      <x:c r="M202" s="7" t="n">
        <x:f>K202-L202</x:f>
        <x:v>1.0609124130833383</x:v>
      </x:c>
      <x:c r="N202" s="7" t="n">
        <x:f>M202^2</x:f>
        <x:v>1.1255351482343119</x:v>
      </x:c>
      <x:c r="O202" s="7" t="n">
        <x:v>3</x:v>
      </x:c>
      <x:c r="P202" s="7" t="n">
        <x:v>1.25</x:v>
      </x:c>
      <x:c r="Q202" s="7" t="n">
        <x:v>2.309344790547807</x:v>
      </x:c>
      <x:c r="R202" s="7" t="n">
        <x:f>H202+I202*Q202</x:f>
        <x:v>2.665579972320799</x:v>
      </x:c>
      <x:c r="S202" s="7" t="n">
        <x:f>R202-L202</x:f>
        <x:v>1.6655799723207991</x:v>
      </x:c>
      <x:c r="T202" s="7" t="n">
        <x:f>K202-R202</x:f>
        <x:v>-0.6046675592374608</x:v>
      </x:c>
      <x:c r="U202" s="7" t="n">
        <x:f>M202-S202-T202</x:f>
        <x:v>0</x:v>
      </x:c>
    </x:row>
    <x:row r="203" ht="27" customHeight="1">
      <x:c r="A203" s="2"/>
      <x:c r="B203" s="2" t="str">
        <x:v>Baby, Feminine &amp; Family Care | organic_volume_growth | PCENDC96</x:v>
      </x:c>
      <x:c r="C203" s="2" t="str">
        <x:v>2024-09-30</x:v>
      </x:c>
      <x:c r="D203" s="2" t="str">
        <x:v>Pre-earnings</x:v>
      </x:c>
      <x:c r="E203" s="2" t="str">
        <x:v>2024-10-17</x:v>
      </x:c>
      <x:c r="F203" s="2" t="str">
        <x:v>Recent trend</x:v>
      </x:c>
      <x:c r="G203" s="2" t="n">
        <x:v>14</x:v>
      </x:c>
      <x:c r="H203" s="7" t="n">
        <x:v>-2.080534591525106</x:v>
      </x:c>
      <x:c r="I203" s="7" t="n">
        <x:v>0.0992450761549538</x:v>
      </x:c>
      <x:c r="J203" s="7" t="n">
        <x:v>2.166626884671996</x:v>
      </x:c>
      <x:c r="K203" s="7" t="n">
        <x:f>H203+I203*J203</x:f>
        <x:v>-1.8655075413564632</x:v>
      </x:c>
      <x:c r="L203" s="7" t="n">
        <x:v>-1</x:v>
      </x:c>
      <x:c r="M203" s="7" t="n">
        <x:f>K203-L203</x:f>
        <x:v>-0.8655075413564632</x:v>
      </x:c>
      <x:c r="N203" s="7" t="n">
        <x:f>M203^2</x:f>
        <x:v>0.7491033041449099</x:v>
      </x:c>
      <x:c r="O203" s="7" t="n">
        <x:v>-1</x:v>
      </x:c>
      <x:c r="P203" s="7" t="n">
        <x:v>-2.25</x:v>
      </x:c>
      <x:c r="Q203" s="7" t="n">
        <x:v>2.309344790547807</x:v>
      </x:c>
      <x:c r="R203" s="7" t="n">
        <x:f>H203+I203*Q203</x:f>
        <x:v>-1.851343491919143</x:v>
      </x:c>
      <x:c r="S203" s="7" t="n">
        <x:f>R203-L203</x:f>
        <x:v>-0.8513434919191429</x:v>
      </x:c>
      <x:c r="T203" s="7" t="n">
        <x:f>K203-R203</x:f>
        <x:v>-0.014164049437320303</x:v>
      </x:c>
      <x:c r="U203" s="7" t="n">
        <x:f>M203-S203-T203</x:f>
        <x:v>0</x:v>
      </x:c>
    </x:row>
    <x:row r="204" ht="27" customHeight="1">
      <x:c r="A204" s="2"/>
      <x:c r="B204" s="2" t="str">
        <x:v>Beauty | organic_volume_growth | PCENDC96</x:v>
      </x:c>
      <x:c r="C204" s="2" t="str">
        <x:v>2024-09-30</x:v>
      </x:c>
      <x:c r="D204" s="2" t="str">
        <x:v>Pre-earnings</x:v>
      </x:c>
      <x:c r="E204" s="2" t="str">
        <x:v>2024-10-17</x:v>
      </x:c>
      <x:c r="F204" s="2" t="str">
        <x:v>Recent trend</x:v>
      </x:c>
      <x:c r="G204" s="2" t="n">
        <x:v>14</x:v>
      </x:c>
      <x:c r="H204" s="7" t="n">
        <x:v>-0.9203128740214753</x:v>
      </x:c>
      <x:c r="I204" s="7" t="n">
        <x:v>0.21362431278660504</x:v>
      </x:c>
      <x:c r="J204" s="7" t="n">
        <x:v>2.166626884671996</x:v>
      </x:c>
      <x:c r="K204" s="7" t="n">
        <x:f>H204+I204*J204</x:f>
        <x:v>-0.4574686947184372</x:v>
      </x:c>
      <x:c r="L204" s="7" t="n">
        <x:v>0</x:v>
      </x:c>
      <x:c r="M204" s="7" t="n">
        <x:f>K204-L204</x:f>
        <x:v>-0.4574686947184372</x:v>
      </x:c>
      <x:c r="N204" s="7" t="n">
        <x:f>M204^2</x:f>
        <x:v>0.2092776066473907</x:v>
      </x:c>
      <x:c r="O204" s="7" t="n">
        <x:v>1</x:v>
      </x:c>
      <x:c r="P204" s="7" t="n">
        <x:v>0.25</x:v>
      </x:c>
      <x:c r="Q204" s="7" t="n">
        <x:v>2.309344790547807</x:v>
      </x:c>
      <x:c r="R204" s="7" t="n">
        <x:f>H204+I204*Q204</x:f>
        <x:v>-0.4269806801533737</x:v>
      </x:c>
      <x:c r="S204" s="7" t="n">
        <x:f>R204-L204</x:f>
        <x:v>-0.4269806801533737</x:v>
      </x:c>
      <x:c r="T204" s="7" t="n">
        <x:f>K204-R204</x:f>
        <x:v>-0.030488014565063504</x:v>
      </x:c>
      <x:c r="U204" s="7" t="n">
        <x:f>M204-S204-T204</x:f>
        <x:v>0</x:v>
      </x:c>
    </x:row>
    <x:row r="205" ht="27" customHeight="1">
      <x:c r="A205" s="2"/>
      <x:c r="B205" s="2" t="str">
        <x:v>Fabric &amp; Home Care | organic_volume_growth | PCENDC96</x:v>
      </x:c>
      <x:c r="C205" s="2" t="str">
        <x:v>2024-09-30</x:v>
      </x:c>
      <x:c r="D205" s="2" t="str">
        <x:v>Pre-earnings</x:v>
      </x:c>
      <x:c r="E205" s="2" t="str">
        <x:v>2024-10-17</x:v>
      </x:c>
      <x:c r="F205" s="2" t="str">
        <x:v>Recent trend</x:v>
      </x:c>
      <x:c r="G205" s="2" t="n">
        <x:v>8</x:v>
      </x:c>
      <x:c r="H205" s="7" t="n">
        <x:v>-2.7554164467887263</x:v>
      </x:c>
      <x:c r="I205" s="7" t="n">
        <x:v>2.3474175191585807</x:v>
      </x:c>
      <x:c r="J205" s="7" t="n">
        <x:v>2.166626884671996</x:v>
      </x:c>
      <x:c r="K205" s="7" t="n">
        <x:f>H205+I205*J205</x:f>
        <x:v>2.330561459770295</x:v>
      </x:c>
      <x:c r="L205" s="7" t="n">
        <x:v>1</x:v>
      </x:c>
      <x:c r="M205" s="7" t="n">
        <x:f>K205-L205</x:f>
        <x:v>1.330561459770295</x:v>
      </x:c>
      <x:c r="N205" s="7" t="n">
        <x:f>M205^2</x:f>
        <x:v>1.7703937982260585</x:v>
      </x:c>
      <x:c r="O205" s="7" t="n">
        <x:v>3</x:v>
      </x:c>
      <x:c r="P205" s="7" t="n">
        <x:v>1.25</x:v>
      </x:c>
      <x:c r="Q205" s="7" t="n">
        <x:v>2.309344790547807</x:v>
      </x:c>
      <x:c r="R205" s="7" t="n">
        <x:f>H205+I205*Q205</x:f>
        <x:v>2.665579972320799</x:v>
      </x:c>
      <x:c r="S205" s="7" t="n">
        <x:f>R205-L205</x:f>
        <x:v>1.6655799723207991</x:v>
      </x:c>
      <x:c r="T205" s="7" t="n">
        <x:f>K205-R205</x:f>
        <x:v>-0.3350185125505041</x:v>
      </x:c>
      <x:c r="U205" s="7" t="n">
        <x:f>M205-S205-T205</x:f>
        <x:v>0</x:v>
      </x:c>
    </x:row>
    <x:row r="206" ht="27" customHeight="1">
      <x:c r="A206" s="2"/>
      <x:c r="B206" s="2" t="str">
        <x:v>Baby, Feminine &amp; Family Care | organic_volume_growth | PCENDC96</x:v>
      </x:c>
      <x:c r="C206" s="2" t="str">
        <x:v>2024-12-31</x:v>
      </x:c>
      <x:c r="D206" s="2" t="str">
        <x:v>Origin</x:v>
      </x:c>
      <x:c r="E206" s="2" t="str">
        <x:v>2024-10-01</x:v>
      </x:c>
      <x:c r="F206" s="2" t="str">
        <x:v>YoY carry</x:v>
      </x:c>
      <x:c r="G206" s="2" t="n">
        <x:v>14</x:v>
      </x:c>
      <x:c r="H206" s="7" t="n">
        <x:v>-2.080534591525106</x:v>
      </x:c>
      <x:c r="I206" s="7" t="n">
        <x:v>0.0992450761549538</x:v>
      </x:c>
      <x:c r="J206" s="7" t="n">
        <x:v>2.1970378321914286</x:v>
      </x:c>
      <x:c r="K206" s="7" t="n">
        <x:f>H206+I206*J206</x:f>
        <x:v>-1.862489404553953</x:v>
      </x:c>
      <x:c r="L206" s="7" t="n">
        <x:v>4</x:v>
      </x:c>
      <x:c r="M206" s="7" t="n">
        <x:f>K206-L206</x:f>
        <x:v>-5.862489404553953</x:v>
      </x:c>
      <x:c r="N206" s="7" t="n">
        <x:f>M206^2</x:f>
        <x:v>34.36878201850736</x:v>
      </x:c>
      <x:c r="O206" s="7" t="n">
        <x:v>-1</x:v>
      </x:c>
      <x:c r="P206" s="7" t="n">
        <x:v>-2.25</x:v>
      </x:c>
      <x:c r="Q206" s="7" t="n">
        <x:v>2.1803629338301267</x:v>
      </x:c>
      <x:c r="R206" s="7" t="n">
        <x:f>H206+I206*Q206</x:f>
        <x:v>-1.8641443061116965</x:v>
      </x:c>
      <x:c r="S206" s="7" t="n">
        <x:f>R206-L206</x:f>
        <x:v>-5.8641443061116965</x:v>
      </x:c>
      <x:c r="T206" s="7" t="n">
        <x:f>K206-R206</x:f>
        <x:v>0.0016549015577433934</x:v>
      </x:c>
      <x:c r="U206" s="7" t="n">
        <x:f>M206-S206-T206</x:f>
        <x:v>0</x:v>
      </x:c>
    </x:row>
    <x:row r="207" ht="27" customHeight="1">
      <x:c r="A207" s="2"/>
      <x:c r="B207" s="2" t="str">
        <x:v>Beauty | organic_volume_growth | PCENDC96</x:v>
      </x:c>
      <x:c r="C207" s="2" t="str">
        <x:v>2024-12-31</x:v>
      </x:c>
      <x:c r="D207" s="2" t="str">
        <x:v>Origin</x:v>
      </x:c>
      <x:c r="E207" s="2" t="str">
        <x:v>2024-10-01</x:v>
      </x:c>
      <x:c r="F207" s="2" t="str">
        <x:v>YoY carry</x:v>
      </x:c>
      <x:c r="G207" s="2" t="n">
        <x:v>14</x:v>
      </x:c>
      <x:c r="H207" s="7" t="n">
        <x:v>-0.9203128740214753</x:v>
      </x:c>
      <x:c r="I207" s="7" t="n">
        <x:v>0.21362431278660504</x:v>
      </x:c>
      <x:c r="J207" s="7" t="n">
        <x:v>2.1970378321914286</x:v>
      </x:c>
      <x:c r="K207" s="7" t="n">
        <x:f>H207+I207*J207</x:f>
        <x:v>-0.4509721769534089</x:v>
      </x:c>
      <x:c r="L207" s="7" t="n">
        <x:v>0</x:v>
      </x:c>
      <x:c r="M207" s="7" t="n">
        <x:f>K207-L207</x:f>
        <x:v>-0.4509721769534089</x:v>
      </x:c>
      <x:c r="N207" s="7" t="n">
        <x:f>M207^2</x:f>
        <x:v>0.20337590438609676</x:v>
      </x:c>
      <x:c r="O207" s="7" t="n">
        <x:v>1</x:v>
      </x:c>
      <x:c r="P207" s="7" t="n">
        <x:v>0.25</x:v>
      </x:c>
      <x:c r="Q207" s="7" t="n">
        <x:v>2.1803629338301267</x:v>
      </x:c>
      <x:c r="R207" s="7" t="n">
        <x:f>H207+I207*Q207</x:f>
        <x:v>-0.4545343406566285</x:v>
      </x:c>
      <x:c r="S207" s="7" t="n">
        <x:f>R207-L207</x:f>
        <x:v>-0.4545343406566285</x:v>
      </x:c>
      <x:c r="T207" s="7" t="n">
        <x:f>K207-R207</x:f>
        <x:v>0.0035621637032196007</x:v>
      </x:c>
      <x:c r="U207" s="7" t="n">
        <x:f>M207-S207-T207</x:f>
        <x:v>0</x:v>
      </x:c>
    </x:row>
    <x:row r="208" ht="27" customHeight="1">
      <x:c r="A208" s="2"/>
      <x:c r="B208" s="2" t="str">
        <x:v>Fabric &amp; Home Care | organic_volume_growth | PCENDC96</x:v>
      </x:c>
      <x:c r="C208" s="2" t="str">
        <x:v>2024-12-31</x:v>
      </x:c>
      <x:c r="D208" s="2" t="str">
        <x:v>Origin</x:v>
      </x:c>
      <x:c r="E208" s="2" t="str">
        <x:v>2024-10-01</x:v>
      </x:c>
      <x:c r="F208" s="2" t="str">
        <x:v>YoY carry</x:v>
      </x:c>
      <x:c r="G208" s="2" t="n">
        <x:v>8</x:v>
      </x:c>
      <x:c r="H208" s="7" t="n">
        <x:v>-2.7554164467887263</x:v>
      </x:c>
      <x:c r="I208" s="7" t="n">
        <x:v>2.3474175191585807</x:v>
      </x:c>
      <x:c r="J208" s="7" t="n">
        <x:v>2.1970378321914286</x:v>
      </x:c>
      <x:c r="K208" s="7" t="n">
        <x:f>H208+I208*J208</x:f>
        <x:v>2.4019486507516232</x:v>
      </x:c>
      <x:c r="L208" s="7" t="n">
        <x:v>2</x:v>
      </x:c>
      <x:c r="M208" s="7" t="n">
        <x:f>K208-L208</x:f>
        <x:v>0.4019486507516232</x:v>
      </x:c>
      <x:c r="N208" s="7" t="n">
        <x:f>M208^2</x:f>
        <x:v>0.1615627178410504</x:v>
      </x:c>
      <x:c r="O208" s="7" t="n">
        <x:v>3</x:v>
      </x:c>
      <x:c r="P208" s="7" t="n">
        <x:v>1.25</x:v>
      </x:c>
      <x:c r="Q208" s="7" t="n">
        <x:v>2.1803629338301267</x:v>
      </x:c>
      <x:c r="R208" s="7" t="n">
        <x:f>H208+I208*Q208</x:f>
        <x:v>2.3628057022081146</x:v>
      </x:c>
      <x:c r="S208" s="7" t="n">
        <x:f>R208-L208</x:f>
        <x:v>0.3628057022081146</x:v>
      </x:c>
      <x:c r="T208" s="7" t="n">
        <x:f>K208-R208</x:f>
        <x:v>0.03914294854350864</x:v>
      </x:c>
      <x:c r="U208" s="7" t="n">
        <x:f>M208-S208-T208</x:f>
        <x:v>0</x:v>
      </x:c>
    </x:row>
    <x:row r="209" ht="27" customHeight="1">
      <x:c r="A209" s="2"/>
      <x:c r="B209" s="2" t="str">
        <x:v>Baby, Feminine &amp; Family Care | organic_volume_growth | PCENDC96</x:v>
      </x:c>
      <x:c r="C209" s="2" t="str">
        <x:v>2024-12-31</x:v>
      </x:c>
      <x:c r="D209" s="2" t="str">
        <x:v>Origin</x:v>
      </x:c>
      <x:c r="E209" s="2" t="str">
        <x:v>2024-10-01</x:v>
      </x:c>
      <x:c r="F209" s="2" t="str">
        <x:v>Flat level</x:v>
      </x:c>
      <x:c r="G209" s="2" t="n">
        <x:v>14</x:v>
      </x:c>
      <x:c r="H209" s="7" t="n">
        <x:v>-2.080534591525106</x:v>
      </x:c>
      <x:c r="I209" s="7" t="n">
        <x:v>0.0992450761549538</x:v>
      </x:c>
      <x:c r="J209" s="7" t="n">
        <x:v>1.1562232013484497</x:v>
      </x:c>
      <x:c r="K209" s="7" t="n">
        <x:f>H209+I209*J209</x:f>
        <x:v>-1.9657851318551545</x:v>
      </x:c>
      <x:c r="L209" s="7" t="n">
        <x:v>4</x:v>
      </x:c>
      <x:c r="M209" s="7" t="n">
        <x:f>K209-L209</x:f>
        <x:v>-5.965785131855155</x:v>
      </x:c>
      <x:c r="N209" s="7" t="n">
        <x:f>M209^2</x:f>
        <x:v>35.59059223946402</x:v>
      </x:c>
      <x:c r="O209" s="7" t="n">
        <x:v>-1</x:v>
      </x:c>
      <x:c r="P209" s="7" t="n">
        <x:v>-2.25</x:v>
      </x:c>
      <x:c r="Q209" s="7" t="n">
        <x:v>2.1803629338301267</x:v>
      </x:c>
      <x:c r="R209" s="7" t="n">
        <x:f>H209+I209*Q209</x:f>
        <x:v>-1.8641443061116965</x:v>
      </x:c>
      <x:c r="S209" s="7" t="n">
        <x:f>R209-L209</x:f>
        <x:v>-5.8641443061116965</x:v>
      </x:c>
      <x:c r="T209" s="7" t="n">
        <x:f>K209-R209</x:f>
        <x:v>-0.10164082574345801</x:v>
      </x:c>
      <x:c r="U209" s="7" t="n">
        <x:f>M209-S209-T209</x:f>
        <x:v>-2.220446049250313e-16</x:v>
      </x:c>
    </x:row>
    <x:row r="210" ht="27" customHeight="1">
      <x:c r="A210" s="2"/>
      <x:c r="B210" s="2" t="str">
        <x:v>Beauty | organic_volume_growth | PCENDC96</x:v>
      </x:c>
      <x:c r="C210" s="2" t="str">
        <x:v>2024-12-31</x:v>
      </x:c>
      <x:c r="D210" s="2" t="str">
        <x:v>Origin</x:v>
      </x:c>
      <x:c r="E210" s="2" t="str">
        <x:v>2024-10-01</x:v>
      </x:c>
      <x:c r="F210" s="2" t="str">
        <x:v>Flat level</x:v>
      </x:c>
      <x:c r="G210" s="2" t="n">
        <x:v>14</x:v>
      </x:c>
      <x:c r="H210" s="7" t="n">
        <x:v>-0.9203128740214753</x:v>
      </x:c>
      <x:c r="I210" s="7" t="n">
        <x:v>0.21362431278660504</x:v>
      </x:c>
      <x:c r="J210" s="7" t="n">
        <x:v>1.1562232013484497</x:v>
      </x:c>
      <x:c r="K210" s="7" t="n">
        <x:f>H210+I210*J210</x:f>
        <x:v>-0.6733154872054843</x:v>
      </x:c>
      <x:c r="L210" s="7" t="n">
        <x:v>0</x:v>
      </x:c>
      <x:c r="M210" s="7" t="n">
        <x:f>K210-L210</x:f>
        <x:v>-0.6733154872054843</x:v>
      </x:c>
      <x:c r="N210" s="7" t="n">
        <x:f>M210^2</x:f>
        <x:v>0.45335374531075867</x:v>
      </x:c>
      <x:c r="O210" s="7" t="n">
        <x:v>1</x:v>
      </x:c>
      <x:c r="P210" s="7" t="n">
        <x:v>0.25</x:v>
      </x:c>
      <x:c r="Q210" s="7" t="n">
        <x:v>2.1803629338301267</x:v>
      </x:c>
      <x:c r="R210" s="7" t="n">
        <x:f>H210+I210*Q210</x:f>
        <x:v>-0.4545343406566285</x:v>
      </x:c>
      <x:c r="S210" s="7" t="n">
        <x:f>R210-L210</x:f>
        <x:v>-0.4545343406566285</x:v>
      </x:c>
      <x:c r="T210" s="7" t="n">
        <x:f>K210-R210</x:f>
        <x:v>-0.21878114654885578</x:v>
      </x:c>
      <x:c r="U210" s="7" t="n">
        <x:f>M210-S210-T210</x:f>
        <x:v>0</x:v>
      </x:c>
    </x:row>
    <x:row r="211" ht="27" customHeight="1">
      <x:c r="A211" s="2"/>
      <x:c r="B211" s="2" t="str">
        <x:v>Fabric &amp; Home Care | organic_volume_growth | PCENDC96</x:v>
      </x:c>
      <x:c r="C211" s="2" t="str">
        <x:v>2024-12-31</x:v>
      </x:c>
      <x:c r="D211" s="2" t="str">
        <x:v>Origin</x:v>
      </x:c>
      <x:c r="E211" s="2" t="str">
        <x:v>2024-10-01</x:v>
      </x:c>
      <x:c r="F211" s="2" t="str">
        <x:v>Flat level</x:v>
      </x:c>
      <x:c r="G211" s="2" t="n">
        <x:v>8</x:v>
      </x:c>
      <x:c r="H211" s="7" t="n">
        <x:v>-2.7554164467887263</x:v>
      </x:c>
      <x:c r="I211" s="7" t="n">
        <x:v>2.3474175191585807</x:v>
      </x:c>
      <x:c r="J211" s="7" t="n">
        <x:v>1.1562232013484497</x:v>
      </x:c>
      <x:c r="K211" s="7" t="n">
        <x:f>H211+I211*J211</x:f>
        <x:v>-0.04127784788575628</x:v>
      </x:c>
      <x:c r="L211" s="7" t="n">
        <x:v>2</x:v>
      </x:c>
      <x:c r="M211" s="7" t="n">
        <x:f>K211-L211</x:f>
        <x:v>-2.0412778478857563</x:v>
      </x:c>
      <x:c r="N211" s="7" t="n">
        <x:f>M211^2</x:f>
        <x:v>4.166815252269105</x:v>
      </x:c>
      <x:c r="O211" s="7" t="n">
        <x:v>3</x:v>
      </x:c>
      <x:c r="P211" s="7" t="n">
        <x:v>1.25</x:v>
      </x:c>
      <x:c r="Q211" s="7" t="n">
        <x:v>2.1803629338301267</x:v>
      </x:c>
      <x:c r="R211" s="7" t="n">
        <x:f>H211+I211*Q211</x:f>
        <x:v>2.3628057022081146</x:v>
      </x:c>
      <x:c r="S211" s="7" t="n">
        <x:f>R211-L211</x:f>
        <x:v>0.3628057022081146</x:v>
      </x:c>
      <x:c r="T211" s="7" t="n">
        <x:f>K211-R211</x:f>
        <x:v>-2.404083550093871</x:v>
      </x:c>
      <x:c r="U211" s="7" t="n">
        <x:f>M211-S211-T211</x:f>
        <x:v>0</x:v>
      </x:c>
    </x:row>
    <x:row r="212" ht="27" customHeight="1">
      <x:c r="A212" s="2"/>
      <x:c r="B212" s="2" t="str">
        <x:v>Baby, Feminine &amp; Family Care | organic_volume_growth | PCENDC96</x:v>
      </x:c>
      <x:c r="C212" s="2" t="str">
        <x:v>2024-12-31</x:v>
      </x:c>
      <x:c r="D212" s="2" t="str">
        <x:v>Origin</x:v>
      </x:c>
      <x:c r="E212" s="2" t="str">
        <x:v>2024-10-01</x:v>
      </x:c>
      <x:c r="F212" s="2" t="str">
        <x:v>Recent trend</x:v>
      </x:c>
      <x:c r="G212" s="2" t="n">
        <x:v>14</x:v>
      </x:c>
      <x:c r="H212" s="7" t="n">
        <x:v>-2.080534591525106</x:v>
      </x:c>
      <x:c r="I212" s="7" t="n">
        <x:v>0.0992450761549538</x:v>
      </x:c>
      <x:c r="J212" s="7" t="n">
        <x:v>2.1808557825945707</x:v>
      </x:c>
      <x:c r="K212" s="7" t="n">
        <x:f>H212+I212*J212</x:f>
        <x:v>-1.8640953932985362</x:v>
      </x:c>
      <x:c r="L212" s="7" t="n">
        <x:v>4</x:v>
      </x:c>
      <x:c r="M212" s="7" t="n">
        <x:f>K212-L212</x:f>
        <x:v>-5.864095393298536</x:v>
      </x:c>
      <x:c r="N212" s="7" t="n">
        <x:f>M212^2</x:f>
        <x:v>34.38761478170511</x:v>
      </x:c>
      <x:c r="O212" s="7" t="n">
        <x:v>-1</x:v>
      </x:c>
      <x:c r="P212" s="7" t="n">
        <x:v>-2.25</x:v>
      </x:c>
      <x:c r="Q212" s="7" t="n">
        <x:v>2.1803629338301267</x:v>
      </x:c>
      <x:c r="R212" s="7" t="n">
        <x:f>H212+I212*Q212</x:f>
        <x:v>-1.8641443061116965</x:v>
      </x:c>
      <x:c r="S212" s="7" t="n">
        <x:f>R212-L212</x:f>
        <x:v>-5.8641443061116965</x:v>
      </x:c>
      <x:c r="T212" s="7" t="n">
        <x:f>K212-R212</x:f>
        <x:v>0.000048912813160217894</x:v>
      </x:c>
      <x:c r="U212" s="7" t="n">
        <x:f>M212-S212-T212</x:f>
        <x:v>4.440892098500626e-16</x:v>
      </x:c>
    </x:row>
    <x:row r="213" ht="27" customHeight="1">
      <x:c r="A213" s="2"/>
      <x:c r="B213" s="2" t="str">
        <x:v>Beauty | organic_volume_growth | PCENDC96</x:v>
      </x:c>
      <x:c r="C213" s="2" t="str">
        <x:v>2024-12-31</x:v>
      </x:c>
      <x:c r="D213" s="2" t="str">
        <x:v>Origin</x:v>
      </x:c>
      <x:c r="E213" s="2" t="str">
        <x:v>2024-10-01</x:v>
      </x:c>
      <x:c r="F213" s="2" t="str">
        <x:v>Recent trend</x:v>
      </x:c>
      <x:c r="G213" s="2" t="n">
        <x:v>14</x:v>
      </x:c>
      <x:c r="H213" s="7" t="n">
        <x:v>-0.9203128740214753</x:v>
      </x:c>
      <x:c r="I213" s="7" t="n">
        <x:v>0.21362431278660504</x:v>
      </x:c>
      <x:c r="J213" s="7" t="n">
        <x:v>2.1808557825945707</x:v>
      </x:c>
      <x:c r="K213" s="7" t="n">
        <x:f>H213+I213*J213</x:f>
        <x:v>-0.45442905617801643</x:v>
      </x:c>
      <x:c r="L213" s="7" t="n">
        <x:v>0</x:v>
      </x:c>
      <x:c r="M213" s="7" t="n">
        <x:f>K213-L213</x:f>
        <x:v>-0.45442905617801643</x:v>
      </x:c>
      <x:c r="N213" s="7" t="n">
        <x:f>M213^2</x:f>
        <x:v>0.2065057670988428</x:v>
      </x:c>
      <x:c r="O213" s="7" t="n">
        <x:v>1</x:v>
      </x:c>
      <x:c r="P213" s="7" t="n">
        <x:v>0.25</x:v>
      </x:c>
      <x:c r="Q213" s="7" t="n">
        <x:v>2.1803629338301267</x:v>
      </x:c>
      <x:c r="R213" s="7" t="n">
        <x:f>H213+I213*Q213</x:f>
        <x:v>-0.4545343406566285</x:v>
      </x:c>
      <x:c r="S213" s="7" t="n">
        <x:f>R213-L213</x:f>
        <x:v>-0.4545343406566285</x:v>
      </x:c>
      <x:c r="T213" s="7" t="n">
        <x:f>K213-R213</x:f>
        <x:v>0.00010528447861207768</x:v>
      </x:c>
      <x:c r="U213" s="7" t="n">
        <x:f>M213-S213-T213</x:f>
        <x:v>0</x:v>
      </x:c>
    </x:row>
    <x:row r="214" ht="27" customHeight="1">
      <x:c r="A214" s="2"/>
      <x:c r="B214" s="2" t="str">
        <x:v>Fabric &amp; Home Care | organic_volume_growth | PCENDC96</x:v>
      </x:c>
      <x:c r="C214" s="2" t="str">
        <x:v>2024-12-31</x:v>
      </x:c>
      <x:c r="D214" s="2" t="str">
        <x:v>Origin</x:v>
      </x:c>
      <x:c r="E214" s="2" t="str">
        <x:v>2024-10-01</x:v>
      </x:c>
      <x:c r="F214" s="2" t="str">
        <x:v>Recent trend</x:v>
      </x:c>
      <x:c r="G214" s="2" t="n">
        <x:v>8</x:v>
      </x:c>
      <x:c r="H214" s="7" t="n">
        <x:v>-2.7554164467887263</x:v>
      </x:c>
      <x:c r="I214" s="7" t="n">
        <x:v>2.3474175191585807</x:v>
      </x:c>
      <x:c r="J214" s="7" t="n">
        <x:v>2.1808557825945707</x:v>
      </x:c>
      <x:c r="K214" s="7" t="n">
        <x:f>H214+I214*J214</x:f>
        <x:v>2.363962624032066</x:v>
      </x:c>
      <x:c r="L214" s="7" t="n">
        <x:v>2</x:v>
      </x:c>
      <x:c r="M214" s="7" t="n">
        <x:f>K214-L214</x:f>
        <x:v>0.3639626240320659</x:v>
      </x:c>
      <x:c r="N214" s="7" t="n">
        <x:f>M214^2</x:f>
        <x:v>0.13246879169230696</x:v>
      </x:c>
      <x:c r="O214" s="7" t="n">
        <x:v>3</x:v>
      </x:c>
      <x:c r="P214" s="7" t="n">
        <x:v>1.25</x:v>
      </x:c>
      <x:c r="Q214" s="7" t="n">
        <x:v>2.1803629338301267</x:v>
      </x:c>
      <x:c r="R214" s="7" t="n">
        <x:f>H214+I214*Q214</x:f>
        <x:v>2.3628057022081146</x:v>
      </x:c>
      <x:c r="S214" s="7" t="n">
        <x:f>R214-L214</x:f>
        <x:v>0.3628057022081146</x:v>
      </x:c>
      <x:c r="T214" s="7" t="n">
        <x:f>K214-R214</x:f>
        <x:v>0.001156921823951329</x:v>
      </x:c>
      <x:c r="U214" s="7" t="n">
        <x:f>M214-S214-T214</x:f>
        <x:v>0</x:v>
      </x:c>
    </x:row>
    <x:row r="215" ht="27" customHeight="1">
      <x:c r="A215" s="2"/>
      <x:c r="B215" s="2" t="str">
        <x:v>Baby, Feminine &amp; Family Care | organic_volume_growth | PCENDC96</x:v>
      </x:c>
      <x:c r="C215" s="2" t="str">
        <x:v>2024-12-31</x:v>
      </x:c>
      <x:c r="D215" s="2" t="str">
        <x:v>One month</x:v>
      </x:c>
      <x:c r="E215" s="2" t="str">
        <x:v>2024-11-27</x:v>
      </x:c>
      <x:c r="F215" s="2" t="str">
        <x:v>YoY carry</x:v>
      </x:c>
      <x:c r="G215" s="2" t="n">
        <x:v>11</x:v>
      </x:c>
      <x:c r="H215" s="7" t="n">
        <x:v>-2.642882524087833</x:v>
      </x:c>
      <x:c r="I215" s="7" t="n">
        <x:v>0.8751356035148301</x:v>
      </x:c>
      <x:c r="J215" s="7" t="n">
        <x:v>2.2281213186692517</x:v>
      </x:c>
      <x:c r="K215" s="7" t="n">
        <x:f>H215+I215*J215</x:f>
        <x:v>-0.6929742291699581</x:v>
      </x:c>
      <x:c r="L215" s="7" t="n">
        <x:v>4</x:v>
      </x:c>
      <x:c r="M215" s="7" t="n">
        <x:f>K215-L215</x:f>
        <x:v>-4.692974229169958</x:v>
      </x:c>
      <x:c r="N215" s="7" t="n">
        <x:f>M215^2</x:f>
        <x:v>22.02400711565336</x:v>
      </x:c>
      <x:c r="O215" s="7" t="n">
        <x:v>-1</x:v>
      </x:c>
      <x:c r="P215" s="7" t="n">
        <x:v>-1.75</x:v>
      </x:c>
      <x:c r="Q215" s="7" t="n">
        <x:v>2.1803629338301267</x:v>
      </x:c>
      <x:c r="R215" s="7" t="n">
        <x:f>H215+I215*Q215</x:f>
        <x:v>-0.7347692921090394</x:v>
      </x:c>
      <x:c r="S215" s="7" t="n">
        <x:f>R215-L215</x:f>
        <x:v>-4.734769292109039</x:v>
      </x:c>
      <x:c r="T215" s="7" t="n">
        <x:f>K215-R215</x:f>
        <x:v>0.04179506293908131</x:v>
      </x:c>
      <x:c r="U215" s="7" t="n">
        <x:f>M215-S215-T215</x:f>
        <x:v>-2.220446049250313e-16</x:v>
      </x:c>
    </x:row>
    <x:row r="216" ht="27" customHeight="1">
      <x:c r="A216" s="2"/>
      <x:c r="B216" s="2" t="str">
        <x:v>Beauty | organic_volume_growth | PCENDC96</x:v>
      </x:c>
      <x:c r="C216" s="2" t="str">
        <x:v>2024-12-31</x:v>
      </x:c>
      <x:c r="D216" s="2" t="str">
        <x:v>One month</x:v>
      </x:c>
      <x:c r="E216" s="2" t="str">
        <x:v>2024-11-27</x:v>
      </x:c>
      <x:c r="F216" s="2" t="str">
        <x:v>YoY carry</x:v>
      </x:c>
      <x:c r="G216" s="2" t="n">
        <x:v>11</x:v>
      </x:c>
      <x:c r="H216" s="7" t="n">
        <x:v>-1.1463472912570327</x:v>
      </x:c>
      <x:c r="I216" s="7" t="n">
        <x:v>0.4997973048133796</x:v>
      </x:c>
      <x:c r="J216" s="7" t="n">
        <x:v>2.2281213186692517</x:v>
      </x:c>
      <x:c r="K216" s="7" t="n">
        <x:f>H216+I216*J216</x:f>
        <x:v>-0.032738261388907564</x:v>
      </x:c>
      <x:c r="L216" s="7" t="n">
        <x:v>0</x:v>
      </x:c>
      <x:c r="M216" s="7" t="n">
        <x:f>K216-L216</x:f>
        <x:v>-0.032738261388907564</x:v>
      </x:c>
      <x:c r="N216" s="7" t="n">
        <x:f>M216^2</x:f>
        <x:v>0.0010717937587684358</x:v>
      </x:c>
      <x:c r="O216" s="7" t="n">
        <x:v>0</x:v>
      </x:c>
      <x:c r="P216" s="7" t="n">
        <x:v>0.25</x:v>
      </x:c>
      <x:c r="Q216" s="7" t="n">
        <x:v>2.1803629338301267</x:v>
      </x:c>
      <x:c r="R216" s="7" t="n">
        <x:f>H216+I216*Q216</x:f>
        <x:v>-0.056607773413742235</x:v>
      </x:c>
      <x:c r="S216" s="7" t="n">
        <x:f>R216-L216</x:f>
        <x:v>-0.056607773413742235</x:v>
      </x:c>
      <x:c r="T216" s="7" t="n">
        <x:f>K216-R216</x:f>
        <x:v>0.02386951202483467</x:v>
      </x:c>
      <x:c r="U216" s="7" t="n">
        <x:f>M216-S216-T216</x:f>
        <x:v>0</x:v>
      </x:c>
    </x:row>
    <x:row r="217" ht="27" customHeight="1">
      <x:c r="A217" s="2"/>
      <x:c r="B217" s="2" t="str">
        <x:v>Fabric &amp; Home Care | organic_volume_growth | PCENDC96</x:v>
      </x:c>
      <x:c r="C217" s="2" t="str">
        <x:v>2024-12-31</x:v>
      </x:c>
      <x:c r="D217" s="2" t="str">
        <x:v>One month</x:v>
      </x:c>
      <x:c r="E217" s="2" t="str">
        <x:v>2024-11-27</x:v>
      </x:c>
      <x:c r="F217" s="2" t="str">
        <x:v>YoY carry</x:v>
      </x:c>
      <x:c r="G217" s="2" t="n">
        <x:v>8</x:v>
      </x:c>
      <x:c r="H217" s="7" t="n">
        <x:v>-3.0697902044802077</x:v>
      </x:c>
      <x:c r="I217" s="7" t="n">
        <x:v>2.343372897616352</x:v>
      </x:c>
      <x:c r="J217" s="7" t="n">
        <x:v>2.2281213186692517</x:v>
      </x:c>
      <x:c r="K217" s="7" t="n">
        <x:f>H217+I217*J217</x:f>
        <x:v>2.151528906290524</x:v>
      </x:c>
      <x:c r="L217" s="7" t="n">
        <x:v>2</x:v>
      </x:c>
      <x:c r="M217" s="7" t="n">
        <x:f>K217-L217</x:f>
        <x:v>0.15152890629052385</x:v>
      </x:c>
      <x:c r="N217" s="7" t="n">
        <x:f>M217^2</x:f>
        <x:v>0.022961009441602356</x:v>
      </x:c>
      <x:c r="O217" s="7" t="n">
        <x:v>1</x:v>
      </x:c>
      <x:c r="P217" s="7" t="n">
        <x:v>1.5</x:v>
      </x:c>
      <x:c r="Q217" s="7" t="n">
        <x:v>2.1803629338301267</x:v>
      </x:c>
      <x:c r="R217" s="7" t="n">
        <x:f>H217+I217*Q217</x:f>
        <x:v>2.039613201624587</x:v>
      </x:c>
      <x:c r="S217" s="7" t="n">
        <x:f>R217-L217</x:f>
        <x:v>0.039613201624586925</x:v>
      </x:c>
      <x:c r="T217" s="7" t="n">
        <x:f>K217-R217</x:f>
        <x:v>0.11191570466593692</x:v>
      </x:c>
      <x:c r="U217" s="7" t="n">
        <x:f>M217-S217-T217</x:f>
        <x:v>0</x:v>
      </x:c>
    </x:row>
    <x:row r="218" ht="27" customHeight="1">
      <x:c r="A218" s="2"/>
      <x:c r="B218" s="2" t="str">
        <x:v>Baby, Feminine &amp; Family Care | organic_volume_growth | PCENDC96</x:v>
      </x:c>
      <x:c r="C218" s="2" t="str">
        <x:v>2024-12-31</x:v>
      </x:c>
      <x:c r="D218" s="2" t="str">
        <x:v>One month</x:v>
      </x:c>
      <x:c r="E218" s="2" t="str">
        <x:v>2024-11-27</x:v>
      </x:c>
      <x:c r="F218" s="2" t="str">
        <x:v>Flat level</x:v>
      </x:c>
      <x:c r="G218" s="2" t="n">
        <x:v>11</x:v>
      </x:c>
      <x:c r="H218" s="7" t="n">
        <x:v>-2.642882524087833</x:v>
      </x:c>
      <x:c r="I218" s="7" t="n">
        <x:v>0.8751356035148301</x:v>
      </x:c>
      <x:c r="J218" s="7" t="n">
        <x:v>1.8629683295384059</x:v>
      </x:c>
      <x:c r="K218" s="7" t="n">
        <x:f>H218+I218*J218</x:f>
        <x:v>-1.012532610688225</x:v>
      </x:c>
      <x:c r="L218" s="7" t="n">
        <x:v>4</x:v>
      </x:c>
      <x:c r="M218" s="7" t="n">
        <x:f>K218-L218</x:f>
        <x:v>-5.0125326106882255</x:v>
      </x:c>
      <x:c r="N218" s="7" t="n">
        <x:f>M218^2</x:f>
        <x:v>25.125483173212917</x:v>
      </x:c>
      <x:c r="O218" s="7" t="n">
        <x:v>-1</x:v>
      </x:c>
      <x:c r="P218" s="7" t="n">
        <x:v>-1.75</x:v>
      </x:c>
      <x:c r="Q218" s="7" t="n">
        <x:v>2.1803629338301267</x:v>
      </x:c>
      <x:c r="R218" s="7" t="n">
        <x:f>H218+I218*Q218</x:f>
        <x:v>-0.7347692921090394</x:v>
      </x:c>
      <x:c r="S218" s="7" t="n">
        <x:f>R218-L218</x:f>
        <x:v>-4.734769292109039</x:v>
      </x:c>
      <x:c r="T218" s="7" t="n">
        <x:f>K218-R218</x:f>
        <x:v>-0.2777633185791857</x:v>
      </x:c>
      <x:c r="U218" s="7" t="n">
        <x:f>M218-S218-T218</x:f>
        <x:v>-6.661338147750939e-16</x:v>
      </x:c>
    </x:row>
    <x:row r="219" ht="27" customHeight="1">
      <x:c r="A219" s="2"/>
      <x:c r="B219" s="2" t="str">
        <x:v>Beauty | organic_volume_growth | PCENDC96</x:v>
      </x:c>
      <x:c r="C219" s="2" t="str">
        <x:v>2024-12-31</x:v>
      </x:c>
      <x:c r="D219" s="2" t="str">
        <x:v>One month</x:v>
      </x:c>
      <x:c r="E219" s="2" t="str">
        <x:v>2024-11-27</x:v>
      </x:c>
      <x:c r="F219" s="2" t="str">
        <x:v>Flat level</x:v>
      </x:c>
      <x:c r="G219" s="2" t="n">
        <x:v>11</x:v>
      </x:c>
      <x:c r="H219" s="7" t="n">
        <x:v>-1.1463472912570327</x:v>
      </x:c>
      <x:c r="I219" s="7" t="n">
        <x:v>0.4997973048133796</x:v>
      </x:c>
      <x:c r="J219" s="7" t="n">
        <x:v>1.8629683295384059</x:v>
      </x:c>
      <x:c r="K219" s="7" t="n">
        <x:f>H219+I219*J219</x:f>
        <x:v>-0.21524074120105352</x:v>
      </x:c>
      <x:c r="L219" s="7" t="n">
        <x:v>0</x:v>
      </x:c>
      <x:c r="M219" s="7" t="n">
        <x:f>K219-L219</x:f>
        <x:v>-0.21524074120105352</x:v>
      </x:c>
      <x:c r="N219" s="7" t="n">
        <x:f>M219^2</x:f>
        <x:v>0.0463285766727789</x:v>
      </x:c>
      <x:c r="O219" s="7" t="n">
        <x:v>0</x:v>
      </x:c>
      <x:c r="P219" s="7" t="n">
        <x:v>0.25</x:v>
      </x:c>
      <x:c r="Q219" s="7" t="n">
        <x:v>2.1803629338301267</x:v>
      </x:c>
      <x:c r="R219" s="7" t="n">
        <x:f>H219+I219*Q219</x:f>
        <x:v>-0.056607773413742235</x:v>
      </x:c>
      <x:c r="S219" s="7" t="n">
        <x:f>R219-L219</x:f>
        <x:v>-0.056607773413742235</x:v>
      </x:c>
      <x:c r="T219" s="7" t="n">
        <x:f>K219-R219</x:f>
        <x:v>-0.15863296778731129</x:v>
      </x:c>
      <x:c r="U219" s="7" t="n">
        <x:f>M219-S219-T219</x:f>
        <x:v>0</x:v>
      </x:c>
    </x:row>
    <x:row r="220" ht="27" customHeight="1">
      <x:c r="A220" s="2"/>
      <x:c r="B220" s="2" t="str">
        <x:v>Fabric &amp; Home Care | organic_volume_growth | PCENDC96</x:v>
      </x:c>
      <x:c r="C220" s="2" t="str">
        <x:v>2024-12-31</x:v>
      </x:c>
      <x:c r="D220" s="2" t="str">
        <x:v>One month</x:v>
      </x:c>
      <x:c r="E220" s="2" t="str">
        <x:v>2024-11-27</x:v>
      </x:c>
      <x:c r="F220" s="2" t="str">
        <x:v>Flat level</x:v>
      </x:c>
      <x:c r="G220" s="2" t="n">
        <x:v>8</x:v>
      </x:c>
      <x:c r="H220" s="7" t="n">
        <x:v>-3.0697902044802077</x:v>
      </x:c>
      <x:c r="I220" s="7" t="n">
        <x:v>2.343372897616352</x:v>
      </x:c>
      <x:c r="J220" s="7" t="n">
        <x:v>1.8629683295384059</x:v>
      </x:c>
      <x:c r="K220" s="7" t="n">
        <x:f>H220+I220*J220</x:f>
        <x:v>1.2958392880777017</x:v>
      </x:c>
      <x:c r="L220" s="7" t="n">
        <x:v>2</x:v>
      </x:c>
      <x:c r="M220" s="7" t="n">
        <x:f>K220-L220</x:f>
        <x:v>-0.7041607119222983</x:v>
      </x:c>
      <x:c r="N220" s="7" t="n">
        <x:f>M220^2</x:f>
        <x:v>0.49584230821491804</x:v>
      </x:c>
      <x:c r="O220" s="7" t="n">
        <x:v>1</x:v>
      </x:c>
      <x:c r="P220" s="7" t="n">
        <x:v>1.5</x:v>
      </x:c>
      <x:c r="Q220" s="7" t="n">
        <x:v>2.1803629338301267</x:v>
      </x:c>
      <x:c r="R220" s="7" t="n">
        <x:f>H220+I220*Q220</x:f>
        <x:v>2.039613201624587</x:v>
      </x:c>
      <x:c r="S220" s="7" t="n">
        <x:f>R220-L220</x:f>
        <x:v>0.039613201624586925</x:v>
      </x:c>
      <x:c r="T220" s="7" t="n">
        <x:f>K220-R220</x:f>
        <x:v>-0.7437739135468853</x:v>
      </x:c>
      <x:c r="U220" s="7" t="n">
        <x:f>M220-S220-T220</x:f>
        <x:v>0</x:v>
      </x:c>
    </x:row>
    <x:row r="221" ht="27" customHeight="1">
      <x:c r="A221" s="2"/>
      <x:c r="B221" s="2" t="str">
        <x:v>Baby, Feminine &amp; Family Care | organic_volume_growth | PCENDC96</x:v>
      </x:c>
      <x:c r="C221" s="2" t="str">
        <x:v>2024-12-31</x:v>
      </x:c>
      <x:c r="D221" s="2" t="str">
        <x:v>One month</x:v>
      </x:c>
      <x:c r="E221" s="2" t="str">
        <x:v>2024-11-27</x:v>
      </x:c>
      <x:c r="F221" s="2" t="str">
        <x:v>Recent trend</x:v>
      </x:c>
      <x:c r="G221" s="2" t="n">
        <x:v>11</x:v>
      </x:c>
      <x:c r="H221" s="7" t="n">
        <x:v>-2.642882524087833</x:v>
      </x:c>
      <x:c r="I221" s="7" t="n">
        <x:v>0.8751356035148301</x:v>
      </x:c>
      <x:c r="J221" s="7" t="n">
        <x:v>2.367152615548407</x:v>
      </x:c>
      <x:c r="K221" s="7" t="n">
        <x:f>H221+I221*J221</x:f>
        <x:v>-0.5713029912681691</x:v>
      </x:c>
      <x:c r="L221" s="7" t="n">
        <x:v>4</x:v>
      </x:c>
      <x:c r="M221" s="7" t="n">
        <x:f>K221-L221</x:f>
        <x:v>-4.571302991268169</x:v>
      </x:c>
      <x:c r="N221" s="7" t="n">
        <x:f>M221^2</x:f>
        <x:v>20.89681103797731</x:v>
      </x:c>
      <x:c r="O221" s="7" t="n">
        <x:v>-1</x:v>
      </x:c>
      <x:c r="P221" s="7" t="n">
        <x:v>-1.75</x:v>
      </x:c>
      <x:c r="Q221" s="7" t="n">
        <x:v>2.1803629338301267</x:v>
      </x:c>
      <x:c r="R221" s="7" t="n">
        <x:f>H221+I221*Q221</x:f>
        <x:v>-0.7347692921090394</x:v>
      </x:c>
      <x:c r="S221" s="7" t="n">
        <x:f>R221-L221</x:f>
        <x:v>-4.734769292109039</x:v>
      </x:c>
      <x:c r="T221" s="7" t="n">
        <x:f>K221-R221</x:f>
        <x:v>0.16346630084087033</x:v>
      </x:c>
      <x:c r="U221" s="7" t="n">
        <x:f>M221-S221-T221</x:f>
        <x:v>-2.220446049250313e-16</x:v>
      </x:c>
    </x:row>
    <x:row r="222" ht="27" customHeight="1">
      <x:c r="A222" s="2"/>
      <x:c r="B222" s="2" t="str">
        <x:v>Beauty | organic_volume_growth | PCENDC96</x:v>
      </x:c>
      <x:c r="C222" s="2" t="str">
        <x:v>2024-12-31</x:v>
      </x:c>
      <x:c r="D222" s="2" t="str">
        <x:v>One month</x:v>
      </x:c>
      <x:c r="E222" s="2" t="str">
        <x:v>2024-11-27</x:v>
      </x:c>
      <x:c r="F222" s="2" t="str">
        <x:v>Recent trend</x:v>
      </x:c>
      <x:c r="G222" s="2" t="n">
        <x:v>11</x:v>
      </x:c>
      <x:c r="H222" s="7" t="n">
        <x:v>-1.1463472912570327</x:v>
      </x:c>
      <x:c r="I222" s="7" t="n">
        <x:v>0.4997973048133796</x:v>
      </x:c>
      <x:c r="J222" s="7" t="n">
        <x:v>2.367152615548407</x:v>
      </x:c>
      <x:c r="K222" s="7" t="n">
        <x:f>H222+I222*J222</x:f>
        <x:v>0.03674920607600307</x:v>
      </x:c>
      <x:c r="L222" s="7" t="n">
        <x:v>0</x:v>
      </x:c>
      <x:c r="M222" s="7" t="n">
        <x:f>K222-L222</x:f>
        <x:v>0.03674920607600307</x:v>
      </x:c>
      <x:c r="N222" s="7" t="n">
        <x:f>M222^2</x:f>
        <x:v>0.001350504147216541</x:v>
      </x:c>
      <x:c r="O222" s="7" t="n">
        <x:v>0</x:v>
      </x:c>
      <x:c r="P222" s="7" t="n">
        <x:v>0.25</x:v>
      </x:c>
      <x:c r="Q222" s="7" t="n">
        <x:v>2.1803629338301267</x:v>
      </x:c>
      <x:c r="R222" s="7" t="n">
        <x:f>H222+I222*Q222</x:f>
        <x:v>-0.056607773413742235</x:v>
      </x:c>
      <x:c r="S222" s="7" t="n">
        <x:f>R222-L222</x:f>
        <x:v>-0.056607773413742235</x:v>
      </x:c>
      <x:c r="T222" s="7" t="n">
        <x:f>K222-R222</x:f>
        <x:v>0.0933569794897453</x:v>
      </x:c>
      <x:c r="U222" s="7" t="n">
        <x:f>M222-S222-T222</x:f>
        <x:v>0</x:v>
      </x:c>
    </x:row>
    <x:row r="223" ht="27" customHeight="1">
      <x:c r="A223" s="2"/>
      <x:c r="B223" s="2" t="str">
        <x:v>Fabric &amp; Home Care | organic_volume_growth | PCENDC96</x:v>
      </x:c>
      <x:c r="C223" s="2" t="str">
        <x:v>2024-12-31</x:v>
      </x:c>
      <x:c r="D223" s="2" t="str">
        <x:v>One month</x:v>
      </x:c>
      <x:c r="E223" s="2" t="str">
        <x:v>2024-11-27</x:v>
      </x:c>
      <x:c r="F223" s="2" t="str">
        <x:v>Recent trend</x:v>
      </x:c>
      <x:c r="G223" s="2" t="n">
        <x:v>8</x:v>
      </x:c>
      <x:c r="H223" s="7" t="n">
        <x:v>-3.0697902044802077</x:v>
      </x:c>
      <x:c r="I223" s="7" t="n">
        <x:v>2.343372897616352</x:v>
      </x:c>
      <x:c r="J223" s="7" t="n">
        <x:v>2.367152615548407</x:v>
      </x:c>
      <x:c r="K223" s="7" t="n">
        <x:f>H223+I223*J223</x:f>
        <x:v>2.477331079317589</x:v>
      </x:c>
      <x:c r="L223" s="7" t="n">
        <x:v>2</x:v>
      </x:c>
      <x:c r="M223" s="7" t="n">
        <x:f>K223-L223</x:f>
        <x:v>0.4773310793175889</x:v>
      </x:c>
      <x:c r="N223" s="7" t="n">
        <x:f>M223^2</x:f>
        <x:v>0.22784495928249435</x:v>
      </x:c>
      <x:c r="O223" s="7" t="n">
        <x:v>1</x:v>
      </x:c>
      <x:c r="P223" s="7" t="n">
        <x:v>1.5</x:v>
      </x:c>
      <x:c r="Q223" s="7" t="n">
        <x:v>2.1803629338301267</x:v>
      </x:c>
      <x:c r="R223" s="7" t="n">
        <x:f>H223+I223*Q223</x:f>
        <x:v>2.039613201624587</x:v>
      </x:c>
      <x:c r="S223" s="7" t="n">
        <x:f>R223-L223</x:f>
        <x:v>0.039613201624586925</x:v>
      </x:c>
      <x:c r="T223" s="7" t="n">
        <x:f>K223-R223</x:f>
        <x:v>0.43771787769300197</x:v>
      </x:c>
      <x:c r="U223" s="7" t="n">
        <x:f>M223-S223-T223</x:f>
        <x:v>0</x:v>
      </x:c>
    </x:row>
    <x:row r="224" ht="27" customHeight="1">
      <x:c r="A224" s="2"/>
      <x:c r="B224" s="2" t="str">
        <x:v>Baby, Feminine &amp; Family Care | organic_volume_growth | PCENDC96</x:v>
      </x:c>
      <x:c r="C224" s="2" t="str">
        <x:v>2024-12-31</x:v>
      </x:c>
      <x:c r="D224" s="2" t="str">
        <x:v>Two months</x:v>
      </x:c>
      <x:c r="E224" s="2" t="str">
        <x:v>2024-12-20</x:v>
      </x:c>
      <x:c r="F224" s="2" t="str">
        <x:v>YoY carry</x:v>
      </x:c>
      <x:c r="G224" s="2" t="n">
        <x:v>11</x:v>
      </x:c>
      <x:c r="H224" s="7" t="n">
        <x:v>-2.6432234040712053</x:v>
      </x:c>
      <x:c r="I224" s="7" t="n">
        <x:v>0.8743165448993253</x:v>
      </x:c>
      <x:c r="J224" s="7" t="n">
        <x:v>2.2104342232004415</x:v>
      </x:c>
      <x:c r="K224" s="7" t="n">
        <x:f>H224+I224*J224</x:f>
        <x:v>-0.7106041913153711</x:v>
      </x:c>
      <x:c r="L224" s="7" t="n">
        <x:v>4</x:v>
      </x:c>
      <x:c r="M224" s="7" t="n">
        <x:f>K224-L224</x:f>
        <x:v>-4.710604191315371</x:v>
      </x:c>
      <x:c r="N224" s="7" t="n">
        <x:f>M224^2</x:f>
        <x:v>22.189791847237938</x:v>
      </x:c>
      <x:c r="O224" s="7" t="n">
        <x:v>-1</x:v>
      </x:c>
      <x:c r="P224" s="7" t="n">
        <x:v>-1.75</x:v>
      </x:c>
      <x:c r="Q224" s="7" t="n">
        <x:v>2.158677588195279</x:v>
      </x:c>
      <x:c r="R224" s="7" t="n">
        <x:f>H224+I224*Q224</x:f>
        <x:v>-0.7558558736087002</x:v>
      </x:c>
      <x:c r="S224" s="7" t="n">
        <x:f>R224-L224</x:f>
        <x:v>-4.7558558736087</x:v>
      </x:c>
      <x:c r="T224" s="7" t="n">
        <x:f>K224-R224</x:f>
        <x:v>0.0452516822933291</x:v>
      </x:c>
      <x:c r="U224" s="7" t="n">
        <x:f>M224-S224-T224</x:f>
        <x:v>6.661338147750939e-16</x:v>
      </x:c>
    </x:row>
    <x:row r="225" ht="27" customHeight="1">
      <x:c r="A225" s="2"/>
      <x:c r="B225" s="2" t="str">
        <x:v>Beauty | organic_volume_growth | PCENDC96</x:v>
      </x:c>
      <x:c r="C225" s="2" t="str">
        <x:v>2024-12-31</x:v>
      </x:c>
      <x:c r="D225" s="2" t="str">
        <x:v>Two months</x:v>
      </x:c>
      <x:c r="E225" s="2" t="str">
        <x:v>2024-12-20</x:v>
      </x:c>
      <x:c r="F225" s="2" t="str">
        <x:v>YoY carry</x:v>
      </x:c>
      <x:c r="G225" s="2" t="n">
        <x:v>11</x:v>
      </x:c>
      <x:c r="H225" s="7" t="n">
        <x:v>-1.1466345937277818</x:v>
      </x:c>
      <x:c r="I225" s="7" t="n">
        <x:v>0.4994398431462382</x:v>
      </x:c>
      <x:c r="J225" s="7" t="n">
        <x:v>2.2104342232004415</x:v>
      </x:c>
      <x:c r="K225" s="7" t="n">
        <x:f>H225+I225*J225</x:f>
        <x:v>-0.04265567200747644</x:v>
      </x:c>
      <x:c r="L225" s="7" t="n">
        <x:v>0</x:v>
      </x:c>
      <x:c r="M225" s="7" t="n">
        <x:f>K225-L225</x:f>
        <x:v>-0.04265567200747644</x:v>
      </x:c>
      <x:c r="N225" s="7" t="n">
        <x:f>M225^2</x:f>
        <x:v>0.0018195063544094092</x:v>
      </x:c>
      <x:c r="O225" s="7" t="n">
        <x:v>0</x:v>
      </x:c>
      <x:c r="P225" s="7" t="n">
        <x:v>0.25</x:v>
      </x:c>
      <x:c r="Q225" s="7" t="n">
        <x:v>2.158677588195279</x:v>
      </x:c>
      <x:c r="R225" s="7" t="n">
        <x:f>H225+I225*Q225</x:f>
        <x:v>-0.06850499767623175</x:v>
      </x:c>
      <x:c r="S225" s="7" t="n">
        <x:f>R225-L225</x:f>
        <x:v>-0.06850499767623175</x:v>
      </x:c>
      <x:c r="T225" s="7" t="n">
        <x:f>K225-R225</x:f>
        <x:v>0.025849325668755307</x:v>
      </x:c>
      <x:c r="U225" s="7" t="n">
        <x:f>M225-S225-T225</x:f>
        <x:v>0</x:v>
      </x:c>
    </x:row>
    <x:row r="226" ht="27" customHeight="1">
      <x:c r="A226" s="2"/>
      <x:c r="B226" s="2" t="str">
        <x:v>Fabric &amp; Home Care | organic_volume_growth | PCENDC96</x:v>
      </x:c>
      <x:c r="C226" s="2" t="str">
        <x:v>2024-12-31</x:v>
      </x:c>
      <x:c r="D226" s="2" t="str">
        <x:v>Two months</x:v>
      </x:c>
      <x:c r="E226" s="2" t="str">
        <x:v>2024-12-20</x:v>
      </x:c>
      <x:c r="F226" s="2" t="str">
        <x:v>YoY carry</x:v>
      </x:c>
      <x:c r="G226" s="2" t="n">
        <x:v>8</x:v>
      </x:c>
      <x:c r="H226" s="7" t="n">
        <x:v>-3.0698143906116173</x:v>
      </x:c>
      <x:c r="I226" s="7" t="n">
        <x:v>2.3391202433654232</x:v>
      </x:c>
      <x:c r="J226" s="7" t="n">
        <x:v>2.2104342232004415</x:v>
      </x:c>
      <x:c r="K226" s="7" t="n">
        <x:f>H226+I226*J226</x:f>
        <x:v>2.1006570475042596</x:v>
      </x:c>
      <x:c r="L226" s="7" t="n">
        <x:v>2</x:v>
      </x:c>
      <x:c r="M226" s="7" t="n">
        <x:f>K226-L226</x:f>
        <x:v>0.10065704750425963</x:v>
      </x:c>
      <x:c r="N226" s="7" t="n">
        <x:f>M226^2</x:f>
        <x:v>0.01013184121227478</x:v>
      </x:c>
      <x:c r="O226" s="7" t="n">
        <x:v>1</x:v>
      </x:c>
      <x:c r="P226" s="7" t="n">
        <x:v>1.5</x:v>
      </x:c>
      <x:c r="Q226" s="7" t="n">
        <x:v>2.158677588195279</x:v>
      </x:c>
      <x:c r="R226" s="7" t="n">
        <x:f>H226+I226*Q226</x:f>
        <x:v>1.979592054835209</x:v>
      </x:c>
      <x:c r="S226" s="7" t="n">
        <x:f>R226-L226</x:f>
        <x:v>-0.02040794516479094</x:v>
      </x:c>
      <x:c r="T226" s="7" t="n">
        <x:f>K226-R226</x:f>
        <x:v>0.12106499266905058</x:v>
      </x:c>
      <x:c r="U226" s="7" t="n">
        <x:f>M226-S226-T226</x:f>
        <x:v>0</x:v>
      </x:c>
    </x:row>
    <x:row r="227" ht="27" customHeight="1">
      <x:c r="A227" s="2"/>
      <x:c r="B227" s="2" t="str">
        <x:v>Baby, Feminine &amp; Family Care | organic_volume_growth | PCENDC96</x:v>
      </x:c>
      <x:c r="C227" s="2" t="str">
        <x:v>2024-12-31</x:v>
      </x:c>
      <x:c r="D227" s="2" t="str">
        <x:v>Two months</x:v>
      </x:c>
      <x:c r="E227" s="2" t="str">
        <x:v>2024-12-20</x:v>
      </x:c>
      <x:c r="F227" s="2" t="str">
        <x:v>Flat level</x:v>
      </x:c>
      <x:c r="G227" s="2" t="n">
        <x:v>11</x:v>
      </x:c>
      <x:c r="H227" s="7" t="n">
        <x:v>-2.6432234040712053</x:v>
      </x:c>
      <x:c r="I227" s="7" t="n">
        <x:v>0.8743165448993253</x:v>
      </x:c>
      <x:c r="J227" s="7" t="n">
        <x:v>1.916195996096648</x:v>
      </x:c>
      <x:c r="K227" s="7" t="n">
        <x:f>H227+I227*J227</x:f>
        <x:v>-0.967861541414063</x:v>
      </x:c>
      <x:c r="L227" s="7" t="n">
        <x:v>4</x:v>
      </x:c>
      <x:c r="M227" s="7" t="n">
        <x:f>K227-L227</x:f>
        <x:v>-4.967861541414063</x:v>
      </x:c>
      <x:c r="N227" s="7" t="n">
        <x:f>M227^2</x:f>
        <x:v>24.67964829466091</x:v>
      </x:c>
      <x:c r="O227" s="7" t="n">
        <x:v>-1</x:v>
      </x:c>
      <x:c r="P227" s="7" t="n">
        <x:v>-1.75</x:v>
      </x:c>
      <x:c r="Q227" s="7" t="n">
        <x:v>2.158677588195279</x:v>
      </x:c>
      <x:c r="R227" s="7" t="n">
        <x:f>H227+I227*Q227</x:f>
        <x:v>-0.7558558736087002</x:v>
      </x:c>
      <x:c r="S227" s="7" t="n">
        <x:f>R227-L227</x:f>
        <x:v>-4.7558558736087</x:v>
      </x:c>
      <x:c r="T227" s="7" t="n">
        <x:f>K227-R227</x:f>
        <x:v>-0.21200566780536279</x:v>
      </x:c>
      <x:c r="U227" s="7" t="n">
        <x:f>M227-S227-T227</x:f>
        <x:v>2.220446049250313e-16</x:v>
      </x:c>
    </x:row>
    <x:row r="228" ht="27" customHeight="1">
      <x:c r="A228" s="2"/>
      <x:c r="B228" s="2" t="str">
        <x:v>Beauty | organic_volume_growth | PCENDC96</x:v>
      </x:c>
      <x:c r="C228" s="2" t="str">
        <x:v>2024-12-31</x:v>
      </x:c>
      <x:c r="D228" s="2" t="str">
        <x:v>Two months</x:v>
      </x:c>
      <x:c r="E228" s="2" t="str">
        <x:v>2024-12-20</x:v>
      </x:c>
      <x:c r="F228" s="2" t="str">
        <x:v>Flat level</x:v>
      </x:c>
      <x:c r="G228" s="2" t="n">
        <x:v>11</x:v>
      </x:c>
      <x:c r="H228" s="7" t="n">
        <x:v>-1.1466345937277818</x:v>
      </x:c>
      <x:c r="I228" s="7" t="n">
        <x:v>0.4994398431462382</x:v>
      </x:c>
      <x:c r="J228" s="7" t="n">
        <x:v>1.916195996096648</x:v>
      </x:c>
      <x:c r="K228" s="7" t="n">
        <x:f>H228+I228*J228</x:f>
        <x:v>-0.18960996599982227</x:v>
      </x:c>
      <x:c r="L228" s="7" t="n">
        <x:v>0</x:v>
      </x:c>
      <x:c r="M228" s="7" t="n">
        <x:f>K228-L228</x:f>
        <x:v>-0.18960996599982227</x:v>
      </x:c>
      <x:c r="N228" s="7" t="n">
        <x:f>M228^2</x:f>
        <x:v>0.03595193920645376</x:v>
      </x:c>
      <x:c r="O228" s="7" t="n">
        <x:v>0</x:v>
      </x:c>
      <x:c r="P228" s="7" t="n">
        <x:v>0.25</x:v>
      </x:c>
      <x:c r="Q228" s="7" t="n">
        <x:v>2.158677588195279</x:v>
      </x:c>
      <x:c r="R228" s="7" t="n">
        <x:f>H228+I228*Q228</x:f>
        <x:v>-0.06850499767623175</x:v>
      </x:c>
      <x:c r="S228" s="7" t="n">
        <x:f>R228-L228</x:f>
        <x:v>-0.06850499767623175</x:v>
      </x:c>
      <x:c r="T228" s="7" t="n">
        <x:f>K228-R228</x:f>
        <x:v>-0.12110496832359052</x:v>
      </x:c>
      <x:c r="U228" s="7" t="n">
        <x:f>M228-S228-T228</x:f>
        <x:v>0</x:v>
      </x:c>
    </x:row>
    <x:row r="229" ht="27" customHeight="1">
      <x:c r="A229" s="2"/>
      <x:c r="B229" s="2" t="str">
        <x:v>Fabric &amp; Home Care | organic_volume_growth | PCENDC96</x:v>
      </x:c>
      <x:c r="C229" s="2" t="str">
        <x:v>2024-12-31</x:v>
      </x:c>
      <x:c r="D229" s="2" t="str">
        <x:v>Two months</x:v>
      </x:c>
      <x:c r="E229" s="2" t="str">
        <x:v>2024-12-20</x:v>
      </x:c>
      <x:c r="F229" s="2" t="str">
        <x:v>Flat level</x:v>
      </x:c>
      <x:c r="G229" s="2" t="n">
        <x:v>8</x:v>
      </x:c>
      <x:c r="H229" s="7" t="n">
        <x:v>-3.0698143906116173</x:v>
      </x:c>
      <x:c r="I229" s="7" t="n">
        <x:v>2.3391202433654232</x:v>
      </x:c>
      <x:c r="J229" s="7" t="n">
        <x:v>1.916195996096648</x:v>
      </x:c>
      <x:c r="K229" s="7" t="n">
        <x:f>H229+I229*J229</x:f>
        <x:v>1.412398454113823</x:v>
      </x:c>
      <x:c r="L229" s="7" t="n">
        <x:v>2</x:v>
      </x:c>
      <x:c r="M229" s="7" t="n">
        <x:f>K229-L229</x:f>
        <x:v>-0.587601545886177</x:v>
      </x:c>
      <x:c r="N229" s="7" t="n">
        <x:f>M229^2</x:f>
        <x:v>0.34527557672782494</x:v>
      </x:c>
      <x:c r="O229" s="7" t="n">
        <x:v>1</x:v>
      </x:c>
      <x:c r="P229" s="7" t="n">
        <x:v>1.5</x:v>
      </x:c>
      <x:c r="Q229" s="7" t="n">
        <x:v>2.158677588195279</x:v>
      </x:c>
      <x:c r="R229" s="7" t="n">
        <x:f>H229+I229*Q229</x:f>
        <x:v>1.979592054835209</x:v>
      </x:c>
      <x:c r="S229" s="7" t="n">
        <x:f>R229-L229</x:f>
        <x:v>-0.02040794516479094</x:v>
      </x:c>
      <x:c r="T229" s="7" t="n">
        <x:f>K229-R229</x:f>
        <x:v>-0.567193600721386</x:v>
      </x:c>
      <x:c r="U229" s="7" t="n">
        <x:f>M229-S229-T229</x:f>
        <x:v>0</x:v>
      </x:c>
    </x:row>
    <x:row r="230" ht="27" customHeight="1">
      <x:c r="A230" s="2"/>
      <x:c r="B230" s="2" t="str">
        <x:v>Baby, Feminine &amp; Family Care | organic_volume_growth | PCENDC96</x:v>
      </x:c>
      <x:c r="C230" s="2" t="str">
        <x:v>2024-12-31</x:v>
      </x:c>
      <x:c r="D230" s="2" t="str">
        <x:v>Two months</x:v>
      </x:c>
      <x:c r="E230" s="2" t="str">
        <x:v>2024-12-20</x:v>
      </x:c>
      <x:c r="F230" s="2" t="str">
        <x:v>Recent trend</x:v>
      </x:c>
      <x:c r="G230" s="2" t="n">
        <x:v>11</x:v>
      </x:c>
      <x:c r="H230" s="7" t="n">
        <x:v>-2.6432234040712053</x:v>
      </x:c>
      <x:c r="I230" s="7" t="n">
        <x:v>0.8743165448993253</x:v>
      </x:c>
      <x:c r="J230" s="7" t="n">
        <x:v>1.9073247183369224</x:v>
      </x:c>
      <x:c r="K230" s="7" t="n">
        <x:f>H230+I230*J230</x:f>
        <x:v>-0.9756178463337883</x:v>
      </x:c>
      <x:c r="L230" s="7" t="n">
        <x:v>4</x:v>
      </x:c>
      <x:c r="M230" s="7" t="n">
        <x:f>K230-L230</x:f>
        <x:v>-4.975617846333789</x:v>
      </x:c>
      <x:c r="N230" s="7" t="n">
        <x:f>M230^2</x:f>
        <x:v>24.756772952755288</x:v>
      </x:c>
      <x:c r="O230" s="7" t="n">
        <x:v>-1</x:v>
      </x:c>
      <x:c r="P230" s="7" t="n">
        <x:v>-1.75</x:v>
      </x:c>
      <x:c r="Q230" s="7" t="n">
        <x:v>2.158677588195279</x:v>
      </x:c>
      <x:c r="R230" s="7" t="n">
        <x:f>H230+I230*Q230</x:f>
        <x:v>-0.7558558736087002</x:v>
      </x:c>
      <x:c r="S230" s="7" t="n">
        <x:f>R230-L230</x:f>
        <x:v>-4.7558558736087</x:v>
      </x:c>
      <x:c r="T230" s="7" t="n">
        <x:f>K230-R230</x:f>
        <x:v>-0.21976197272508813</x:v>
      </x:c>
      <x:c r="U230" s="7" t="n">
        <x:f>M230-S230-T230</x:f>
        <x:v>0</x:v>
      </x:c>
    </x:row>
    <x:row r="231" ht="27" customHeight="1">
      <x:c r="A231" s="2"/>
      <x:c r="B231" s="2" t="str">
        <x:v>Beauty | organic_volume_growth | PCENDC96</x:v>
      </x:c>
      <x:c r="C231" s="2" t="str">
        <x:v>2024-12-31</x:v>
      </x:c>
      <x:c r="D231" s="2" t="str">
        <x:v>Two months</x:v>
      </x:c>
      <x:c r="E231" s="2" t="str">
        <x:v>2024-12-20</x:v>
      </x:c>
      <x:c r="F231" s="2" t="str">
        <x:v>Recent trend</x:v>
      </x:c>
      <x:c r="G231" s="2" t="n">
        <x:v>11</x:v>
      </x:c>
      <x:c r="H231" s="7" t="n">
        <x:v>-1.1466345937277818</x:v>
      </x:c>
      <x:c r="I231" s="7" t="n">
        <x:v>0.4994398431462382</x:v>
      </x:c>
      <x:c r="J231" s="7" t="n">
        <x:v>1.9073247183369224</x:v>
      </x:c>
      <x:c r="K231" s="7" t="n">
        <x:f>H231+I231*J231</x:f>
        <x:v>-0.19404063557264628</x:v>
      </x:c>
      <x:c r="L231" s="7" t="n">
        <x:v>0</x:v>
      </x:c>
      <x:c r="M231" s="7" t="n">
        <x:f>K231-L231</x:f>
        <x:v>-0.19404063557264628</x:v>
      </x:c>
      <x:c r="N231" s="7" t="n">
        <x:f>M231^2</x:f>
        <x:v>0.037651768253436524</x:v>
      </x:c>
      <x:c r="O231" s="7" t="n">
        <x:v>0</x:v>
      </x:c>
      <x:c r="P231" s="7" t="n">
        <x:v>0.25</x:v>
      </x:c>
      <x:c r="Q231" s="7" t="n">
        <x:v>2.158677588195279</x:v>
      </x:c>
      <x:c r="R231" s="7" t="n">
        <x:f>H231+I231*Q231</x:f>
        <x:v>-0.06850499767623175</x:v>
      </x:c>
      <x:c r="S231" s="7" t="n">
        <x:f>R231-L231</x:f>
        <x:v>-0.06850499767623175</x:v>
      </x:c>
      <x:c r="T231" s="7" t="n">
        <x:f>K231-R231</x:f>
        <x:v>-0.12553563789641453</x:v>
      </x:c>
      <x:c r="U231" s="7" t="n">
        <x:f>M231-S231-T231</x:f>
        <x:v>0</x:v>
      </x:c>
    </x:row>
    <x:row r="232" ht="27" customHeight="1">
      <x:c r="A232" s="2"/>
      <x:c r="B232" s="2" t="str">
        <x:v>Fabric &amp; Home Care | organic_volume_growth | PCENDC96</x:v>
      </x:c>
      <x:c r="C232" s="2" t="str">
        <x:v>2024-12-31</x:v>
      </x:c>
      <x:c r="D232" s="2" t="str">
        <x:v>Two months</x:v>
      </x:c>
      <x:c r="E232" s="2" t="str">
        <x:v>2024-12-20</x:v>
      </x:c>
      <x:c r="F232" s="2" t="str">
        <x:v>Recent trend</x:v>
      </x:c>
      <x:c r="G232" s="2" t="n">
        <x:v>8</x:v>
      </x:c>
      <x:c r="H232" s="7" t="n">
        <x:v>-3.0698143906116173</x:v>
      </x:c>
      <x:c r="I232" s="7" t="n">
        <x:v>2.3391202433654232</x:v>
      </x:c>
      <x:c r="J232" s="7" t="n">
        <x:v>1.9073247183369224</x:v>
      </x:c>
      <x:c r="K232" s="7" t="n">
        <x:f>H232+I232*J232</x:f>
        <x:v>1.391647468721532</x:v>
      </x:c>
      <x:c r="L232" s="7" t="n">
        <x:v>2</x:v>
      </x:c>
      <x:c r="M232" s="7" t="n">
        <x:f>K232-L232</x:f>
        <x:v>-0.6083525312784679</x:v>
      </x:c>
      <x:c r="N232" s="7" t="n">
        <x:f>M232^2</x:f>
        <x:v>0.37009280231291924</x:v>
      </x:c>
      <x:c r="O232" s="7" t="n">
        <x:v>1</x:v>
      </x:c>
      <x:c r="P232" s="7" t="n">
        <x:v>1.5</x:v>
      </x:c>
      <x:c r="Q232" s="7" t="n">
        <x:v>2.158677588195279</x:v>
      </x:c>
      <x:c r="R232" s="7" t="n">
        <x:f>H232+I232*Q232</x:f>
        <x:v>1.979592054835209</x:v>
      </x:c>
      <x:c r="S232" s="7" t="n">
        <x:f>R232-L232</x:f>
        <x:v>-0.02040794516479094</x:v>
      </x:c>
      <x:c r="T232" s="7" t="n">
        <x:f>K232-R232</x:f>
        <x:v>-0.587944586113677</x:v>
      </x:c>
      <x:c r="U232" s="7" t="n">
        <x:f>M232-S232-T232</x:f>
        <x:v>0</x:v>
      </x:c>
    </x:row>
    <x:row r="233" ht="27" customHeight="1">
      <x:c r="A233" s="2"/>
      <x:c r="B233" s="2" t="str">
        <x:v>Baby, Feminine &amp; Family Care | organic_volume_growth | PCENDC96</x:v>
      </x:c>
      <x:c r="C233" s="2" t="str">
        <x:v>2024-12-31</x:v>
      </x:c>
      <x:c r="D233" s="2" t="str">
        <x:v>Pre-earnings</x:v>
      </x:c>
      <x:c r="E233" s="2" t="str">
        <x:v>2025-01-21</x:v>
      </x:c>
      <x:c r="F233" s="2" t="str">
        <x:v>YoY carry</x:v>
      </x:c>
      <x:c r="G233" s="2" t="n">
        <x:v>15</x:v>
      </x:c>
      <x:c r="H233" s="7" t="n">
        <x:v>-2.016433027926543</x:v>
      </x:c>
      <x:c r="I233" s="7" t="n">
        <x:v>0.09687124776088432</x:v>
      </x:c>
      <x:c r="J233" s="7" t="n">
        <x:v>2.2104342232004415</x:v>
      </x:c>
      <x:c r="K233" s="7" t="n">
        <x:f>H233+I233*J233</x:f>
        <x:v>-1.8023055066317553</x:v>
      </x:c>
      <x:c r="L233" s="7" t="n">
        <x:v>4</x:v>
      </x:c>
      <x:c r="M233" s="7" t="n">
        <x:f>K233-L233</x:f>
        <x:v>-5.802305506631756</x:v>
      </x:c>
      <x:c r="N233" s="7" t="n">
        <x:f>M233^2</x:f>
        <x:v>33.666749192289195</x:v>
      </x:c>
      <x:c r="O233" s="7" t="n">
        <x:v>-1</x:v>
      </x:c>
      <x:c r="P233" s="7" t="n">
        <x:v>-1.75</x:v>
      </x:c>
      <x:c r="Q233" s="7" t="n">
        <x:v>2.158677588195279</x:v>
      </x:c>
      <x:c r="R233" s="7" t="n">
        <x:f>H233+I233*Q233</x:f>
        <x:v>-1.8073192364446098</x:v>
      </x:c>
      <x:c r="S233" s="7" t="n">
        <x:f>R233-L233</x:f>
        <x:v>-5.807319236444609</x:v>
      </x:c>
      <x:c r="T233" s="7" t="n">
        <x:f>K233-R233</x:f>
        <x:v>0.005013729812854528</x:v>
      </x:c>
      <x:c r="U233" s="7" t="n">
        <x:f>M233-S233-T233</x:f>
        <x:v>-8.881784197001252e-16</x:v>
      </x:c>
    </x:row>
    <x:row r="234" ht="27" customHeight="1">
      <x:c r="A234" s="2"/>
      <x:c r="B234" s="2" t="str">
        <x:v>Beauty | organic_volume_growth | PCENDC96</x:v>
      </x:c>
      <x:c r="C234" s="2" t="str">
        <x:v>2024-12-31</x:v>
      </x:c>
      <x:c r="D234" s="2" t="str">
        <x:v>Pre-earnings</x:v>
      </x:c>
      <x:c r="E234" s="2" t="str">
        <x:v>2025-01-21</x:v>
      </x:c>
      <x:c r="F234" s="2" t="str">
        <x:v>YoY carry</x:v>
      </x:c>
      <x:c r="G234" s="2" t="n">
        <x:v>15</x:v>
      </x:c>
      <x:c r="H234" s="7" t="n">
        <x:v>-0.8874082431352992</x:v>
      </x:c>
      <x:c r="I234" s="7" t="n">
        <x:v>0.21240577859322493</x:v>
      </x:c>
      <x:c r="J234" s="7" t="n">
        <x:v>2.2104342232004415</x:v>
      </x:c>
      <x:c r="K234" s="7" t="n">
        <x:f>H234+I234*J234</x:f>
        <x:v>-0.4178992409272991</x:v>
      </x:c>
      <x:c r="L234" s="7" t="n">
        <x:v>0</x:v>
      </x:c>
      <x:c r="M234" s="7" t="n">
        <x:f>K234-L234</x:f>
        <x:v>-0.4178992409272991</x:v>
      </x:c>
      <x:c r="N234" s="7" t="n">
        <x:f>M234^2</x:f>
        <x:v>0.17463977556761276</x:v>
      </x:c>
      <x:c r="O234" s="7" t="n">
        <x:v>0</x:v>
      </x:c>
      <x:c r="P234" s="7" t="n">
        <x:v>0.25</x:v>
      </x:c>
      <x:c r="Q234" s="7" t="n">
        <x:v>2.158677588195279</x:v>
      </x:c>
      <x:c r="R234" s="7" t="n">
        <x:f>H234+I234*Q234</x:f>
        <x:v>-0.42889264928293597</x:v>
      </x:c>
      <x:c r="S234" s="7" t="n">
        <x:f>R234-L234</x:f>
        <x:v>-0.42889264928293597</x:v>
      </x:c>
      <x:c r="T234" s="7" t="n">
        <x:f>K234-R234</x:f>
        <x:v>0.010993408355636891</x:v>
      </x:c>
      <x:c r="U234" s="7" t="n">
        <x:f>M234-S234-T234</x:f>
        <x:v>0</x:v>
      </x:c>
    </x:row>
    <x:row r="235" ht="27" customHeight="1">
      <x:c r="A235" s="2"/>
      <x:c r="B235" s="2" t="str">
        <x:v>Fabric &amp; Home Care | organic_volume_growth | PCENDC96</x:v>
      </x:c>
      <x:c r="C235" s="2" t="str">
        <x:v>2024-12-31</x:v>
      </x:c>
      <x:c r="D235" s="2" t="str">
        <x:v>Pre-earnings</x:v>
      </x:c>
      <x:c r="E235" s="2" t="str">
        <x:v>2025-01-21</x:v>
      </x:c>
      <x:c r="F235" s="2" t="str">
        <x:v>YoY carry</x:v>
      </x:c>
      <x:c r="G235" s="2" t="n">
        <x:v>8</x:v>
      </x:c>
      <x:c r="H235" s="7" t="n">
        <x:v>-3.0698143906116173</x:v>
      </x:c>
      <x:c r="I235" s="7" t="n">
        <x:v>2.3391202433654232</x:v>
      </x:c>
      <x:c r="J235" s="7" t="n">
        <x:v>2.2104342232004415</x:v>
      </x:c>
      <x:c r="K235" s="7" t="n">
        <x:f>H235+I235*J235</x:f>
        <x:v>2.1006570475042596</x:v>
      </x:c>
      <x:c r="L235" s="7" t="n">
        <x:v>2</x:v>
      </x:c>
      <x:c r="M235" s="7" t="n">
        <x:f>K235-L235</x:f>
        <x:v>0.10065704750425963</x:v>
      </x:c>
      <x:c r="N235" s="7" t="n">
        <x:f>M235^2</x:f>
        <x:v>0.01013184121227478</x:v>
      </x:c>
      <x:c r="O235" s="7" t="n">
        <x:v>1</x:v>
      </x:c>
      <x:c r="P235" s="7" t="n">
        <x:v>1.5</x:v>
      </x:c>
      <x:c r="Q235" s="7" t="n">
        <x:v>2.158677588195279</x:v>
      </x:c>
      <x:c r="R235" s="7" t="n">
        <x:f>H235+I235*Q235</x:f>
        <x:v>1.979592054835209</x:v>
      </x:c>
      <x:c r="S235" s="7" t="n">
        <x:f>R235-L235</x:f>
        <x:v>-0.02040794516479094</x:v>
      </x:c>
      <x:c r="T235" s="7" t="n">
        <x:f>K235-R235</x:f>
        <x:v>0.12106499266905058</x:v>
      </x:c>
      <x:c r="U235" s="7" t="n">
        <x:f>M235-S235-T235</x:f>
        <x:v>0</x:v>
      </x:c>
    </x:row>
    <x:row r="236" ht="27" customHeight="1">
      <x:c r="A236" s="2"/>
      <x:c r="B236" s="2" t="str">
        <x:v>Baby, Feminine &amp; Family Care | organic_volume_growth | PCENDC96</x:v>
      </x:c>
      <x:c r="C236" s="2" t="str">
        <x:v>2024-12-31</x:v>
      </x:c>
      <x:c r="D236" s="2" t="str">
        <x:v>Pre-earnings</x:v>
      </x:c>
      <x:c r="E236" s="2" t="str">
        <x:v>2025-01-21</x:v>
      </x:c>
      <x:c r="F236" s="2" t="str">
        <x:v>Flat level</x:v>
      </x:c>
      <x:c r="G236" s="2" t="n">
        <x:v>15</x:v>
      </x:c>
      <x:c r="H236" s="7" t="n">
        <x:v>-2.016433027926543</x:v>
      </x:c>
      <x:c r="I236" s="7" t="n">
        <x:v>0.09687124776088432</x:v>
      </x:c>
      <x:c r="J236" s="7" t="n">
        <x:v>1.916195996096648</x:v>
      </x:c>
      <x:c r="K236" s="7" t="n">
        <x:f>H236+I236*J236</x:f>
        <x:v>-1.83080873083025</x:v>
      </x:c>
      <x:c r="L236" s="7" t="n">
        <x:v>4</x:v>
      </x:c>
      <x:c r="M236" s="7" t="n">
        <x:f>K236-L236</x:f>
        <x:v>-5.83080873083025</x:v>
      </x:c>
      <x:c r="N236" s="7" t="n">
        <x:f>M236^2</x:f>
        <x:v>33.99833045552627</x:v>
      </x:c>
      <x:c r="O236" s="7" t="n">
        <x:v>-1</x:v>
      </x:c>
      <x:c r="P236" s="7" t="n">
        <x:v>-1.75</x:v>
      </x:c>
      <x:c r="Q236" s="7" t="n">
        <x:v>2.158677588195279</x:v>
      </x:c>
      <x:c r="R236" s="7" t="n">
        <x:f>H236+I236*Q236</x:f>
        <x:v>-1.8073192364446098</x:v>
      </x:c>
      <x:c r="S236" s="7" t="n">
        <x:f>R236-L236</x:f>
        <x:v>-5.807319236444609</x:v>
      </x:c>
      <x:c r="T236" s="7" t="n">
        <x:f>K236-R236</x:f>
        <x:v>-0.023489494385640297</x:v>
      </x:c>
      <x:c r="U236" s="7" t="n">
        <x:f>M236-S236-T236</x:f>
        <x:v>-2.220446049250313e-16</x:v>
      </x:c>
    </x:row>
    <x:row r="237" ht="27" customHeight="1">
      <x:c r="A237" s="2"/>
      <x:c r="B237" s="2" t="str">
        <x:v>Beauty | organic_volume_growth | PCENDC96</x:v>
      </x:c>
      <x:c r="C237" s="2" t="str">
        <x:v>2024-12-31</x:v>
      </x:c>
      <x:c r="D237" s="2" t="str">
        <x:v>Pre-earnings</x:v>
      </x:c>
      <x:c r="E237" s="2" t="str">
        <x:v>2025-01-21</x:v>
      </x:c>
      <x:c r="F237" s="2" t="str">
        <x:v>Flat level</x:v>
      </x:c>
      <x:c r="G237" s="2" t="n">
        <x:v>15</x:v>
      </x:c>
      <x:c r="H237" s="7" t="n">
        <x:v>-0.8874082431352992</x:v>
      </x:c>
      <x:c r="I237" s="7" t="n">
        <x:v>0.21240577859322493</x:v>
      </x:c>
      <x:c r="J237" s="7" t="n">
        <x:v>1.916195996096648</x:v>
      </x:c>
      <x:c r="K237" s="7" t="n">
        <x:f>H237+I237*J237</x:f>
        <x:v>-0.4803971406471705</x:v>
      </x:c>
      <x:c r="L237" s="7" t="n">
        <x:v>0</x:v>
      </x:c>
      <x:c r="M237" s="7" t="n">
        <x:f>K237-L237</x:f>
        <x:v>-0.4803971406471705</x:v>
      </x:c>
      <x:c r="N237" s="7" t="n">
        <x:f>M237^2</x:f>
        <x:v>0.2307814127419773</x:v>
      </x:c>
      <x:c r="O237" s="7" t="n">
        <x:v>0</x:v>
      </x:c>
      <x:c r="P237" s="7" t="n">
        <x:v>0.25</x:v>
      </x:c>
      <x:c r="Q237" s="7" t="n">
        <x:v>2.158677588195279</x:v>
      </x:c>
      <x:c r="R237" s="7" t="n">
        <x:f>H237+I237*Q237</x:f>
        <x:v>-0.42889264928293597</x:v>
      </x:c>
      <x:c r="S237" s="7" t="n">
        <x:f>R237-L237</x:f>
        <x:v>-0.42889264928293597</x:v>
      </x:c>
      <x:c r="T237" s="7" t="n">
        <x:f>K237-R237</x:f>
        <x:v>-0.05150449136423452</x:v>
      </x:c>
      <x:c r="U237" s="7" t="n">
        <x:f>M237-S237-T237</x:f>
        <x:v>0</x:v>
      </x:c>
    </x:row>
    <x:row r="238" ht="27" customHeight="1">
      <x:c r="A238" s="2"/>
      <x:c r="B238" s="2" t="str">
        <x:v>Fabric &amp; Home Care | organic_volume_growth | PCENDC96</x:v>
      </x:c>
      <x:c r="C238" s="2" t="str">
        <x:v>2024-12-31</x:v>
      </x:c>
      <x:c r="D238" s="2" t="str">
        <x:v>Pre-earnings</x:v>
      </x:c>
      <x:c r="E238" s="2" t="str">
        <x:v>2025-01-21</x:v>
      </x:c>
      <x:c r="F238" s="2" t="str">
        <x:v>Flat level</x:v>
      </x:c>
      <x:c r="G238" s="2" t="n">
        <x:v>8</x:v>
      </x:c>
      <x:c r="H238" s="7" t="n">
        <x:v>-3.0698143906116173</x:v>
      </x:c>
      <x:c r="I238" s="7" t="n">
        <x:v>2.3391202433654232</x:v>
      </x:c>
      <x:c r="J238" s="7" t="n">
        <x:v>1.916195996096648</x:v>
      </x:c>
      <x:c r="K238" s="7" t="n">
        <x:f>H238+I238*J238</x:f>
        <x:v>1.412398454113823</x:v>
      </x:c>
      <x:c r="L238" s="7" t="n">
        <x:v>2</x:v>
      </x:c>
      <x:c r="M238" s="7" t="n">
        <x:f>K238-L238</x:f>
        <x:v>-0.587601545886177</x:v>
      </x:c>
      <x:c r="N238" s="7" t="n">
        <x:f>M238^2</x:f>
        <x:v>0.34527557672782494</x:v>
      </x:c>
      <x:c r="O238" s="7" t="n">
        <x:v>1</x:v>
      </x:c>
      <x:c r="P238" s="7" t="n">
        <x:v>1.5</x:v>
      </x:c>
      <x:c r="Q238" s="7" t="n">
        <x:v>2.158677588195279</x:v>
      </x:c>
      <x:c r="R238" s="7" t="n">
        <x:f>H238+I238*Q238</x:f>
        <x:v>1.979592054835209</x:v>
      </x:c>
      <x:c r="S238" s="7" t="n">
        <x:f>R238-L238</x:f>
        <x:v>-0.02040794516479094</x:v>
      </x:c>
      <x:c r="T238" s="7" t="n">
        <x:f>K238-R238</x:f>
        <x:v>-0.567193600721386</x:v>
      </x:c>
      <x:c r="U238" s="7" t="n">
        <x:f>M238-S238-T238</x:f>
        <x:v>0</x:v>
      </x:c>
    </x:row>
    <x:row r="239" ht="27" customHeight="1">
      <x:c r="A239" s="2"/>
      <x:c r="B239" s="2" t="str">
        <x:v>Baby, Feminine &amp; Family Care | organic_volume_growth | PCENDC96</x:v>
      </x:c>
      <x:c r="C239" s="2" t="str">
        <x:v>2024-12-31</x:v>
      </x:c>
      <x:c r="D239" s="2" t="str">
        <x:v>Pre-earnings</x:v>
      </x:c>
      <x:c r="E239" s="2" t="str">
        <x:v>2025-01-21</x:v>
      </x:c>
      <x:c r="F239" s="2" t="str">
        <x:v>Recent trend</x:v>
      </x:c>
      <x:c r="G239" s="2" t="n">
        <x:v>15</x:v>
      </x:c>
      <x:c r="H239" s="7" t="n">
        <x:v>-2.016433027926543</x:v>
      </x:c>
      <x:c r="I239" s="7" t="n">
        <x:v>0.09687124776088432</x:v>
      </x:c>
      <x:c r="J239" s="7" t="n">
        <x:v>1.9073247183369224</x:v>
      </x:c>
      <x:c r="K239" s="7" t="n">
        <x:f>H239+I239*J239</x:f>
        <x:v>-1.8316681025760682</x:v>
      </x:c>
      <x:c r="L239" s="7" t="n">
        <x:v>4</x:v>
      </x:c>
      <x:c r="M239" s="7" t="n">
        <x:f>K239-L239</x:f>
        <x:v>-5.831668102576068</x:v>
      </x:c>
      <x:c r="N239" s="7" t="n">
        <x:f>M239^2</x:f>
        <x:v>34.00835285860316</x:v>
      </x:c>
      <x:c r="O239" s="7" t="n">
        <x:v>-1</x:v>
      </x:c>
      <x:c r="P239" s="7" t="n">
        <x:v>-1.75</x:v>
      </x:c>
      <x:c r="Q239" s="7" t="n">
        <x:v>2.158677588195279</x:v>
      </x:c>
      <x:c r="R239" s="7" t="n">
        <x:f>H239+I239*Q239</x:f>
        <x:v>-1.8073192364446098</x:v>
      </x:c>
      <x:c r="S239" s="7" t="n">
        <x:f>R239-L239</x:f>
        <x:v>-5.807319236444609</x:v>
      </x:c>
      <x:c r="T239" s="7" t="n">
        <x:f>K239-R239</x:f>
        <x:v>-0.02434886613145837</x:v>
      </x:c>
      <x:c r="U239" s="7" t="n">
        <x:f>M239-S239-T239</x:f>
        <x:v>-4.440892098500626e-16</x:v>
      </x:c>
    </x:row>
    <x:row r="240" ht="27" customHeight="1">
      <x:c r="A240" s="2"/>
      <x:c r="B240" s="2" t="str">
        <x:v>Beauty | organic_volume_growth | PCENDC96</x:v>
      </x:c>
      <x:c r="C240" s="2" t="str">
        <x:v>2024-12-31</x:v>
      </x:c>
      <x:c r="D240" s="2" t="str">
        <x:v>Pre-earnings</x:v>
      </x:c>
      <x:c r="E240" s="2" t="str">
        <x:v>2025-01-21</x:v>
      </x:c>
      <x:c r="F240" s="2" t="str">
        <x:v>Recent trend</x:v>
      </x:c>
      <x:c r="G240" s="2" t="n">
        <x:v>15</x:v>
      </x:c>
      <x:c r="H240" s="7" t="n">
        <x:v>-0.8874082431352992</x:v>
      </x:c>
      <x:c r="I240" s="7" t="n">
        <x:v>0.21240577859322493</x:v>
      </x:c>
      <x:c r="J240" s="7" t="n">
        <x:v>1.9073247183369224</x:v>
      </x:c>
      <x:c r="K240" s="7" t="n">
        <x:f>H240+I240*J240</x:f>
        <x:v>-0.48228145130684175</x:v>
      </x:c>
      <x:c r="L240" s="7" t="n">
        <x:v>0</x:v>
      </x:c>
      <x:c r="M240" s="7" t="n">
        <x:f>K240-L240</x:f>
        <x:v>-0.48228145130684175</x:v>
      </x:c>
      <x:c r="N240" s="7" t="n">
        <x:f>M240^2</x:f>
        <x:v>0.23259539827463357</x:v>
      </x:c>
      <x:c r="O240" s="7" t="n">
        <x:v>0</x:v>
      </x:c>
      <x:c r="P240" s="7" t="n">
        <x:v>0.25</x:v>
      </x:c>
      <x:c r="Q240" s="7" t="n">
        <x:v>2.158677588195279</x:v>
      </x:c>
      <x:c r="R240" s="7" t="n">
        <x:f>H240+I240*Q240</x:f>
        <x:v>-0.42889264928293597</x:v>
      </x:c>
      <x:c r="S240" s="7" t="n">
        <x:f>R240-L240</x:f>
        <x:v>-0.42889264928293597</x:v>
      </x:c>
      <x:c r="T240" s="7" t="n">
        <x:f>K240-R240</x:f>
        <x:v>-0.05338880202390578</x:v>
      </x:c>
      <x:c r="U240" s="7" t="n">
        <x:f>M240-S240-T240</x:f>
        <x:v>0</x:v>
      </x:c>
    </x:row>
    <x:row r="241" ht="27" customHeight="1">
      <x:c r="A241" s="2"/>
      <x:c r="B241" s="2" t="str">
        <x:v>Fabric &amp; Home Care | organic_volume_growth | PCENDC96</x:v>
      </x:c>
      <x:c r="C241" s="2" t="str">
        <x:v>2024-12-31</x:v>
      </x:c>
      <x:c r="D241" s="2" t="str">
        <x:v>Pre-earnings</x:v>
      </x:c>
      <x:c r="E241" s="2" t="str">
        <x:v>2025-01-21</x:v>
      </x:c>
      <x:c r="F241" s="2" t="str">
        <x:v>Recent trend</x:v>
      </x:c>
      <x:c r="G241" s="2" t="n">
        <x:v>8</x:v>
      </x:c>
      <x:c r="H241" s="7" t="n">
        <x:v>-3.0698143906116173</x:v>
      </x:c>
      <x:c r="I241" s="7" t="n">
        <x:v>2.3391202433654232</x:v>
      </x:c>
      <x:c r="J241" s="7" t="n">
        <x:v>1.9073247183369224</x:v>
      </x:c>
      <x:c r="K241" s="7" t="n">
        <x:f>H241+I241*J241</x:f>
        <x:v>1.391647468721532</x:v>
      </x:c>
      <x:c r="L241" s="7" t="n">
        <x:v>2</x:v>
      </x:c>
      <x:c r="M241" s="7" t="n">
        <x:f>K241-L241</x:f>
        <x:v>-0.6083525312784679</x:v>
      </x:c>
      <x:c r="N241" s="7" t="n">
        <x:f>M241^2</x:f>
        <x:v>0.37009280231291924</x:v>
      </x:c>
      <x:c r="O241" s="7" t="n">
        <x:v>1</x:v>
      </x:c>
      <x:c r="P241" s="7" t="n">
        <x:v>1.5</x:v>
      </x:c>
      <x:c r="Q241" s="7" t="n">
        <x:v>2.158677588195279</x:v>
      </x:c>
      <x:c r="R241" s="7" t="n">
        <x:f>H241+I241*Q241</x:f>
        <x:v>1.979592054835209</x:v>
      </x:c>
      <x:c r="S241" s="7" t="n">
        <x:f>R241-L241</x:f>
        <x:v>-0.02040794516479094</x:v>
      </x:c>
      <x:c r="T241" s="7" t="n">
        <x:f>K241-R241</x:f>
        <x:v>-0.587944586113677</x:v>
      </x:c>
      <x:c r="U241" s="7" t="n">
        <x:f>M241-S241-T241</x:f>
        <x:v>0</x:v>
      </x:c>
    </x:row>
    <x:row r="242" ht="27" customHeight="1">
      <x:c r="A242" s="2"/>
      <x:c r="B242" s="2" t="str">
        <x:v>Baby, Feminine &amp; Family Care | organic_volume_growth | PCENDC96</x:v>
      </x:c>
      <x:c r="C242" s="2" t="str">
        <x:v>2025-03-31</x:v>
      </x:c>
      <x:c r="D242" s="2" t="str">
        <x:v>Origin</x:v>
      </x:c>
      <x:c r="E242" s="2" t="str">
        <x:v>2025-01-01</x:v>
      </x:c>
      <x:c r="F242" s="2" t="str">
        <x:v>YoY carry</x:v>
      </x:c>
      <x:c r="G242" s="2" t="n">
        <x:v>15</x:v>
      </x:c>
      <x:c r="H242" s="7" t="n">
        <x:v>-2.016433027926543</x:v>
      </x:c>
      <x:c r="I242" s="7" t="n">
        <x:v>0.09687124776088432</x:v>
      </x:c>
      <x:c r="J242" s="7" t="n">
        <x:v>2.3134618459836664</x:v>
      </x:c>
      <x:c r="K242" s="7" t="n">
        <x:f>H242+I242*J242</x:f>
        <x:v>-1.7923250922589065</x:v>
      </x:c>
      <x:c r="L242" s="7" t="n">
        <x:v>-2</x:v>
      </x:c>
      <x:c r="M242" s="7" t="n">
        <x:f>K242-L242</x:f>
        <x:v>0.20767490774109354</x:v>
      </x:c>
      <x:c r="N242" s="7" t="n">
        <x:f>M242^2</x:f>
        <x:v>0.04312886730527171</x:v>
      </x:c>
      <x:c r="O242" s="7" t="n">
        <x:v>-1</x:v>
      </x:c>
      <x:c r="P242" s="7" t="n">
        <x:v>-1.75</x:v>
      </x:c>
      <x:c r="Q242" s="7" t="n">
        <x:v>2.6571575328934394</x:v>
      </x:c>
      <x:c r="R242" s="7" t="n">
        <x:f>H242+I242*Q242</x:f>
        <x:v>-1.7590308622179225</x:v>
      </x:c>
      <x:c r="S242" s="7" t="n">
        <x:f>R242-L242</x:f>
        <x:v>0.2409691377820775</x:v>
      </x:c>
      <x:c r="T242" s="7" t="n">
        <x:f>K242-R242</x:f>
        <x:v>-0.033294230040983974</x:v>
      </x:c>
      <x:c r="U242" s="7" t="n">
        <x:f>M242-S242-T242</x:f>
        <x:v>0</x:v>
      </x:c>
    </x:row>
    <x:row r="243" ht="27" customHeight="1">
      <x:c r="A243" s="2"/>
      <x:c r="B243" s="2" t="str">
        <x:v>Beauty | organic_volume_growth | PCENDC96</x:v>
      </x:c>
      <x:c r="C243" s="2" t="str">
        <x:v>2025-03-31</x:v>
      </x:c>
      <x:c r="D243" s="2" t="str">
        <x:v>Origin</x:v>
      </x:c>
      <x:c r="E243" s="2" t="str">
        <x:v>2025-01-01</x:v>
      </x:c>
      <x:c r="F243" s="2" t="str">
        <x:v>YoY carry</x:v>
      </x:c>
      <x:c r="G243" s="2" t="n">
        <x:v>15</x:v>
      </x:c>
      <x:c r="H243" s="7" t="n">
        <x:v>-0.8874082431352992</x:v>
      </x:c>
      <x:c r="I243" s="7" t="n">
        <x:v>0.21240577859322493</x:v>
      </x:c>
      <x:c r="J243" s="7" t="n">
        <x:v>2.3134618459836664</x:v>
      </x:c>
      <x:c r="K243" s="7" t="n">
        <x:f>H243+I243*J243</x:f>
        <x:v>-0.3960155784934191</x:v>
      </x:c>
      <x:c r="L243" s="7" t="n">
        <x:v>1</x:v>
      </x:c>
      <x:c r="M243" s="7" t="n">
        <x:f>K243-L243</x:f>
        <x:v>-1.3960155784934192</x:v>
      </x:c>
      <x:c r="N243" s="7" t="n">
        <x:f>M243^2</x:f>
        <x:v>1.9488594953963159</x:v>
      </x:c>
      <x:c r="O243" s="7" t="n">
        <x:v>0</x:v>
      </x:c>
      <x:c r="P243" s="7" t="n">
        <x:v>0.25</x:v>
      </x:c>
      <x:c r="Q243" s="7" t="n">
        <x:v>2.6571575328934394</x:v>
      </x:c>
      <x:c r="R243" s="7" t="n">
        <x:f>H243+I243*Q243</x:f>
        <x:v>-0.3230126285162155</x:v>
      </x:c>
      <x:c r="S243" s="7" t="n">
        <x:f>R243-L243</x:f>
        <x:v>-1.3230126285162154</x:v>
      </x:c>
      <x:c r="T243" s="7" t="n">
        <x:f>K243-R243</x:f>
        <x:v>-0.07300294997720363</x:v>
      </x:c>
      <x:c r="U243" s="7" t="n">
        <x:f>M243-S243-T243</x:f>
        <x:v>-1.6653345369377348e-16</x:v>
      </x:c>
    </x:row>
    <x:row r="244" ht="27" customHeight="1">
      <x:c r="A244" s="2"/>
      <x:c r="B244" s="2" t="str">
        <x:v>Fabric &amp; Home Care | organic_volume_growth | PCENDC96</x:v>
      </x:c>
      <x:c r="C244" s="2" t="str">
        <x:v>2025-03-31</x:v>
      </x:c>
      <x:c r="D244" s="2" t="str">
        <x:v>Origin</x:v>
      </x:c>
      <x:c r="E244" s="2" t="str">
        <x:v>2025-01-01</x:v>
      </x:c>
      <x:c r="F244" s="2" t="str">
        <x:v>YoY carry</x:v>
      </x:c>
      <x:c r="G244" s="2" t="n">
        <x:v>8</x:v>
      </x:c>
      <x:c r="H244" s="7" t="n">
        <x:v>-3.0698143906116173</x:v>
      </x:c>
      <x:c r="I244" s="7" t="n">
        <x:v>2.3391202433654232</x:v>
      </x:c>
      <x:c r="J244" s="7" t="n">
        <x:v>2.3134618459836664</x:v>
      </x:c>
      <x:c r="K244" s="7" t="n">
        <x:f>H244+I244*J244</x:f>
        <x:v>2.3416510455823176</x:v>
      </x:c>
      <x:c r="L244" s="7" t="n">
        <x:v>0</x:v>
      </x:c>
      <x:c r="M244" s="7" t="n">
        <x:f>K244-L244</x:f>
        <x:v>2.3416510455823176</x:v>
      </x:c>
      <x:c r="N244" s="7" t="n">
        <x:f>M244^2</x:f>
        <x:v>5.483329619276762</x:v>
      </x:c>
      <x:c r="O244" s="7" t="n">
        <x:v>1</x:v>
      </x:c>
      <x:c r="P244" s="7" t="n">
        <x:v>1.5</x:v>
      </x:c>
      <x:c r="Q244" s="7" t="n">
        <x:v>2.6571575328934394</x:v>
      </x:c>
      <x:c r="R244" s="7" t="n">
        <x:f>H244+I244*Q244</x:f>
        <x:v>3.145596584390352</x:v>
      </x:c>
      <x:c r="S244" s="7" t="n">
        <x:f>R244-L244</x:f>
        <x:v>3.145596584390352</x:v>
      </x:c>
      <x:c r="T244" s="7" t="n">
        <x:f>K244-R244</x:f>
        <x:v>-0.8039455388080343</x:v>
      </x:c>
      <x:c r="U244" s="7" t="n">
        <x:f>M244-S244-T244</x:f>
        <x:v>0</x:v>
      </x:c>
    </x:row>
    <x:row r="245" ht="27" customHeight="1">
      <x:c r="A245" s="2"/>
      <x:c r="B245" s="2" t="str">
        <x:v>Baby, Feminine &amp; Family Care | organic_volume_growth | PCENDC96</x:v>
      </x:c>
      <x:c r="C245" s="2" t="str">
        <x:v>2025-03-31</x:v>
      </x:c>
      <x:c r="D245" s="2" t="str">
        <x:v>Origin</x:v>
      </x:c>
      <x:c r="E245" s="2" t="str">
        <x:v>2025-01-01</x:v>
      </x:c>
      <x:c r="F245" s="2" t="str">
        <x:v>Flat level</x:v>
      </x:c>
      <x:c r="G245" s="2" t="n">
        <x:v>15</x:v>
      </x:c>
      <x:c r="H245" s="7" t="n">
        <x:v>-2.016433027926543</x:v>
      </x:c>
      <x:c r="I245" s="7" t="n">
        <x:v>0.09687124776088432</x:v>
      </x:c>
      <x:c r="J245" s="7" t="n">
        <x:v>2.1919080169109817</x:v>
      </x:c>
      <x:c r="K245" s="7" t="n">
        <x:f>H245+I245*J245</x:f>
        <x:v>-1.8041001633512908</x:v>
      </x:c>
      <x:c r="L245" s="7" t="n">
        <x:v>-2</x:v>
      </x:c>
      <x:c r="M245" s="7" t="n">
        <x:f>K245-L245</x:f>
        <x:v>0.19589983664870925</x:v>
      </x:c>
      <x:c r="N245" s="7" t="n">
        <x:f>M245^2</x:f>
        <x:v>0.03837674599899096</x:v>
      </x:c>
      <x:c r="O245" s="7" t="n">
        <x:v>-1</x:v>
      </x:c>
      <x:c r="P245" s="7" t="n">
        <x:v>-1.75</x:v>
      </x:c>
      <x:c r="Q245" s="7" t="n">
        <x:v>2.6571575328934394</x:v>
      </x:c>
      <x:c r="R245" s="7" t="n">
        <x:f>H245+I245*Q245</x:f>
        <x:v>-1.7590308622179225</x:v>
      </x:c>
      <x:c r="S245" s="7" t="n">
        <x:f>R245-L245</x:f>
        <x:v>0.2409691377820775</x:v>
      </x:c>
      <x:c r="T245" s="7" t="n">
        <x:f>K245-R245</x:f>
        <x:v>-0.04506930113336827</x:v>
      </x:c>
      <x:c r="U245" s="7" t="n">
        <x:f>M245-S245-T245</x:f>
        <x:v>0</x:v>
      </x:c>
    </x:row>
    <x:row r="246" ht="27" customHeight="1">
      <x:c r="A246" s="2"/>
      <x:c r="B246" s="2" t="str">
        <x:v>Beauty | organic_volume_growth | PCENDC96</x:v>
      </x:c>
      <x:c r="C246" s="2" t="str">
        <x:v>2025-03-31</x:v>
      </x:c>
      <x:c r="D246" s="2" t="str">
        <x:v>Origin</x:v>
      </x:c>
      <x:c r="E246" s="2" t="str">
        <x:v>2025-01-01</x:v>
      </x:c>
      <x:c r="F246" s="2" t="str">
        <x:v>Flat level</x:v>
      </x:c>
      <x:c r="G246" s="2" t="n">
        <x:v>15</x:v>
      </x:c>
      <x:c r="H246" s="7" t="n">
        <x:v>-0.8874082431352992</x:v>
      </x:c>
      <x:c r="I246" s="7" t="n">
        <x:v>0.21240577859322493</x:v>
      </x:c>
      <x:c r="J246" s="7" t="n">
        <x:v>2.1919080169109817</x:v>
      </x:c>
      <x:c r="K246" s="7" t="n">
        <x:f>H246+I246*J246</x:f>
        <x:v>-0.4218343141985905</x:v>
      </x:c>
      <x:c r="L246" s="7" t="n">
        <x:v>1</x:v>
      </x:c>
      <x:c r="M246" s="7" t="n">
        <x:f>K246-L246</x:f>
        <x:v>-1.4218343141985905</x:v>
      </x:c>
      <x:c r="N246" s="7" t="n">
        <x:f>M246^2</x:f>
        <x:v>2.0216128170325764</x:v>
      </x:c>
      <x:c r="O246" s="7" t="n">
        <x:v>0</x:v>
      </x:c>
      <x:c r="P246" s="7" t="n">
        <x:v>0.25</x:v>
      </x:c>
      <x:c r="Q246" s="7" t="n">
        <x:v>2.6571575328934394</x:v>
      </x:c>
      <x:c r="R246" s="7" t="n">
        <x:f>H246+I246*Q246</x:f>
        <x:v>-0.3230126285162155</x:v>
      </x:c>
      <x:c r="S246" s="7" t="n">
        <x:f>R246-L246</x:f>
        <x:v>-1.3230126285162154</x:v>
      </x:c>
      <x:c r="T246" s="7" t="n">
        <x:f>K246-R246</x:f>
        <x:v>-0.09882168568237504</x:v>
      </x:c>
      <x:c r="U246" s="7" t="n">
        <x:f>M246-S246-T246</x:f>
        <x:v>-1.1102230246251565e-16</x:v>
      </x:c>
    </x:row>
    <x:row r="247" ht="27" customHeight="1">
      <x:c r="A247" s="2"/>
      <x:c r="B247" s="2" t="str">
        <x:v>Fabric &amp; Home Care | organic_volume_growth | PCENDC96</x:v>
      </x:c>
      <x:c r="C247" s="2" t="str">
        <x:v>2025-03-31</x:v>
      </x:c>
      <x:c r="D247" s="2" t="str">
        <x:v>Origin</x:v>
      </x:c>
      <x:c r="E247" s="2" t="str">
        <x:v>2025-01-01</x:v>
      </x:c>
      <x:c r="F247" s="2" t="str">
        <x:v>Flat level</x:v>
      </x:c>
      <x:c r="G247" s="2" t="n">
        <x:v>8</x:v>
      </x:c>
      <x:c r="H247" s="7" t="n">
        <x:v>-3.0698143906116173</x:v>
      </x:c>
      <x:c r="I247" s="7" t="n">
        <x:v>2.3391202433654232</x:v>
      </x:c>
      <x:c r="J247" s="7" t="n">
        <x:v>2.1919080169109817</x:v>
      </x:c>
      <x:c r="K247" s="7" t="n">
        <x:f>H247+I247*J247</x:f>
        <x:v>2.0573220233398204</x:v>
      </x:c>
      <x:c r="L247" s="7" t="n">
        <x:v>0</x:v>
      </x:c>
      <x:c r="M247" s="7" t="n">
        <x:f>K247-L247</x:f>
        <x:v>2.0573220233398204</x:v>
      </x:c>
      <x:c r="N247" s="7" t="n">
        <x:f>M247^2</x:f>
        <x:v>4.232573907719052</x:v>
      </x:c>
      <x:c r="O247" s="7" t="n">
        <x:v>1</x:v>
      </x:c>
      <x:c r="P247" s="7" t="n">
        <x:v>1.5</x:v>
      </x:c>
      <x:c r="Q247" s="7" t="n">
        <x:v>2.6571575328934394</x:v>
      </x:c>
      <x:c r="R247" s="7" t="n">
        <x:f>H247+I247*Q247</x:f>
        <x:v>3.145596584390352</x:v>
      </x:c>
      <x:c r="S247" s="7" t="n">
        <x:f>R247-L247</x:f>
        <x:v>3.145596584390352</x:v>
      </x:c>
      <x:c r="T247" s="7" t="n">
        <x:f>K247-R247</x:f>
        <x:v>-1.0882745610505316</x:v>
      </x:c>
      <x:c r="U247" s="7" t="n">
        <x:f>M247-S247-T247</x:f>
        <x:v>0</x:v>
      </x:c>
    </x:row>
    <x:row r="248" ht="27" customHeight="1">
      <x:c r="A248" s="2"/>
      <x:c r="B248" s="2" t="str">
        <x:v>Baby, Feminine &amp; Family Care | organic_volume_growth | PCENDC96</x:v>
      </x:c>
      <x:c r="C248" s="2" t="str">
        <x:v>2025-03-31</x:v>
      </x:c>
      <x:c r="D248" s="2" t="str">
        <x:v>Origin</x:v>
      </x:c>
      <x:c r="E248" s="2" t="str">
        <x:v>2025-01-01</x:v>
      </x:c>
      <x:c r="F248" s="2" t="str">
        <x:v>Recent trend</x:v>
      </x:c>
      <x:c r="G248" s="2" t="n">
        <x:v>15</x:v>
      </x:c>
      <x:c r="H248" s="7" t="n">
        <x:v>-2.016433027926543</x:v>
      </x:c>
      <x:c r="I248" s="7" t="n">
        <x:v>0.09687124776088432</x:v>
      </x:c>
      <x:c r="J248" s="7" t="n">
        <x:v>2.1118969536528365</x:v>
      </x:c>
      <x:c r="K248" s="7" t="n">
        <x:f>H248+I248*J248</x:f>
        <x:v>-1.8118509348837821</x:v>
      </x:c>
      <x:c r="L248" s="7" t="n">
        <x:v>-2</x:v>
      </x:c>
      <x:c r="M248" s="7" t="n">
        <x:f>K248-L248</x:f>
        <x:v>0.18814906511621787</x:v>
      </x:c>
      <x:c r="N248" s="7" t="n">
        <x:f>M248^2</x:f>
        <x:v>0.03540007070410679</x:v>
      </x:c>
      <x:c r="O248" s="7" t="n">
        <x:v>-1</x:v>
      </x:c>
      <x:c r="P248" s="7" t="n">
        <x:v>-1.75</x:v>
      </x:c>
      <x:c r="Q248" s="7" t="n">
        <x:v>2.6571575328934394</x:v>
      </x:c>
      <x:c r="R248" s="7" t="n">
        <x:f>H248+I248*Q248</x:f>
        <x:v>-1.7590308622179225</x:v>
      </x:c>
      <x:c r="S248" s="7" t="n">
        <x:f>R248-L248</x:f>
        <x:v>0.2409691377820775</x:v>
      </x:c>
      <x:c r="T248" s="7" t="n">
        <x:f>K248-R248</x:f>
        <x:v>-0.05282007266585964</x:v>
      </x:c>
      <x:c r="U248" s="7" t="n">
        <x:f>M248-S248-T248</x:f>
        <x:v>0</x:v>
      </x:c>
    </x:row>
    <x:row r="249" ht="27" customHeight="1">
      <x:c r="A249" s="2"/>
      <x:c r="B249" s="2" t="str">
        <x:v>Beauty | organic_volume_growth | PCENDC96</x:v>
      </x:c>
      <x:c r="C249" s="2" t="str">
        <x:v>2025-03-31</x:v>
      </x:c>
      <x:c r="D249" s="2" t="str">
        <x:v>Origin</x:v>
      </x:c>
      <x:c r="E249" s="2" t="str">
        <x:v>2025-01-01</x:v>
      </x:c>
      <x:c r="F249" s="2" t="str">
        <x:v>Recent trend</x:v>
      </x:c>
      <x:c r="G249" s="2" t="n">
        <x:v>15</x:v>
      </x:c>
      <x:c r="H249" s="7" t="n">
        <x:v>-0.8874082431352992</x:v>
      </x:c>
      <x:c r="I249" s="7" t="n">
        <x:v>0.21240577859322493</x:v>
      </x:c>
      <x:c r="J249" s="7" t="n">
        <x:v>2.1118969536528365</x:v>
      </x:c>
      <x:c r="K249" s="7" t="n">
        <x:f>H249+I249*J249</x:f>
        <x:v>-0.43882912638600863</x:v>
      </x:c>
      <x:c r="L249" s="7" t="n">
        <x:v>1</x:v>
      </x:c>
      <x:c r="M249" s="7" t="n">
        <x:f>K249-L249</x:f>
        <x:v>-1.4388291263860087</x:v>
      </x:c>
      <x:c r="N249" s="7" t="n">
        <x:f>M249^2</x:f>
        <x:v>2.070229254936725</x:v>
      </x:c>
      <x:c r="O249" s="7" t="n">
        <x:v>0</x:v>
      </x:c>
      <x:c r="P249" s="7" t="n">
        <x:v>0.25</x:v>
      </x:c>
      <x:c r="Q249" s="7" t="n">
        <x:v>2.6571575328934394</x:v>
      </x:c>
      <x:c r="R249" s="7" t="n">
        <x:f>H249+I249*Q249</x:f>
        <x:v>-0.3230126285162155</x:v>
      </x:c>
      <x:c r="S249" s="7" t="n">
        <x:f>R249-L249</x:f>
        <x:v>-1.3230126285162154</x:v>
      </x:c>
      <x:c r="T249" s="7" t="n">
        <x:f>K249-R249</x:f>
        <x:v>-0.11581649786979314</x:v>
      </x:c>
      <x:c r="U249" s="7" t="n">
        <x:f>M249-S249-T249</x:f>
        <x:v>-1.6653345369377348e-16</x:v>
      </x:c>
    </x:row>
    <x:row r="250" ht="27" customHeight="1">
      <x:c r="A250" s="2"/>
      <x:c r="B250" s="2" t="str">
        <x:v>Fabric &amp; Home Care | organic_volume_growth | PCENDC96</x:v>
      </x:c>
      <x:c r="C250" s="2" t="str">
        <x:v>2025-03-31</x:v>
      </x:c>
      <x:c r="D250" s="2" t="str">
        <x:v>Origin</x:v>
      </x:c>
      <x:c r="E250" s="2" t="str">
        <x:v>2025-01-01</x:v>
      </x:c>
      <x:c r="F250" s="2" t="str">
        <x:v>Recent trend</x:v>
      </x:c>
      <x:c r="G250" s="2" t="n">
        <x:v>8</x:v>
      </x:c>
      <x:c r="H250" s="7" t="n">
        <x:v>-3.0698143906116173</x:v>
      </x:c>
      <x:c r="I250" s="7" t="n">
        <x:v>2.3391202433654232</x:v>
      </x:c>
      <x:c r="J250" s="7" t="n">
        <x:v>2.1118969536528365</x:v>
      </x:c>
      <x:c r="K250" s="7" t="n">
        <x:f>H250+I250*J250</x:f>
        <x:v>1.8701665255795015</x:v>
      </x:c>
      <x:c r="L250" s="7" t="n">
        <x:v>0</x:v>
      </x:c>
      <x:c r="M250" s="7" t="n">
        <x:f>K250-L250</x:f>
        <x:v>1.8701665255795015</x:v>
      </x:c>
      <x:c r="N250" s="7" t="n">
        <x:f>M250^2</x:f>
        <x:v>3.4975228333981043</x:v>
      </x:c>
      <x:c r="O250" s="7" t="n">
        <x:v>1</x:v>
      </x:c>
      <x:c r="P250" s="7" t="n">
        <x:v>1.5</x:v>
      </x:c>
      <x:c r="Q250" s="7" t="n">
        <x:v>2.6571575328934394</x:v>
      </x:c>
      <x:c r="R250" s="7" t="n">
        <x:f>H250+I250*Q250</x:f>
        <x:v>3.145596584390352</x:v>
      </x:c>
      <x:c r="S250" s="7" t="n">
        <x:f>R250-L250</x:f>
        <x:v>3.145596584390352</x:v>
      </x:c>
      <x:c r="T250" s="7" t="n">
        <x:f>K250-R250</x:f>
        <x:v>-1.2754300588108505</x:v>
      </x:c>
      <x:c r="U250" s="7" t="n">
        <x:f>M250-S250-T250</x:f>
        <x:v>0</x:v>
      </x:c>
    </x:row>
    <x:row r="251" ht="27" customHeight="1">
      <x:c r="A251" s="2"/>
      <x:c r="B251" s="2" t="str">
        <x:v>Baby, Feminine &amp; Family Care | organic_volume_growth | PCENDC96</x:v>
      </x:c>
      <x:c r="C251" s="2" t="str">
        <x:v>2025-03-31</x:v>
      </x:c>
      <x:c r="D251" s="2" t="str">
        <x:v>One month</x:v>
      </x:c>
      <x:c r="E251" s="2" t="str">
        <x:v>2025-02-28</x:v>
      </x:c>
      <x:c r="F251" s="2" t="str">
        <x:v>YoY carry</x:v>
      </x:c>
      <x:c r="G251" s="2" t="n">
        <x:v>12</x:v>
      </x:c>
      <x:c r="H251" s="7" t="n">
        <x:v>-2.4428140846381052</x:v>
      </x:c>
      <x:c r="I251" s="7" t="n">
        <x:v>1.0875923435027448</x:v>
      </x:c>
      <x:c r="J251" s="7" t="n">
        <x:v>2.01451850150427</x:v>
      </x:c>
      <x:c r="K251" s="7" t="n">
        <x:f>H251+I251*J251</x:f>
        <x:v>-0.25183918655743875</x:v>
      </x:c>
      <x:c r="L251" s="7" t="n">
        <x:v>-2</x:v>
      </x:c>
      <x:c r="M251" s="7" t="n">
        <x:f>K251-L251</x:f>
        <x:v>1.7481608134425612</x:v>
      </x:c>
      <x:c r="N251" s="7" t="n">
        <x:f>M251^2</x:f>
        <x:v>3.0560662296561576</x:v>
      </x:c>
      <x:c r="O251" s="7" t="n">
        <x:v>4</x:v>
      </x:c>
      <x:c r="P251" s="7" t="n">
        <x:v>-0.25</x:v>
      </x:c>
      <x:c r="Q251" s="7" t="n">
        <x:v>2.6571575328934394</x:v>
      </x:c>
      <x:c r="R251" s="7" t="n">
        <x:f>H251+I251*Q251</x:f>
        <x:v>0.4470901036174424</x:v>
      </x:c>
      <x:c r="S251" s="7" t="n">
        <x:f>R251-L251</x:f>
        <x:v>2.4470901036174424</x:v>
      </x:c>
      <x:c r="T251" s="7" t="n">
        <x:f>K251-R251</x:f>
        <x:v>-0.6989292901748811</x:v>
      </x:c>
      <x:c r="U251" s="7" t="n">
        <x:f>M251-S251-T251</x:f>
        <x:v>0</x:v>
      </x:c>
    </x:row>
    <x:row r="252" ht="27" customHeight="1">
      <x:c r="A252" s="2"/>
      <x:c r="B252" s="2" t="str">
        <x:v>Beauty | organic_volume_growth | PCENDC96</x:v>
      </x:c>
      <x:c r="C252" s="2" t="str">
        <x:v>2025-03-31</x:v>
      </x:c>
      <x:c r="D252" s="2" t="str">
        <x:v>One month</x:v>
      </x:c>
      <x:c r="E252" s="2" t="str">
        <x:v>2025-02-28</x:v>
      </x:c>
      <x:c r="F252" s="2" t="str">
        <x:v>YoY carry</x:v>
      </x:c>
      <x:c r="G252" s="2" t="n">
        <x:v>12</x:v>
      </x:c>
      <x:c r="H252" s="7" t="n">
        <x:v>-1.142271200336447</x:v>
      </x:c>
      <x:c r="I252" s="7" t="n">
        <x:v>0.5040833707665615</x:v>
      </x:c>
      <x:c r="J252" s="7" t="n">
        <x:v>2.01451850150427</x:v>
      </x:c>
      <x:c r="K252" s="7" t="n">
        <x:f>H252+I252*J252</x:f>
        <x:v>-0.12678592362657226</x:v>
      </x:c>
      <x:c r="L252" s="7" t="n">
        <x:v>1</x:v>
      </x:c>
      <x:c r="M252" s="7" t="n">
        <x:f>K252-L252</x:f>
        <x:v>-1.1267859236265723</x:v>
      </x:c>
      <x:c r="N252" s="7" t="n">
        <x:f>M252^2</x:f>
        <x:v>1.2696465176829876</x:v>
      </x:c>
      <x:c r="O252" s="7" t="n">
        <x:v>0</x:v>
      </x:c>
      <x:c r="P252" s="7" t="n">
        <x:v>0.5</x:v>
      </x:c>
      <x:c r="Q252" s="7" t="n">
        <x:v>2.6571575328934394</x:v>
      </x:c>
      <x:c r="R252" s="7" t="n">
        <x:f>H252+I252*Q252</x:f>
        <x:v>0.19715772550223853</x:v>
      </x:c>
      <x:c r="S252" s="7" t="n">
        <x:f>R252-L252</x:f>
        <x:v>-0.8028422744977615</x:v>
      </x:c>
      <x:c r="T252" s="7" t="n">
        <x:f>K252-R252</x:f>
        <x:v>-0.3239436491288108</x:v>
      </x:c>
      <x:c r="U252" s="7" t="n">
        <x:f>M252-S252-T252</x:f>
        <x:v>0</x:v>
      </x:c>
    </x:row>
    <x:row r="253" ht="27" customHeight="1">
      <x:c r="A253" s="2"/>
      <x:c r="B253" s="2" t="str">
        <x:v>Fabric &amp; Home Care | organic_volume_growth | PCENDC96</x:v>
      </x:c>
      <x:c r="C253" s="2" t="str">
        <x:v>2025-03-31</x:v>
      </x:c>
      <x:c r="D253" s="2" t="str">
        <x:v>One month</x:v>
      </x:c>
      <x:c r="E253" s="2" t="str">
        <x:v>2025-02-28</x:v>
      </x:c>
      <x:c r="F253" s="2" t="str">
        <x:v>YoY carry</x:v>
      </x:c>
      <x:c r="G253" s="2" t="n">
        <x:v>8</x:v>
      </x:c>
      <x:c r="H253" s="7" t="n">
        <x:v>-2.8842663994425966</x:v>
      </x:c>
      <x:c r="I253" s="7" t="n">
        <x:v>2.244547535287521</x:v>
      </x:c>
      <x:c r="J253" s="7" t="n">
        <x:v>2.01451850150427</x:v>
      </x:c>
      <x:c r="K253" s="7" t="n">
        <x:f>H253+I253*J253</x:f>
        <x:v>1.6374161378999226</x:v>
      </x:c>
      <x:c r="L253" s="7" t="n">
        <x:v>0</x:v>
      </x:c>
      <x:c r="M253" s="7" t="n">
        <x:f>K253-L253</x:f>
        <x:v>1.6374161378999226</x:v>
      </x:c>
      <x:c r="N253" s="7" t="n">
        <x:f>M253^2</x:f>
        <x:v>2.6811316086550985</x:v>
      </x:c>
      <x:c r="O253" s="7" t="n">
        <x:v>2</x:v>
      </x:c>
      <x:c r="P253" s="7" t="n">
        <x:v>1.75</x:v>
      </x:c>
      <x:c r="Q253" s="7" t="n">
        <x:v>2.6571575328934394</x:v>
      </x:c>
      <x:c r="R253" s="7" t="n">
        <x:f>H253+I253*Q253</x:f>
        <x:v>3.0798499918840427</x:v>
      </x:c>
      <x:c r="S253" s="7" t="n">
        <x:f>R253-L253</x:f>
        <x:v>3.0798499918840427</x:v>
      </x:c>
      <x:c r="T253" s="7" t="n">
        <x:f>K253-R253</x:f>
        <x:v>-1.4424338539841202</x:v>
      </x:c>
      <x:c r="U253" s="7" t="n">
        <x:f>M253-S253-T253</x:f>
        <x:v>0</x:v>
      </x:c>
    </x:row>
    <x:row r="254" ht="27" customHeight="1">
      <x:c r="A254" s="2"/>
      <x:c r="B254" s="2" t="str">
        <x:v>Baby, Feminine &amp; Family Care | organic_volume_growth | PCENDC96</x:v>
      </x:c>
      <x:c r="C254" s="2" t="str">
        <x:v>2025-03-31</x:v>
      </x:c>
      <x:c r="D254" s="2" t="str">
        <x:v>One month</x:v>
      </x:c>
      <x:c r="E254" s="2" t="str">
        <x:v>2025-02-28</x:v>
      </x:c>
      <x:c r="F254" s="2" t="str">
        <x:v>Flat level</x:v>
      </x:c>
      <x:c r="G254" s="2" t="n">
        <x:v>12</x:v>
      </x:c>
      <x:c r="H254" s="7" t="n">
        <x:v>-2.4428140846381052</x:v>
      </x:c>
      <x:c r="I254" s="7" t="n">
        <x:v>1.0875923435027448</x:v>
      </x:c>
      <x:c r="J254" s="7" t="n">
        <x:v>2.022995772254932</x:v>
      </x:c>
      <x:c r="K254" s="7" t="n">
        <x:f>H254+I254*J254</x:f>
        <x:v>-0.24261937179521897</x:v>
      </x:c>
      <x:c r="L254" s="7" t="n">
        <x:v>-2</x:v>
      </x:c>
      <x:c r="M254" s="7" t="n">
        <x:f>K254-L254</x:f>
        <x:v>1.757380628204781</x:v>
      </x:c>
      <x:c r="N254" s="7" t="n">
        <x:f>M254^2</x:f>
        <x:v>3.0883866723894307</x:v>
      </x:c>
      <x:c r="O254" s="7" t="n">
        <x:v>4</x:v>
      </x:c>
      <x:c r="P254" s="7" t="n">
        <x:v>-0.25</x:v>
      </x:c>
      <x:c r="Q254" s="7" t="n">
        <x:v>2.6571575328934394</x:v>
      </x:c>
      <x:c r="R254" s="7" t="n">
        <x:f>H254+I254*Q254</x:f>
        <x:v>0.4470901036174424</x:v>
      </x:c>
      <x:c r="S254" s="7" t="n">
        <x:f>R254-L254</x:f>
        <x:v>2.4470901036174424</x:v>
      </x:c>
      <x:c r="T254" s="7" t="n">
        <x:f>K254-R254</x:f>
        <x:v>-0.6897094754126614</x:v>
      </x:c>
      <x:c r="U254" s="7" t="n">
        <x:f>M254-S254-T254</x:f>
        <x:v>0</x:v>
      </x:c>
    </x:row>
    <x:row r="255" ht="27" customHeight="1">
      <x:c r="A255" s="2"/>
      <x:c r="B255" s="2" t="str">
        <x:v>Beauty | organic_volume_growth | PCENDC96</x:v>
      </x:c>
      <x:c r="C255" s="2" t="str">
        <x:v>2025-03-31</x:v>
      </x:c>
      <x:c r="D255" s="2" t="str">
        <x:v>One month</x:v>
      </x:c>
      <x:c r="E255" s="2" t="str">
        <x:v>2025-02-28</x:v>
      </x:c>
      <x:c r="F255" s="2" t="str">
        <x:v>Flat level</x:v>
      </x:c>
      <x:c r="G255" s="2" t="n">
        <x:v>12</x:v>
      </x:c>
      <x:c r="H255" s="7" t="n">
        <x:v>-1.142271200336447</x:v>
      </x:c>
      <x:c r="I255" s="7" t="n">
        <x:v>0.5040833707665615</x:v>
      </x:c>
      <x:c r="J255" s="7" t="n">
        <x:v>2.022995772254932</x:v>
      </x:c>
      <x:c r="K255" s="7" t="n">
        <x:f>H255+I255*J255</x:f>
        <x:v>-0.12251267241167785</x:v>
      </x:c>
      <x:c r="L255" s="7" t="n">
        <x:v>1</x:v>
      </x:c>
      <x:c r="M255" s="7" t="n">
        <x:f>K255-L255</x:f>
        <x:v>-1.1225126724116778</x:v>
      </x:c>
      <x:c r="N255" s="7" t="n">
        <x:f>M255^2</x:f>
        <x:v>1.2600346997248069</x:v>
      </x:c>
      <x:c r="O255" s="7" t="n">
        <x:v>0</x:v>
      </x:c>
      <x:c r="P255" s="7" t="n">
        <x:v>0.5</x:v>
      </x:c>
      <x:c r="Q255" s="7" t="n">
        <x:v>2.6571575328934394</x:v>
      </x:c>
      <x:c r="R255" s="7" t="n">
        <x:f>H255+I255*Q255</x:f>
        <x:v>0.19715772550223853</x:v>
      </x:c>
      <x:c r="S255" s="7" t="n">
        <x:f>R255-L255</x:f>
        <x:v>-0.8028422744977615</x:v>
      </x:c>
      <x:c r="T255" s="7" t="n">
        <x:f>K255-R255</x:f>
        <x:v>-0.3196703979139164</x:v>
      </x:c>
      <x:c r="U255" s="7" t="n">
        <x:f>M255-S255-T255</x:f>
        <x:v>0</x:v>
      </x:c>
    </x:row>
    <x:row r="256" ht="27" customHeight="1">
      <x:c r="A256" s="2"/>
      <x:c r="B256" s="2" t="str">
        <x:v>Fabric &amp; Home Care | organic_volume_growth | PCENDC96</x:v>
      </x:c>
      <x:c r="C256" s="2" t="str">
        <x:v>2025-03-31</x:v>
      </x:c>
      <x:c r="D256" s="2" t="str">
        <x:v>One month</x:v>
      </x:c>
      <x:c r="E256" s="2" t="str">
        <x:v>2025-02-28</x:v>
      </x:c>
      <x:c r="F256" s="2" t="str">
        <x:v>Flat level</x:v>
      </x:c>
      <x:c r="G256" s="2" t="n">
        <x:v>8</x:v>
      </x:c>
      <x:c r="H256" s="7" t="n">
        <x:v>-2.8842663994425966</x:v>
      </x:c>
      <x:c r="I256" s="7" t="n">
        <x:v>2.244547535287521</x:v>
      </x:c>
      <x:c r="J256" s="7" t="n">
        <x:v>2.022995772254932</x:v>
      </x:c>
      <x:c r="K256" s="7" t="n">
        <x:f>H256+I256*J256</x:f>
        <x:v>1.6564437750692855</x:v>
      </x:c>
      <x:c r="L256" s="7" t="n">
        <x:v>0</x:v>
      </x:c>
      <x:c r="M256" s="7" t="n">
        <x:f>K256-L256</x:f>
        <x:v>1.6564437750692855</x:v>
      </x:c>
      <x:c r="N256" s="7" t="n">
        <x:f>M256^2</x:f>
        <x:v>2.743805979965786</x:v>
      </x:c>
      <x:c r="O256" s="7" t="n">
        <x:v>2</x:v>
      </x:c>
      <x:c r="P256" s="7" t="n">
        <x:v>1.75</x:v>
      </x:c>
      <x:c r="Q256" s="7" t="n">
        <x:v>2.6571575328934394</x:v>
      </x:c>
      <x:c r="R256" s="7" t="n">
        <x:f>H256+I256*Q256</x:f>
        <x:v>3.0798499918840427</x:v>
      </x:c>
      <x:c r="S256" s="7" t="n">
        <x:f>R256-L256</x:f>
        <x:v>3.0798499918840427</x:v>
      </x:c>
      <x:c r="T256" s="7" t="n">
        <x:f>K256-R256</x:f>
        <x:v>-1.4234062168147572</x:v>
      </x:c>
      <x:c r="U256" s="7" t="n">
        <x:f>M256-S256-T256</x:f>
        <x:v>0</x:v>
      </x:c>
    </x:row>
    <x:row r="257" ht="27" customHeight="1">
      <x:c r="A257" s="2"/>
      <x:c r="B257" s="2" t="str">
        <x:v>Baby, Feminine &amp; Family Care | organic_volume_growth | PCENDC96</x:v>
      </x:c>
      <x:c r="C257" s="2" t="str">
        <x:v>2025-03-31</x:v>
      </x:c>
      <x:c r="D257" s="2" t="str">
        <x:v>One month</x:v>
      </x:c>
      <x:c r="E257" s="2" t="str">
        <x:v>2025-02-28</x:v>
      </x:c>
      <x:c r="F257" s="2" t="str">
        <x:v>Recent trend</x:v>
      </x:c>
      <x:c r="G257" s="2" t="n">
        <x:v>12</x:v>
      </x:c>
      <x:c r="H257" s="7" t="n">
        <x:v>-2.4428140846381052</x:v>
      </x:c>
      <x:c r="I257" s="7" t="n">
        <x:v>1.0875923435027448</x:v>
      </x:c>
      <x:c r="J257" s="7" t="n">
        <x:v>2.008178908688607</x:v>
      </x:c>
      <x:c r="K257" s="7" t="n">
        <x:f>H257+I257*J257</x:f>
        <x:v>-0.2587340791646784</x:v>
      </x:c>
      <x:c r="L257" s="7" t="n">
        <x:v>-2</x:v>
      </x:c>
      <x:c r="M257" s="7" t="n">
        <x:f>K257-L257</x:f>
        <x:v>1.7412659208353216</x:v>
      </x:c>
      <x:c r="N257" s="7" t="n">
        <x:f>M257^2</x:f>
        <x:v>3.0320070070624805</x:v>
      </x:c>
      <x:c r="O257" s="7" t="n">
        <x:v>4</x:v>
      </x:c>
      <x:c r="P257" s="7" t="n">
        <x:v>-0.25</x:v>
      </x:c>
      <x:c r="Q257" s="7" t="n">
        <x:v>2.6571575328934394</x:v>
      </x:c>
      <x:c r="R257" s="7" t="n">
        <x:f>H257+I257*Q257</x:f>
        <x:v>0.4470901036174424</x:v>
      </x:c>
      <x:c r="S257" s="7" t="n">
        <x:f>R257-L257</x:f>
        <x:v>2.4470901036174424</x:v>
      </x:c>
      <x:c r="T257" s="7" t="n">
        <x:f>K257-R257</x:f>
        <x:v>-0.7058241827821208</x:v>
      </x:c>
      <x:c r="U257" s="7" t="n">
        <x:f>M257-S257-T257</x:f>
        <x:v>0</x:v>
      </x:c>
    </x:row>
    <x:row r="258" ht="27" customHeight="1">
      <x:c r="A258" s="2"/>
      <x:c r="B258" s="2" t="str">
        <x:v>Beauty | organic_volume_growth | PCENDC96</x:v>
      </x:c>
      <x:c r="C258" s="2" t="str">
        <x:v>2025-03-31</x:v>
      </x:c>
      <x:c r="D258" s="2" t="str">
        <x:v>One month</x:v>
      </x:c>
      <x:c r="E258" s="2" t="str">
        <x:v>2025-02-28</x:v>
      </x:c>
      <x:c r="F258" s="2" t="str">
        <x:v>Recent trend</x:v>
      </x:c>
      <x:c r="G258" s="2" t="n">
        <x:v>12</x:v>
      </x:c>
      <x:c r="H258" s="7" t="n">
        <x:v>-1.142271200336447</x:v>
      </x:c>
      <x:c r="I258" s="7" t="n">
        <x:v>0.5040833707665615</x:v>
      </x:c>
      <x:c r="J258" s="7" t="n">
        <x:v>2.008178908688607</x:v>
      </x:c>
      <x:c r="K258" s="7" t="n">
        <x:f>H258+I258*J258</x:f>
        <x:v>-0.12998160694237915</x:v>
      </x:c>
      <x:c r="L258" s="7" t="n">
        <x:v>1</x:v>
      </x:c>
      <x:c r="M258" s="7" t="n">
        <x:f>K258-L258</x:f>
        <x:v>-1.1299816069423791</x:v>
      </x:c>
      <x:c r="N258" s="7" t="n">
        <x:f>M258^2</x:f>
        <x:v>1.2768584320280814</x:v>
      </x:c>
      <x:c r="O258" s="7" t="n">
        <x:v>0</x:v>
      </x:c>
      <x:c r="P258" s="7" t="n">
        <x:v>0.5</x:v>
      </x:c>
      <x:c r="Q258" s="7" t="n">
        <x:v>2.6571575328934394</x:v>
      </x:c>
      <x:c r="R258" s="7" t="n">
        <x:f>H258+I258*Q258</x:f>
        <x:v>0.19715772550223853</x:v>
      </x:c>
      <x:c r="S258" s="7" t="n">
        <x:f>R258-L258</x:f>
        <x:v>-0.8028422744977615</x:v>
      </x:c>
      <x:c r="T258" s="7" t="n">
        <x:f>K258-R258</x:f>
        <x:v>-0.3271393324446177</x:v>
      </x:c>
      <x:c r="U258" s="7" t="n">
        <x:f>M258-S258-T258</x:f>
        <x:v>0</x:v>
      </x:c>
    </x:row>
    <x:row r="259" ht="27" customHeight="1">
      <x:c r="A259" s="2"/>
      <x:c r="B259" s="2" t="str">
        <x:v>Fabric &amp; Home Care | organic_volume_growth | PCENDC96</x:v>
      </x:c>
      <x:c r="C259" s="2" t="str">
        <x:v>2025-03-31</x:v>
      </x:c>
      <x:c r="D259" s="2" t="str">
        <x:v>One month</x:v>
      </x:c>
      <x:c r="E259" s="2" t="str">
        <x:v>2025-02-28</x:v>
      </x:c>
      <x:c r="F259" s="2" t="str">
        <x:v>Recent trend</x:v>
      </x:c>
      <x:c r="G259" s="2" t="n">
        <x:v>8</x:v>
      </x:c>
      <x:c r="H259" s="7" t="n">
        <x:v>-2.8842663994425966</x:v>
      </x:c>
      <x:c r="I259" s="7" t="n">
        <x:v>2.244547535287521</x:v>
      </x:c>
      <x:c r="J259" s="7" t="n">
        <x:v>2.008178908688607</x:v>
      </x:c>
      <x:c r="K259" s="7" t="n">
        <x:f>H259+I259*J259</x:f>
        <x:v>1.6231866204707996</x:v>
      </x:c>
      <x:c r="L259" s="7" t="n">
        <x:v>0</x:v>
      </x:c>
      <x:c r="M259" s="7" t="n">
        <x:f>K259-L259</x:f>
        <x:v>1.6231866204707996</x:v>
      </x:c>
      <x:c r="N259" s="7" t="n">
        <x:f>M259^2</x:f>
        <x:v>2.6347348048754156</x:v>
      </x:c>
      <x:c r="O259" s="7" t="n">
        <x:v>2</x:v>
      </x:c>
      <x:c r="P259" s="7" t="n">
        <x:v>1.75</x:v>
      </x:c>
      <x:c r="Q259" s="7" t="n">
        <x:v>2.6571575328934394</x:v>
      </x:c>
      <x:c r="R259" s="7" t="n">
        <x:f>H259+I259*Q259</x:f>
        <x:v>3.0798499918840427</x:v>
      </x:c>
      <x:c r="S259" s="7" t="n">
        <x:f>R259-L259</x:f>
        <x:v>3.0798499918840427</x:v>
      </x:c>
      <x:c r="T259" s="7" t="n">
        <x:f>K259-R259</x:f>
        <x:v>-1.456663371413243</x:v>
      </x:c>
      <x:c r="U259" s="7" t="n">
        <x:f>M259-S259-T259</x:f>
        <x:v>0</x:v>
      </x:c>
    </x:row>
    <x:row r="260" ht="27" customHeight="1">
      <x:c r="A260" s="2"/>
      <x:c r="B260" s="2" t="str">
        <x:v>Baby, Feminine &amp; Family Care | organic_volume_growth | PCENDC96</x:v>
      </x:c>
      <x:c r="C260" s="2" t="str">
        <x:v>2025-03-31</x:v>
      </x:c>
      <x:c r="D260" s="2" t="str">
        <x:v>Two months</x:v>
      </x:c>
      <x:c r="E260" s="2" t="str">
        <x:v>2025-03-28</x:v>
      </x:c>
      <x:c r="F260" s="2" t="str">
        <x:v>YoY carry</x:v>
      </x:c>
      <x:c r="G260" s="2" t="n">
        <x:v>12</x:v>
      </x:c>
      <x:c r="H260" s="7" t="n">
        <x:v>-2.4476663664941647</x:v>
      </x:c>
      <x:c r="I260" s="7" t="n">
        <x:v>1.0903620026149121</x:v>
      </x:c>
      <x:c r="J260" s="7" t="n">
        <x:v>2.5268187156605393</x:v>
      </x:c>
      <x:c r="K260" s="7" t="n">
        <x:f>H260+I260*J260</x:f>
        <x:v>0.3074807485583011</x:v>
      </x:c>
      <x:c r="L260" s="7" t="n">
        <x:v>-2</x:v>
      </x:c>
      <x:c r="M260" s="7" t="n">
        <x:f>K260-L260</x:f>
        <x:v>2.307480748558301</x:v>
      </x:c>
      <x:c r="N260" s="7" t="n">
        <x:f>M260^2</x:f>
        <x:v>5.324467404967177</x:v>
      </x:c>
      <x:c r="O260" s="7" t="n">
        <x:v>4</x:v>
      </x:c>
      <x:c r="P260" s="7" t="n">
        <x:v>-0.25</x:v>
      </x:c>
      <x:c r="Q260" s="7" t="n">
        <x:v>2.6670354419376485</x:v>
      </x:c>
      <x:c r="R260" s="7" t="n">
        <x:f>H260+I260*Q260</x:f>
        <x:v>0.46036773902191674</x:v>
      </x:c>
      <x:c r="S260" s="7" t="n">
        <x:f>R260-L260</x:f>
        <x:v>2.4603677390219167</x:v>
      </x:c>
      <x:c r="T260" s="7" t="n">
        <x:f>K260-R260</x:f>
        <x:v>-0.15288699046361565</x:v>
      </x:c>
      <x:c r="U260" s="7" t="n">
        <x:f>M260-S260-T260</x:f>
        <x:v>0</x:v>
      </x:c>
    </x:row>
    <x:row r="261" ht="27" customHeight="1">
      <x:c r="A261" s="2"/>
      <x:c r="B261" s="2" t="str">
        <x:v>Beauty | organic_volume_growth | PCENDC96</x:v>
      </x:c>
      <x:c r="C261" s="2" t="str">
        <x:v>2025-03-31</x:v>
      </x:c>
      <x:c r="D261" s="2" t="str">
        <x:v>Two months</x:v>
      </x:c>
      <x:c r="E261" s="2" t="str">
        <x:v>2025-03-28</x:v>
      </x:c>
      <x:c r="F261" s="2" t="str">
        <x:v>YoY carry</x:v>
      </x:c>
      <x:c r="G261" s="2" t="n">
        <x:v>12</x:v>
      </x:c>
      <x:c r="H261" s="7" t="n">
        <x:v>-1.1428593444147408</x:v>
      </x:c>
      <x:c r="I261" s="7" t="n">
        <x:v>0.5036106235790575</x:v>
      </x:c>
      <x:c r="J261" s="7" t="n">
        <x:v>2.5268187156605393</x:v>
      </x:c>
      <x:c r="K261" s="7" t="n">
        <x:f>H261+I261*J261</x:f>
        <x:v>0.12967340465029653</x:v>
      </x:c>
      <x:c r="L261" s="7" t="n">
        <x:v>1</x:v>
      </x:c>
      <x:c r="M261" s="7" t="n">
        <x:f>K261-L261</x:f>
        <x:v>-0.8703265953497035</x:v>
      </x:c>
      <x:c r="N261" s="7" t="n">
        <x:f>M261^2</x:f>
        <x:v>0.7574683825730065</x:v>
      </x:c>
      <x:c r="O261" s="7" t="n">
        <x:v>0</x:v>
      </x:c>
      <x:c r="P261" s="7" t="n">
        <x:v>0.5</x:v>
      </x:c>
      <x:c r="Q261" s="7" t="n">
        <x:v>2.6670354419376485</x:v>
      </x:c>
      <x:c r="R261" s="7" t="n">
        <x:f>H261+I261*Q261</x:f>
        <x:v>0.2002880376069256</x:v>
      </x:c>
      <x:c r="S261" s="7" t="n">
        <x:f>R261-L261</x:f>
        <x:v>-0.7997119623930744</x:v>
      </x:c>
      <x:c r="T261" s="7" t="n">
        <x:f>K261-R261</x:f>
        <x:v>-0.07061463295662906</x:v>
      </x:c>
      <x:c r="U261" s="7" t="n">
        <x:f>M261-S261-T261</x:f>
        <x:v>0</x:v>
      </x:c>
    </x:row>
    <x:row r="262" ht="27" customHeight="1">
      <x:c r="A262" s="2"/>
      <x:c r="B262" s="2" t="str">
        <x:v>Fabric &amp; Home Care | organic_volume_growth | PCENDC96</x:v>
      </x:c>
      <x:c r="C262" s="2" t="str">
        <x:v>2025-03-31</x:v>
      </x:c>
      <x:c r="D262" s="2" t="str">
        <x:v>Two months</x:v>
      </x:c>
      <x:c r="E262" s="2" t="str">
        <x:v>2025-03-28</x:v>
      </x:c>
      <x:c r="F262" s="2" t="str">
        <x:v>YoY carry</x:v>
      </x:c>
      <x:c r="G262" s="2" t="n">
        <x:v>8</x:v>
      </x:c>
      <x:c r="H262" s="7" t="n">
        <x:v>-2.8840934270602387</x:v>
      </x:c>
      <x:c r="I262" s="7" t="n">
        <x:v>2.2392737124125786</x:v>
      </x:c>
      <x:c r="J262" s="7" t="n">
        <x:v>2.5268187156605393</x:v>
      </x:c>
      <x:c r="K262" s="7" t="n">
        <x:f>H262+I262*J262</x:f>
        <x:v>2.774145298950521</x:v>
      </x:c>
      <x:c r="L262" s="7" t="n">
        <x:v>0</x:v>
      </x:c>
      <x:c r="M262" s="7" t="n">
        <x:f>K262-L262</x:f>
        <x:v>2.774145298950521</x:v>
      </x:c>
      <x:c r="N262" s="7" t="n">
        <x:f>M262^2</x:f>
        <x:v>7.695882139689276</x:v>
      </x:c>
      <x:c r="O262" s="7" t="n">
        <x:v>2</x:v>
      </x:c>
      <x:c r="P262" s="7" t="n">
        <x:v>1.75</x:v>
      </x:c>
      <x:c r="Q262" s="7" t="n">
        <x:v>2.6670354419376485</x:v>
      </x:c>
      <x:c r="R262" s="7" t="n">
        <x:f>H262+I262*Q262</x:f>
        <x:v>3.0881289281434015</x:v>
      </x:c>
      <x:c r="S262" s="7" t="n">
        <x:f>R262-L262</x:f>
        <x:v>3.0881289281434015</x:v>
      </x:c>
      <x:c r="T262" s="7" t="n">
        <x:f>K262-R262</x:f>
        <x:v>-0.31398362919288036</x:v>
      </x:c>
      <x:c r="U262" s="7" t="n">
        <x:f>M262-S262-T262</x:f>
        <x:v>0</x:v>
      </x:c>
    </x:row>
    <x:row r="263" ht="27" customHeight="1">
      <x:c r="A263" s="2"/>
      <x:c r="B263" s="2" t="str">
        <x:v>Baby, Feminine &amp; Family Care | organic_volume_growth | PCENDC96</x:v>
      </x:c>
      <x:c r="C263" s="2" t="str">
        <x:v>2025-03-31</x:v>
      </x:c>
      <x:c r="D263" s="2" t="str">
        <x:v>Two months</x:v>
      </x:c>
      <x:c r="E263" s="2" t="str">
        <x:v>2025-03-28</x:v>
      </x:c>
      <x:c r="F263" s="2" t="str">
        <x:v>Flat level</x:v>
      </x:c>
      <x:c r="G263" s="2" t="n">
        <x:v>12</x:v>
      </x:c>
      <x:c r="H263" s="7" t="n">
        <x:v>-2.4476663664941647</x:v>
      </x:c>
      <x:c r="I263" s="7" t="n">
        <x:v>1.0903620026149121</x:v>
      </x:c>
      <x:c r="J263" s="7" t="n">
        <x:v>2.3944051523173693</x:v>
      </x:c>
      <x:c r="K263" s="7" t="n">
        <x:f>H263+I263*J263</x:f>
        <x:v>0.1631020304580657</x:v>
      </x:c>
      <x:c r="L263" s="7" t="n">
        <x:v>-2</x:v>
      </x:c>
      <x:c r="M263" s="7" t="n">
        <x:f>K263-L263</x:f>
        <x:v>2.1631020304580657</x:v>
      </x:c>
      <x:c r="N263" s="7" t="n">
        <x:f>M263^2</x:f>
        <x:v>4.679010394171806</x:v>
      </x:c>
      <x:c r="O263" s="7" t="n">
        <x:v>4</x:v>
      </x:c>
      <x:c r="P263" s="7" t="n">
        <x:v>-0.25</x:v>
      </x:c>
      <x:c r="Q263" s="7" t="n">
        <x:v>2.6670354419376485</x:v>
      </x:c>
      <x:c r="R263" s="7" t="n">
        <x:f>H263+I263*Q263</x:f>
        <x:v>0.46036773902191674</x:v>
      </x:c>
      <x:c r="S263" s="7" t="n">
        <x:f>R263-L263</x:f>
        <x:v>2.4603677390219167</x:v>
      </x:c>
      <x:c r="T263" s="7" t="n">
        <x:f>K263-R263</x:f>
        <x:v>-0.29726570856385104</x:v>
      </x:c>
      <x:c r="U263" s="7" t="n">
        <x:f>M263-S263-T263</x:f>
        <x:v>0</x:v>
      </x:c>
    </x:row>
    <x:row r="264" ht="27" customHeight="1">
      <x:c r="A264" s="2"/>
      <x:c r="B264" s="2" t="str">
        <x:v>Beauty | organic_volume_growth | PCENDC96</x:v>
      </x:c>
      <x:c r="C264" s="2" t="str">
        <x:v>2025-03-31</x:v>
      </x:c>
      <x:c r="D264" s="2" t="str">
        <x:v>Two months</x:v>
      </x:c>
      <x:c r="E264" s="2" t="str">
        <x:v>2025-03-28</x:v>
      </x:c>
      <x:c r="F264" s="2" t="str">
        <x:v>Flat level</x:v>
      </x:c>
      <x:c r="G264" s="2" t="n">
        <x:v>12</x:v>
      </x:c>
      <x:c r="H264" s="7" t="n">
        <x:v>-1.1428593444147408</x:v>
      </x:c>
      <x:c r="I264" s="7" t="n">
        <x:v>0.5036106235790575</x:v>
      </x:c>
      <x:c r="J264" s="7" t="n">
        <x:v>2.3944051523173693</x:v>
      </x:c>
      <x:c r="K264" s="7" t="n">
        <x:f>H264+I264*J264</x:f>
        <x:v>0.06298852744471772</x:v>
      </x:c>
      <x:c r="L264" s="7" t="n">
        <x:v>1</x:v>
      </x:c>
      <x:c r="M264" s="7" t="n">
        <x:f>K264-L264</x:f>
        <x:v>-0.9370114725552823</x:v>
      </x:c>
      <x:c r="N264" s="7" t="n">
        <x:f>M264^2</x:f>
        <x:v>0.8779904997002185</x:v>
      </x:c>
      <x:c r="O264" s="7" t="n">
        <x:v>0</x:v>
      </x:c>
      <x:c r="P264" s="7" t="n">
        <x:v>0.5</x:v>
      </x:c>
      <x:c r="Q264" s="7" t="n">
        <x:v>2.6670354419376485</x:v>
      </x:c>
      <x:c r="R264" s="7" t="n">
        <x:f>H264+I264*Q264</x:f>
        <x:v>0.2002880376069256</x:v>
      </x:c>
      <x:c r="S264" s="7" t="n">
        <x:f>R264-L264</x:f>
        <x:v>-0.7997119623930744</x:v>
      </x:c>
      <x:c r="T264" s="7" t="n">
        <x:f>K264-R264</x:f>
        <x:v>-0.13729951016220787</x:v>
      </x:c>
      <x:c r="U264" s="7" t="n">
        <x:f>M264-S264-T264</x:f>
        <x:v>0</x:v>
      </x:c>
    </x:row>
    <x:row r="265" ht="27" customHeight="1">
      <x:c r="A265" s="2"/>
      <x:c r="B265" s="2" t="str">
        <x:v>Fabric &amp; Home Care | organic_volume_growth | PCENDC96</x:v>
      </x:c>
      <x:c r="C265" s="2" t="str">
        <x:v>2025-03-31</x:v>
      </x:c>
      <x:c r="D265" s="2" t="str">
        <x:v>Two months</x:v>
      </x:c>
      <x:c r="E265" s="2" t="str">
        <x:v>2025-03-28</x:v>
      </x:c>
      <x:c r="F265" s="2" t="str">
        <x:v>Flat level</x:v>
      </x:c>
      <x:c r="G265" s="2" t="n">
        <x:v>8</x:v>
      </x:c>
      <x:c r="H265" s="7" t="n">
        <x:v>-2.8840934270602387</x:v>
      </x:c>
      <x:c r="I265" s="7" t="n">
        <x:v>2.2392737124125786</x:v>
      </x:c>
      <x:c r="J265" s="7" t="n">
        <x:v>2.3944051523173693</x:v>
      </x:c>
      <x:c r="K265" s="7" t="n">
        <x:f>H265+I265*J265</x:f>
        <x:v>2.4776350873892827</x:v>
      </x:c>
      <x:c r="L265" s="7" t="n">
        <x:v>0</x:v>
      </x:c>
      <x:c r="M265" s="7" t="n">
        <x:f>K265-L265</x:f>
        <x:v>2.4776350873892827</x:v>
      </x:c>
      <x:c r="N265" s="7" t="n">
        <x:f>M265^2</x:f>
        <x:v>6.138675626262499</x:v>
      </x:c>
      <x:c r="O265" s="7" t="n">
        <x:v>2</x:v>
      </x:c>
      <x:c r="P265" s="7" t="n">
        <x:v>1.75</x:v>
      </x:c>
      <x:c r="Q265" s="7" t="n">
        <x:v>2.6670354419376485</x:v>
      </x:c>
      <x:c r="R265" s="7" t="n">
        <x:f>H265+I265*Q265</x:f>
        <x:v>3.0881289281434015</x:v>
      </x:c>
      <x:c r="S265" s="7" t="n">
        <x:f>R265-L265</x:f>
        <x:v>3.0881289281434015</x:v>
      </x:c>
      <x:c r="T265" s="7" t="n">
        <x:f>K265-R265</x:f>
        <x:v>-0.6104938407541187</x:v>
      </x:c>
      <x:c r="U265" s="7" t="n">
        <x:f>M265-S265-T265</x:f>
        <x:v>0</x:v>
      </x:c>
    </x:row>
    <x:row r="266" ht="27" customHeight="1">
      <x:c r="A266" s="2"/>
      <x:c r="B266" s="2" t="str">
        <x:v>Baby, Feminine &amp; Family Care | organic_volume_growth | PCENDC96</x:v>
      </x:c>
      <x:c r="C266" s="2" t="str">
        <x:v>2025-03-31</x:v>
      </x:c>
      <x:c r="D266" s="2" t="str">
        <x:v>Two months</x:v>
      </x:c>
      <x:c r="E266" s="2" t="str">
        <x:v>2025-03-28</x:v>
      </x:c>
      <x:c r="F266" s="2" t="str">
        <x:v>Recent trend</x:v>
      </x:c>
      <x:c r="G266" s="2" t="n">
        <x:v>12</x:v>
      </x:c>
      <x:c r="H266" s="7" t="n">
        <x:v>-2.4476663664941647</x:v>
      </x:c>
      <x:c r="I266" s="7" t="n">
        <x:v>1.0903620026149121</x:v>
      </x:c>
      <x:c r="J266" s="7" t="n">
        <x:v>2.341558338930816</x:v>
      </x:c>
      <x:c r="K266" s="7" t="n">
        <x:f>H266+I266*J266</x:f>
        <x:v>0.10547987318208696</x:v>
      </x:c>
      <x:c r="L266" s="7" t="n">
        <x:v>-2</x:v>
      </x:c>
      <x:c r="M266" s="7" t="n">
        <x:f>K266-L266</x:f>
        <x:v>2.105479873182087</x:v>
      </x:c>
      <x:c r="N266" s="7" t="n">
        <x:f>M266^2</x:f>
        <x:v>4.433045496374857</x:v>
      </x:c>
      <x:c r="O266" s="7" t="n">
        <x:v>4</x:v>
      </x:c>
      <x:c r="P266" s="7" t="n">
        <x:v>-0.25</x:v>
      </x:c>
      <x:c r="Q266" s="7" t="n">
        <x:v>2.6670354419376485</x:v>
      </x:c>
      <x:c r="R266" s="7" t="n">
        <x:f>H266+I266*Q266</x:f>
        <x:v>0.46036773902191674</x:v>
      </x:c>
      <x:c r="S266" s="7" t="n">
        <x:f>R266-L266</x:f>
        <x:v>2.4603677390219167</x:v>
      </x:c>
      <x:c r="T266" s="7" t="n">
        <x:f>K266-R266</x:f>
        <x:v>-0.3548878658398298</x:v>
      </x:c>
      <x:c r="U266" s="7" t="n">
        <x:f>M266-S266-T266</x:f>
        <x:v>0</x:v>
      </x:c>
    </x:row>
    <x:row r="267" ht="27" customHeight="1">
      <x:c r="A267" s="2"/>
      <x:c r="B267" s="2" t="str">
        <x:v>Beauty | organic_volume_growth | PCENDC96</x:v>
      </x:c>
      <x:c r="C267" s="2" t="str">
        <x:v>2025-03-31</x:v>
      </x:c>
      <x:c r="D267" s="2" t="str">
        <x:v>Two months</x:v>
      </x:c>
      <x:c r="E267" s="2" t="str">
        <x:v>2025-03-28</x:v>
      </x:c>
      <x:c r="F267" s="2" t="str">
        <x:v>Recent trend</x:v>
      </x:c>
      <x:c r="G267" s="2" t="n">
        <x:v>12</x:v>
      </x:c>
      <x:c r="H267" s="7" t="n">
        <x:v>-1.1428593444147408</x:v>
      </x:c>
      <x:c r="I267" s="7" t="n">
        <x:v>0.5036106235790575</x:v>
      </x:c>
      <x:c r="J267" s="7" t="n">
        <x:v>2.341558338930816</x:v>
      </x:c>
      <x:c r="K267" s="7" t="n">
        <x:f>H267+I267*J267</x:f>
        <x:v>0.03637431080094955</x:v>
      </x:c>
      <x:c r="L267" s="7" t="n">
        <x:v>1</x:v>
      </x:c>
      <x:c r="M267" s="7" t="n">
        <x:f>K267-L267</x:f>
        <x:v>-0.9636256891990505</x:v>
      </x:c>
      <x:c r="N267" s="7" t="n">
        <x:f>M267^2</x:f>
        <x:v>0.928574468884345</x:v>
      </x:c>
      <x:c r="O267" s="7" t="n">
        <x:v>0</x:v>
      </x:c>
      <x:c r="P267" s="7" t="n">
        <x:v>0.5</x:v>
      </x:c>
      <x:c r="Q267" s="7" t="n">
        <x:v>2.6670354419376485</x:v>
      </x:c>
      <x:c r="R267" s="7" t="n">
        <x:f>H267+I267*Q267</x:f>
        <x:v>0.2002880376069256</x:v>
      </x:c>
      <x:c r="S267" s="7" t="n">
        <x:f>R267-L267</x:f>
        <x:v>-0.7997119623930744</x:v>
      </x:c>
      <x:c r="T267" s="7" t="n">
        <x:f>K267-R267</x:f>
        <x:v>-0.16391372680597605</x:v>
      </x:c>
      <x:c r="U267" s="7" t="n">
        <x:f>M267-S267-T267</x:f>
        <x:v>0</x:v>
      </x:c>
    </x:row>
    <x:row r="268" ht="27" customHeight="1">
      <x:c r="A268" s="2"/>
      <x:c r="B268" s="2" t="str">
        <x:v>Fabric &amp; Home Care | organic_volume_growth | PCENDC96</x:v>
      </x:c>
      <x:c r="C268" s="2" t="str">
        <x:v>2025-03-31</x:v>
      </x:c>
      <x:c r="D268" s="2" t="str">
        <x:v>Two months</x:v>
      </x:c>
      <x:c r="E268" s="2" t="str">
        <x:v>2025-03-28</x:v>
      </x:c>
      <x:c r="F268" s="2" t="str">
        <x:v>Recent trend</x:v>
      </x:c>
      <x:c r="G268" s="2" t="n">
        <x:v>8</x:v>
      </x:c>
      <x:c r="H268" s="7" t="n">
        <x:v>-2.8840934270602387</x:v>
      </x:c>
      <x:c r="I268" s="7" t="n">
        <x:v>2.2392737124125786</x:v>
      </x:c>
      <x:c r="J268" s="7" t="n">
        <x:v>2.341558338930816</x:v>
      </x:c>
      <x:c r="K268" s="7" t="n">
        <x:f>H268+I268*J268</x:f>
        <x:v>2.359296607388</x:v>
      </x:c>
      <x:c r="L268" s="7" t="n">
        <x:v>0</x:v>
      </x:c>
      <x:c r="M268" s="7" t="n">
        <x:f>K268-L268</x:f>
        <x:v>2.359296607388</x:v>
      </x:c>
      <x:c r="N268" s="7" t="n">
        <x:f>M268^2</x:f>
        <x:v>5.566280481632527</x:v>
      </x:c>
      <x:c r="O268" s="7" t="n">
        <x:v>2</x:v>
      </x:c>
      <x:c r="P268" s="7" t="n">
        <x:v>1.75</x:v>
      </x:c>
      <x:c r="Q268" s="7" t="n">
        <x:v>2.6670354419376485</x:v>
      </x:c>
      <x:c r="R268" s="7" t="n">
        <x:f>H268+I268*Q268</x:f>
        <x:v>3.0881289281434015</x:v>
      </x:c>
      <x:c r="S268" s="7" t="n">
        <x:f>R268-L268</x:f>
        <x:v>3.0881289281434015</x:v>
      </x:c>
      <x:c r="T268" s="7" t="n">
        <x:f>K268-R268</x:f>
        <x:v>-0.7288323207554015</x:v>
      </x:c>
      <x:c r="U268" s="7" t="n">
        <x:f>M268-S268-T268</x:f>
        <x:v>0</x:v>
      </x:c>
    </x:row>
    <x:row r="269" ht="27" customHeight="1">
      <x:c r="A269" s="2"/>
      <x:c r="B269" s="2" t="str">
        <x:v>Baby, Feminine &amp; Family Care | organic_volume_growth | PCENDC96</x:v>
      </x:c>
      <x:c r="C269" s="2" t="str">
        <x:v>2025-03-31</x:v>
      </x:c>
      <x:c r="D269" s="2" t="str">
        <x:v>Pre-earnings</x:v>
      </x:c>
      <x:c r="E269" s="2" t="str">
        <x:v>2025-04-23</x:v>
      </x:c>
      <x:c r="F269" s="2" t="str">
        <x:v>YoY carry</x:v>
      </x:c>
      <x:c r="G269" s="2" t="n">
        <x:v>16</x:v>
      </x:c>
      <x:c r="H269" s="7" t="n">
        <x:v>-1.6011825318370596</x:v>
      </x:c>
      <x:c r="I269" s="7" t="n">
        <x:v>0.078763160307073</x:v>
      </x:c>
      <x:c r="J269" s="7" t="n">
        <x:v>2.5268187156605393</x:v>
      </x:c>
      <x:c r="K269" s="7" t="n">
        <x:f>H269+I269*J269</x:f>
        <x:v>-1.4021623042685762</x:v>
      </x:c>
      <x:c r="L269" s="7" t="n">
        <x:v>-2</x:v>
      </x:c>
      <x:c r="M269" s="7" t="n">
        <x:f>K269-L269</x:f>
        <x:v>0.5978376957314238</x:v>
      </x:c>
      <x:c r="N269" s="7" t="n">
        <x:f>M269^2</x:f>
        <x:v>0.3574099104374584</x:v>
      </x:c>
      <x:c r="O269" s="7" t="n">
        <x:v>4</x:v>
      </x:c>
      <x:c r="P269" s="7" t="n">
        <x:v>-0.25</x:v>
      </x:c>
      <x:c r="Q269" s="7" t="n">
        <x:v>2.6670354419376485</x:v>
      </x:c>
      <x:c r="R269" s="7" t="n">
        <x:f>H269+I269*Q269</x:f>
        <x:v>-1.3911183917790793</x:v>
      </x:c>
      <x:c r="S269" s="7" t="n">
        <x:f>R269-L269</x:f>
        <x:v>0.6088816082209207</x:v>
      </x:c>
      <x:c r="T269" s="7" t="n">
        <x:f>K269-R269</x:f>
        <x:v>-0.011043912489496988</x:v>
      </x:c>
      <x:c r="U269" s="7" t="n">
        <x:f>M269-S269-T269</x:f>
        <x:v>0</x:v>
      </x:c>
    </x:row>
    <x:row r="270" ht="27" customHeight="1">
      <x:c r="A270" s="2"/>
      <x:c r="B270" s="2" t="str">
        <x:v>Beauty | organic_volume_growth | PCENDC96</x:v>
      </x:c>
      <x:c r="C270" s="2" t="str">
        <x:v>2025-03-31</x:v>
      </x:c>
      <x:c r="D270" s="2" t="str">
        <x:v>Pre-earnings</x:v>
      </x:c>
      <x:c r="E270" s="2" t="str">
        <x:v>2025-04-23</x:v>
      </x:c>
      <x:c r="F270" s="2" t="str">
        <x:v>YoY carry</x:v>
      </x:c>
      <x:c r="G270" s="2" t="n">
        <x:v>16</x:v>
      </x:c>
      <x:c r="H270" s="7" t="n">
        <x:v>-0.8560321226887075</x:v>
      </x:c>
      <x:c r="I270" s="7" t="n">
        <x:v>0.2110375405336471</x:v>
      </x:c>
      <x:c r="J270" s="7" t="n">
        <x:v>2.5268187156605393</x:v>
      </x:c>
      <x:c r="K270" s="7" t="n">
        <x:f>H270+I270*J270</x:f>
        <x:v>-0.3227785155613184</x:v>
      </x:c>
      <x:c r="L270" s="7" t="n">
        <x:v>1</x:v>
      </x:c>
      <x:c r="M270" s="7" t="n">
        <x:f>K270-L270</x:f>
        <x:v>-1.3227785155613185</x:v>
      </x:c>
      <x:c r="N270" s="7" t="n">
        <x:f>M270^2</x:f>
        <x:v>1.7497430012306054</x:v>
      </x:c>
      <x:c r="O270" s="7" t="n">
        <x:v>0</x:v>
      </x:c>
      <x:c r="P270" s="7" t="n">
        <x:v>0.5</x:v>
      </x:c>
      <x:c r="Q270" s="7" t="n">
        <x:v>2.6670354419376485</x:v>
      </x:c>
      <x:c r="R270" s="7" t="n">
        <x:f>H270+I270*Q270</x:f>
        <x:v>-0.2931875225061177</x:v>
      </x:c>
      <x:c r="S270" s="7" t="n">
        <x:f>R270-L270</x:f>
        <x:v>-1.2931875225061176</x:v>
      </x:c>
      <x:c r="T270" s="7" t="n">
        <x:f>K270-R270</x:f>
        <x:v>-0.029590993055200743</x:v>
      </x:c>
      <x:c r="U270" s="7" t="n">
        <x:f>M270-S270-T270</x:f>
        <x:v>-2.220446049250313e-16</x:v>
      </x:c>
    </x:row>
    <x:row r="271" ht="27" customHeight="1">
      <x:c r="A271" s="2"/>
      <x:c r="B271" s="2" t="str">
        <x:v>Fabric &amp; Home Care | organic_volume_growth | PCENDC96</x:v>
      </x:c>
      <x:c r="C271" s="2" t="str">
        <x:v>2025-03-31</x:v>
      </x:c>
      <x:c r="D271" s="2" t="str">
        <x:v>Pre-earnings</x:v>
      </x:c>
      <x:c r="E271" s="2" t="str">
        <x:v>2025-04-23</x:v>
      </x:c>
      <x:c r="F271" s="2" t="str">
        <x:v>YoY carry</x:v>
      </x:c>
      <x:c r="G271" s="2" t="n">
        <x:v>8</x:v>
      </x:c>
      <x:c r="H271" s="7" t="n">
        <x:v>-2.8840934270602387</x:v>
      </x:c>
      <x:c r="I271" s="7" t="n">
        <x:v>2.2392737124125786</x:v>
      </x:c>
      <x:c r="J271" s="7" t="n">
        <x:v>2.5268187156605393</x:v>
      </x:c>
      <x:c r="K271" s="7" t="n">
        <x:f>H271+I271*J271</x:f>
        <x:v>2.774145298950521</x:v>
      </x:c>
      <x:c r="L271" s="7" t="n">
        <x:v>0</x:v>
      </x:c>
      <x:c r="M271" s="7" t="n">
        <x:f>K271-L271</x:f>
        <x:v>2.774145298950521</x:v>
      </x:c>
      <x:c r="N271" s="7" t="n">
        <x:f>M271^2</x:f>
        <x:v>7.695882139689276</x:v>
      </x:c>
      <x:c r="O271" s="7" t="n">
        <x:v>2</x:v>
      </x:c>
      <x:c r="P271" s="7" t="n">
        <x:v>1.75</x:v>
      </x:c>
      <x:c r="Q271" s="7" t="n">
        <x:v>2.6670354419376485</x:v>
      </x:c>
      <x:c r="R271" s="7" t="n">
        <x:f>H271+I271*Q271</x:f>
        <x:v>3.0881289281434015</x:v>
      </x:c>
      <x:c r="S271" s="7" t="n">
        <x:f>R271-L271</x:f>
        <x:v>3.0881289281434015</x:v>
      </x:c>
      <x:c r="T271" s="7" t="n">
        <x:f>K271-R271</x:f>
        <x:v>-0.31398362919288036</x:v>
      </x:c>
      <x:c r="U271" s="7" t="n">
        <x:f>M271-S271-T271</x:f>
        <x:v>0</x:v>
      </x:c>
    </x:row>
    <x:row r="272" ht="27" customHeight="1">
      <x:c r="A272" s="2"/>
      <x:c r="B272" s="2" t="str">
        <x:v>Baby, Feminine &amp; Family Care | organic_volume_growth | PCENDC96</x:v>
      </x:c>
      <x:c r="C272" s="2" t="str">
        <x:v>2025-03-31</x:v>
      </x:c>
      <x:c r="D272" s="2" t="str">
        <x:v>Pre-earnings</x:v>
      </x:c>
      <x:c r="E272" s="2" t="str">
        <x:v>2025-04-23</x:v>
      </x:c>
      <x:c r="F272" s="2" t="str">
        <x:v>Flat level</x:v>
      </x:c>
      <x:c r="G272" s="2" t="n">
        <x:v>16</x:v>
      </x:c>
      <x:c r="H272" s="7" t="n">
        <x:v>-1.6011825318370596</x:v>
      </x:c>
      <x:c r="I272" s="7" t="n">
        <x:v>0.078763160307073</x:v>
      </x:c>
      <x:c r="J272" s="7" t="n">
        <x:v>2.3944051523173693</x:v>
      </x:c>
      <x:c r="K272" s="7" t="n">
        <x:f>H272+I272*J272</x:f>
        <x:v>-1.412591614985005</x:v>
      </x:c>
      <x:c r="L272" s="7" t="n">
        <x:v>-2</x:v>
      </x:c>
      <x:c r="M272" s="7" t="n">
        <x:f>K272-L272</x:f>
        <x:v>0.5874083850149949</x:v>
      </x:c>
      <x:c r="N272" s="7" t="n">
        <x:f>M272^2</x:f>
        <x:v>0.3450486107859245</x:v>
      </x:c>
      <x:c r="O272" s="7" t="n">
        <x:v>4</x:v>
      </x:c>
      <x:c r="P272" s="7" t="n">
        <x:v>-0.25</x:v>
      </x:c>
      <x:c r="Q272" s="7" t="n">
        <x:v>2.6670354419376485</x:v>
      </x:c>
      <x:c r="R272" s="7" t="n">
        <x:f>H272+I272*Q272</x:f>
        <x:v>-1.3911183917790793</x:v>
      </x:c>
      <x:c r="S272" s="7" t="n">
        <x:f>R272-L272</x:f>
        <x:v>0.6088816082209207</x:v>
      </x:c>
      <x:c r="T272" s="7" t="n">
        <x:f>K272-R272</x:f>
        <x:v>-0.021473223205925818</x:v>
      </x:c>
      <x:c r="U272" s="7" t="n">
        <x:f>M272-S272-T272</x:f>
        <x:v>0</x:v>
      </x:c>
    </x:row>
    <x:row r="273" ht="27" customHeight="1">
      <x:c r="A273" s="2"/>
      <x:c r="B273" s="2" t="str">
        <x:v>Beauty | organic_volume_growth | PCENDC96</x:v>
      </x:c>
      <x:c r="C273" s="2" t="str">
        <x:v>2025-03-31</x:v>
      </x:c>
      <x:c r="D273" s="2" t="str">
        <x:v>Pre-earnings</x:v>
      </x:c>
      <x:c r="E273" s="2" t="str">
        <x:v>2025-04-23</x:v>
      </x:c>
      <x:c r="F273" s="2" t="str">
        <x:v>Flat level</x:v>
      </x:c>
      <x:c r="G273" s="2" t="n">
        <x:v>16</x:v>
      </x:c>
      <x:c r="H273" s="7" t="n">
        <x:v>-0.8560321226887075</x:v>
      </x:c>
      <x:c r="I273" s="7" t="n">
        <x:v>0.2110375405336471</x:v>
      </x:c>
      <x:c r="J273" s="7" t="n">
        <x:v>2.3944051523173693</x:v>
      </x:c>
      <x:c r="K273" s="7" t="n">
        <x:f>H273+I273*J273</x:f>
        <x:v>-0.35072274830255723</x:v>
      </x:c>
      <x:c r="L273" s="7" t="n">
        <x:v>1</x:v>
      </x:c>
      <x:c r="M273" s="7" t="n">
        <x:f>K273-L273</x:f>
        <x:v>-1.3507227483025572</x:v>
      </x:c>
      <x:c r="N273" s="7" t="n">
        <x:f>M273^2</x:f>
        <x:v>1.8244519427820134</x:v>
      </x:c>
      <x:c r="O273" s="7" t="n">
        <x:v>0</x:v>
      </x:c>
      <x:c r="P273" s="7" t="n">
        <x:v>0.5</x:v>
      </x:c>
      <x:c r="Q273" s="7" t="n">
        <x:v>2.6670354419376485</x:v>
      </x:c>
      <x:c r="R273" s="7" t="n">
        <x:f>H273+I273*Q273</x:f>
        <x:v>-0.2931875225061177</x:v>
      </x:c>
      <x:c r="S273" s="7" t="n">
        <x:f>R273-L273</x:f>
        <x:v>-1.2931875225061176</x:v>
      </x:c>
      <x:c r="T273" s="7" t="n">
        <x:f>K273-R273</x:f>
        <x:v>-0.05753522579643955</x:v>
      </x:c>
      <x:c r="U273" s="7" t="n">
        <x:f>M273-S273-T273</x:f>
        <x:v>-1.1102230246251565e-16</x:v>
      </x:c>
    </x:row>
    <x:row r="274" ht="27" customHeight="1">
      <x:c r="A274" s="2"/>
      <x:c r="B274" s="2" t="str">
        <x:v>Fabric &amp; Home Care | organic_volume_growth | PCENDC96</x:v>
      </x:c>
      <x:c r="C274" s="2" t="str">
        <x:v>2025-03-31</x:v>
      </x:c>
      <x:c r="D274" s="2" t="str">
        <x:v>Pre-earnings</x:v>
      </x:c>
      <x:c r="E274" s="2" t="str">
        <x:v>2025-04-23</x:v>
      </x:c>
      <x:c r="F274" s="2" t="str">
        <x:v>Flat level</x:v>
      </x:c>
      <x:c r="G274" s="2" t="n">
        <x:v>8</x:v>
      </x:c>
      <x:c r="H274" s="7" t="n">
        <x:v>-2.8840934270602387</x:v>
      </x:c>
      <x:c r="I274" s="7" t="n">
        <x:v>2.2392737124125786</x:v>
      </x:c>
      <x:c r="J274" s="7" t="n">
        <x:v>2.3944051523173693</x:v>
      </x:c>
      <x:c r="K274" s="7" t="n">
        <x:f>H274+I274*J274</x:f>
        <x:v>2.4776350873892827</x:v>
      </x:c>
      <x:c r="L274" s="7" t="n">
        <x:v>0</x:v>
      </x:c>
      <x:c r="M274" s="7" t="n">
        <x:f>K274-L274</x:f>
        <x:v>2.4776350873892827</x:v>
      </x:c>
      <x:c r="N274" s="7" t="n">
        <x:f>M274^2</x:f>
        <x:v>6.138675626262499</x:v>
      </x:c>
      <x:c r="O274" s="7" t="n">
        <x:v>2</x:v>
      </x:c>
      <x:c r="P274" s="7" t="n">
        <x:v>1.75</x:v>
      </x:c>
      <x:c r="Q274" s="7" t="n">
        <x:v>2.6670354419376485</x:v>
      </x:c>
      <x:c r="R274" s="7" t="n">
        <x:f>H274+I274*Q274</x:f>
        <x:v>3.0881289281434015</x:v>
      </x:c>
      <x:c r="S274" s="7" t="n">
        <x:f>R274-L274</x:f>
        <x:v>3.0881289281434015</x:v>
      </x:c>
      <x:c r="T274" s="7" t="n">
        <x:f>K274-R274</x:f>
        <x:v>-0.6104938407541187</x:v>
      </x:c>
      <x:c r="U274" s="7" t="n">
        <x:f>M274-S274-T274</x:f>
        <x:v>0</x:v>
      </x:c>
    </x:row>
    <x:row r="275" ht="27" customHeight="1">
      <x:c r="A275" s="2"/>
      <x:c r="B275" s="2" t="str">
        <x:v>Baby, Feminine &amp; Family Care | organic_volume_growth | PCENDC96</x:v>
      </x:c>
      <x:c r="C275" s="2" t="str">
        <x:v>2025-03-31</x:v>
      </x:c>
      <x:c r="D275" s="2" t="str">
        <x:v>Pre-earnings</x:v>
      </x:c>
      <x:c r="E275" s="2" t="str">
        <x:v>2025-04-23</x:v>
      </x:c>
      <x:c r="F275" s="2" t="str">
        <x:v>Recent trend</x:v>
      </x:c>
      <x:c r="G275" s="2" t="n">
        <x:v>16</x:v>
      </x:c>
      <x:c r="H275" s="7" t="n">
        <x:v>-1.6011825318370596</x:v>
      </x:c>
      <x:c r="I275" s="7" t="n">
        <x:v>0.078763160307073</x:v>
      </x:c>
      <x:c r="J275" s="7" t="n">
        <x:v>2.341558338930816</x:v>
      </x:c>
      <x:c r="K275" s="7" t="n">
        <x:f>H275+I275*J275</x:f>
        <x:v>-1.4167539970194882</x:v>
      </x:c>
      <x:c r="L275" s="7" t="n">
        <x:v>-2</x:v>
      </x:c>
      <x:c r="M275" s="7" t="n">
        <x:f>K275-L275</x:f>
        <x:v>0.5832460029805118</x:v>
      </x:c>
      <x:c r="N275" s="7" t="n">
        <x:f>M275^2</x:f>
        <x:v>0.34017589999274317</x:v>
      </x:c>
      <x:c r="O275" s="7" t="n">
        <x:v>4</x:v>
      </x:c>
      <x:c r="P275" s="7" t="n">
        <x:v>-0.25</x:v>
      </x:c>
      <x:c r="Q275" s="7" t="n">
        <x:v>2.6670354419376485</x:v>
      </x:c>
      <x:c r="R275" s="7" t="n">
        <x:f>H275+I275*Q275</x:f>
        <x:v>-1.3911183917790793</x:v>
      </x:c>
      <x:c r="S275" s="7" t="n">
        <x:f>R275-L275</x:f>
        <x:v>0.6088816082209207</x:v>
      </x:c>
      <x:c r="T275" s="7" t="n">
        <x:f>K275-R275</x:f>
        <x:v>-0.025635605240408976</x:v>
      </x:c>
      <x:c r="U275" s="7" t="n">
        <x:f>M275-S275-T275</x:f>
        <x:v>0</x:v>
      </x:c>
    </x:row>
    <x:row r="276" ht="27" customHeight="1">
      <x:c r="A276" s="2"/>
      <x:c r="B276" s="2" t="str">
        <x:v>Beauty | organic_volume_growth | PCENDC96</x:v>
      </x:c>
      <x:c r="C276" s="2" t="str">
        <x:v>2025-03-31</x:v>
      </x:c>
      <x:c r="D276" s="2" t="str">
        <x:v>Pre-earnings</x:v>
      </x:c>
      <x:c r="E276" s="2" t="str">
        <x:v>2025-04-23</x:v>
      </x:c>
      <x:c r="F276" s="2" t="str">
        <x:v>Recent trend</x:v>
      </x:c>
      <x:c r="G276" s="2" t="n">
        <x:v>16</x:v>
      </x:c>
      <x:c r="H276" s="7" t="n">
        <x:v>-0.8560321226887075</x:v>
      </x:c>
      <x:c r="I276" s="7" t="n">
        <x:v>0.2110375405336471</x:v>
      </x:c>
      <x:c r="J276" s="7" t="n">
        <x:v>2.341558338930816</x:v>
      </x:c>
      <x:c r="K276" s="7" t="n">
        <x:f>H276+I276*J276</x:f>
        <x:v>-0.3618754098246961</x:v>
      </x:c>
      <x:c r="L276" s="7" t="n">
        <x:v>1</x:v>
      </x:c>
      <x:c r="M276" s="7" t="n">
        <x:f>K276-L276</x:f>
        <x:v>-1.3618754098246961</x:v>
      </x:c>
      <x:c r="N276" s="7" t="n">
        <x:f>M276^2</x:f>
        <x:v>1.854704631885184</x:v>
      </x:c>
      <x:c r="O276" s="7" t="n">
        <x:v>0</x:v>
      </x:c>
      <x:c r="P276" s="7" t="n">
        <x:v>0.5</x:v>
      </x:c>
      <x:c r="Q276" s="7" t="n">
        <x:v>2.6670354419376485</x:v>
      </x:c>
      <x:c r="R276" s="7" t="n">
        <x:f>H276+I276*Q276</x:f>
        <x:v>-0.2931875225061177</x:v>
      </x:c>
      <x:c r="S276" s="7" t="n">
        <x:f>R276-L276</x:f>
        <x:v>-1.2931875225061176</x:v>
      </x:c>
      <x:c r="T276" s="7" t="n">
        <x:f>K276-R276</x:f>
        <x:v>-0.06868788731857844</x:v>
      </x:c>
      <x:c r="U276" s="7" t="n">
        <x:f>M276-S276-T276</x:f>
        <x:v>-1.1102230246251565e-16</x:v>
      </x:c>
    </x:row>
    <x:row r="277" ht="27" customHeight="1">
      <x:c r="A277" s="2"/>
      <x:c r="B277" s="2" t="str">
        <x:v>Fabric &amp; Home Care | organic_volume_growth | PCENDC96</x:v>
      </x:c>
      <x:c r="C277" s="2" t="str">
        <x:v>2025-03-31</x:v>
      </x:c>
      <x:c r="D277" s="2" t="str">
        <x:v>Pre-earnings</x:v>
      </x:c>
      <x:c r="E277" s="2" t="str">
        <x:v>2025-04-23</x:v>
      </x:c>
      <x:c r="F277" s="2" t="str">
        <x:v>Recent trend</x:v>
      </x:c>
      <x:c r="G277" s="2" t="n">
        <x:v>8</x:v>
      </x:c>
      <x:c r="H277" s="7" t="n">
        <x:v>-2.8840934270602387</x:v>
      </x:c>
      <x:c r="I277" s="7" t="n">
        <x:v>2.2392737124125786</x:v>
      </x:c>
      <x:c r="J277" s="7" t="n">
        <x:v>2.341558338930816</x:v>
      </x:c>
      <x:c r="K277" s="7" t="n">
        <x:f>H277+I277*J277</x:f>
        <x:v>2.359296607388</x:v>
      </x:c>
      <x:c r="L277" s="7" t="n">
        <x:v>0</x:v>
      </x:c>
      <x:c r="M277" s="7" t="n">
        <x:f>K277-L277</x:f>
        <x:v>2.359296607388</x:v>
      </x:c>
      <x:c r="N277" s="7" t="n">
        <x:f>M277^2</x:f>
        <x:v>5.566280481632527</x:v>
      </x:c>
      <x:c r="O277" s="7" t="n">
        <x:v>2</x:v>
      </x:c>
      <x:c r="P277" s="7" t="n">
        <x:v>1.75</x:v>
      </x:c>
      <x:c r="Q277" s="7" t="n">
        <x:v>2.6670354419376485</x:v>
      </x:c>
      <x:c r="R277" s="7" t="n">
        <x:f>H277+I277*Q277</x:f>
        <x:v>3.0881289281434015</x:v>
      </x:c>
      <x:c r="S277" s="7" t="n">
        <x:f>R277-L277</x:f>
        <x:v>3.0881289281434015</x:v>
      </x:c>
      <x:c r="T277" s="7" t="n">
        <x:f>K277-R277</x:f>
        <x:v>-0.7288323207554015</x:v>
      </x:c>
      <x:c r="U277" s="7" t="n">
        <x:f>M277-S277-T277</x:f>
        <x:v>0</x:v>
      </x:c>
    </x:row>
    <x:row r="278" ht="27" customHeight="1">
      <x:c r="A278" s="2"/>
      <x:c r="B278" s="2" t="str">
        <x:v>Baby, Feminine &amp; Family Care | organic_volume_growth | PCENDC96</x:v>
      </x:c>
      <x:c r="C278" s="2" t="str">
        <x:v>2025-06-30</x:v>
      </x:c>
      <x:c r="D278" s="2" t="str">
        <x:v>Origin</x:v>
      </x:c>
      <x:c r="E278" s="2" t="str">
        <x:v>2025-04-01</x:v>
      </x:c>
      <x:c r="F278" s="2" t="str">
        <x:v>YoY carry</x:v>
      </x:c>
      <x:c r="G278" s="2" t="n">
        <x:v>16</x:v>
      </x:c>
      <x:c r="H278" s="7" t="n">
        <x:v>-1.6011825318370596</x:v>
      </x:c>
      <x:c r="I278" s="7" t="n">
        <x:v>0.078763160307073</x:v>
      </x:c>
      <x:c r="J278" s="7" t="n">
        <x:v>2.4263020900480603</x:v>
      </x:c>
      <x:c r="K278" s="7" t="n">
        <x:f>H278+I278*J278</x:f>
        <x:v>-1.410079311365218</x:v>
      </x:c>
      <x:c r="L278" s="7" t="n">
        <x:v>0</x:v>
      </x:c>
      <x:c r="M278" s="7" t="n">
        <x:f>K278-L278</x:f>
        <x:v>-1.410079311365218</x:v>
      </x:c>
      <x:c r="N278" s="7" t="n">
        <x:f>M278^2</x:f>
        <x:v>1.9883236643402071</x:v>
      </x:c>
      <x:c r="O278" s="7" t="n">
        <x:v>4</x:v>
      </x:c>
      <x:c r="P278" s="7" t="n">
        <x:v>-0.25</x:v>
      </x:c>
      <x:c r="Q278" s="7" t="n">
        <x:v>2.799610454764556</x:v>
      </x:c>
      <x:c r="R278" s="7" t="n">
        <x:f>H278+I278*Q278</x:f>
        <x:v>-1.3806763647910814</x:v>
      </x:c>
      <x:c r="S278" s="7" t="n">
        <x:f>R278-L278</x:f>
        <x:v>-1.3806763647910814</x:v>
      </x:c>
      <x:c r="T278" s="7" t="n">
        <x:f>K278-R278</x:f>
        <x:v>-0.029402946574136557</x:v>
      </x:c>
      <x:c r="U278" s="7" t="n">
        <x:f>M278-S278-T278</x:f>
        <x:v>0</x:v>
      </x:c>
    </x:row>
    <x:row r="279" ht="27" customHeight="1">
      <x:c r="A279" s="2"/>
      <x:c r="B279" s="2" t="str">
        <x:v>Beauty | organic_volume_growth | PCENDC96</x:v>
      </x:c>
      <x:c r="C279" s="2" t="str">
        <x:v>2025-06-30</x:v>
      </x:c>
      <x:c r="D279" s="2" t="str">
        <x:v>Origin</x:v>
      </x:c>
      <x:c r="E279" s="2" t="str">
        <x:v>2025-04-01</x:v>
      </x:c>
      <x:c r="F279" s="2" t="str">
        <x:v>YoY carry</x:v>
      </x:c>
      <x:c r="G279" s="2" t="n">
        <x:v>16</x:v>
      </x:c>
      <x:c r="H279" s="7" t="n">
        <x:v>-0.8560321226887075</x:v>
      </x:c>
      <x:c r="I279" s="7" t="n">
        <x:v>0.2110375405336471</x:v>
      </x:c>
      <x:c r="J279" s="7" t="n">
        <x:v>2.4263020900480603</x:v>
      </x:c>
      <x:c r="K279" s="7" t="n">
        <x:f>H279+I279*J279</x:f>
        <x:v>-0.3439912970133173</x:v>
      </x:c>
      <x:c r="L279" s="7" t="n">
        <x:v>1</x:v>
      </x:c>
      <x:c r="M279" s="7" t="n">
        <x:f>K279-L279</x:f>
        <x:v>-1.3439912970133174</x:v>
      </x:c>
      <x:c r="N279" s="7" t="n">
        <x:f>M279^2</x:f>
        <x:v>1.8063126064475392</x:v>
      </x:c>
      <x:c r="O279" s="7" t="n">
        <x:v>0</x:v>
      </x:c>
      <x:c r="P279" s="7" t="n">
        <x:v>0.5</x:v>
      </x:c>
      <x:c r="Q279" s="7" t="n">
        <x:v>2.799610454764556</x:v>
      </x:c>
      <x:c r="R279" s="7" t="n">
        <x:f>H279+I279*Q279</x:f>
        <x:v>-0.2652092178629103</x:v>
      </x:c>
      <x:c r="S279" s="7" t="n">
        <x:f>R279-L279</x:f>
        <x:v>-1.2652092178629104</x:v>
      </x:c>
      <x:c r="T279" s="7" t="n">
        <x:f>K279-R279</x:f>
        <x:v>-0.07878207915040703</x:v>
      </x:c>
      <x:c r="U279" s="7" t="n">
        <x:f>M279-S279-T279</x:f>
        <x:v>0</x:v>
      </x:c>
    </x:row>
    <x:row r="280" ht="27" customHeight="1">
      <x:c r="A280" s="2"/>
      <x:c r="B280" s="2" t="str">
        <x:v>Fabric &amp; Home Care | organic_volume_growth | PCENDC96</x:v>
      </x:c>
      <x:c r="C280" s="2" t="str">
        <x:v>2025-06-30</x:v>
      </x:c>
      <x:c r="D280" s="2" t="str">
        <x:v>Origin</x:v>
      </x:c>
      <x:c r="E280" s="2" t="str">
        <x:v>2025-04-01</x:v>
      </x:c>
      <x:c r="F280" s="2" t="str">
        <x:v>YoY carry</x:v>
      </x:c>
      <x:c r="G280" s="2" t="n">
        <x:v>8</x:v>
      </x:c>
      <x:c r="H280" s="7" t="n">
        <x:v>-2.8840934270602387</x:v>
      </x:c>
      <x:c r="I280" s="7" t="n">
        <x:v>2.2392737124125786</x:v>
      </x:c>
      <x:c r="J280" s="7" t="n">
        <x:v>2.4263020900480603</x:v>
      </x:c>
      <x:c r="K280" s="7" t="n">
        <x:f>H280+I280*J280</x:f>
        <x:v>2.5490610615560794</x:v>
      </x:c>
      <x:c r="L280" s="7" t="n">
        <x:v>0</x:v>
      </x:c>
      <x:c r="M280" s="7" t="n">
        <x:f>K280-L280</x:f>
        <x:v>2.5490610615560794</x:v>
      </x:c>
      <x:c r="N280" s="7" t="n">
        <x:f>M280^2</x:f>
        <x:v>6.497712295541406</x:v>
      </x:c>
      <x:c r="O280" s="7" t="n">
        <x:v>2</x:v>
      </x:c>
      <x:c r="P280" s="7" t="n">
        <x:v>1.75</x:v>
      </x:c>
      <x:c r="Q280" s="7" t="n">
        <x:v>2.799610454764556</x:v>
      </x:c>
      <x:c r="R280" s="7" t="n">
        <x:f>H280+I280*Q280</x:f>
        <x:v>3.3850006692894565</x:v>
      </x:c>
      <x:c r="S280" s="7" t="n">
        <x:f>R280-L280</x:f>
        <x:v>3.3850006692894565</x:v>
      </x:c>
      <x:c r="T280" s="7" t="n">
        <x:f>K280-R280</x:f>
        <x:v>-0.8359396077333772</x:v>
      </x:c>
      <x:c r="U280" s="7" t="n">
        <x:f>M280-S280-T280</x:f>
        <x:v>0</x:v>
      </x:c>
    </x:row>
    <x:row r="281" ht="27" customHeight="1">
      <x:c r="A281" s="2"/>
      <x:c r="B281" s="2" t="str">
        <x:v>Baby, Feminine &amp; Family Care | organic_volume_growth | PCENDC96</x:v>
      </x:c>
      <x:c r="C281" s="2" t="str">
        <x:v>2025-06-30</x:v>
      </x:c>
      <x:c r="D281" s="2" t="str">
        <x:v>Origin</x:v>
      </x:c>
      <x:c r="E281" s="2" t="str">
        <x:v>2025-04-01</x:v>
      </x:c>
      <x:c r="F281" s="2" t="str">
        <x:v>Flat level</x:v>
      </x:c>
      <x:c r="G281" s="2" t="n">
        <x:v>16</x:v>
      </x:c>
      <x:c r="H281" s="7" t="n">
        <x:v>-1.6011825318370596</x:v>
      </x:c>
      <x:c r="I281" s="7" t="n">
        <x:v>0.078763160307073</x:v>
      </x:c>
      <x:c r="J281" s="7" t="n">
        <x:v>2.1405313947883586</x:v>
      </x:c>
      <x:c r="K281" s="7" t="n">
        <x:f>H281+I281*J281</x:f>
        <x:v>-1.4325875144470215</x:v>
      </x:c>
      <x:c r="L281" s="7" t="n">
        <x:v>0</x:v>
      </x:c>
      <x:c r="M281" s="7" t="n">
        <x:f>K281-L281</x:f>
        <x:v>-1.4325875144470215</x:v>
      </x:c>
      <x:c r="N281" s="7" t="n">
        <x:f>M281^2</x:f>
        <x:v>2.052306986549495</x:v>
      </x:c>
      <x:c r="O281" s="7" t="n">
        <x:v>4</x:v>
      </x:c>
      <x:c r="P281" s="7" t="n">
        <x:v>-0.25</x:v>
      </x:c>
      <x:c r="Q281" s="7" t="n">
        <x:v>2.799610454764556</x:v>
      </x:c>
      <x:c r="R281" s="7" t="n">
        <x:f>H281+I281*Q281</x:f>
        <x:v>-1.3806763647910814</x:v>
      </x:c>
      <x:c r="S281" s="7" t="n">
        <x:f>R281-L281</x:f>
        <x:v>-1.3806763647910814</x:v>
      </x:c>
      <x:c r="T281" s="7" t="n">
        <x:f>K281-R281</x:f>
        <x:v>-0.051911149655940125</x:v>
      </x:c>
      <x:c r="U281" s="7" t="n">
        <x:f>M281-S281-T281</x:f>
        <x:v>0</x:v>
      </x:c>
    </x:row>
    <x:row r="282" ht="27" customHeight="1">
      <x:c r="A282" s="2"/>
      <x:c r="B282" s="2" t="str">
        <x:v>Beauty | organic_volume_growth | PCENDC96</x:v>
      </x:c>
      <x:c r="C282" s="2" t="str">
        <x:v>2025-06-30</x:v>
      </x:c>
      <x:c r="D282" s="2" t="str">
        <x:v>Origin</x:v>
      </x:c>
      <x:c r="E282" s="2" t="str">
        <x:v>2025-04-01</x:v>
      </x:c>
      <x:c r="F282" s="2" t="str">
        <x:v>Flat level</x:v>
      </x:c>
      <x:c r="G282" s="2" t="n">
        <x:v>16</x:v>
      </x:c>
      <x:c r="H282" s="7" t="n">
        <x:v>-0.8560321226887075</x:v>
      </x:c>
      <x:c r="I282" s="7" t="n">
        <x:v>0.2110375405336471</x:v>
      </x:c>
      <x:c r="J282" s="7" t="n">
        <x:v>2.1405313947883586</x:v>
      </x:c>
      <x:c r="K282" s="7" t="n">
        <x:f>H282+I282*J282</x:f>
        <x:v>-0.40429964169751514</x:v>
      </x:c>
      <x:c r="L282" s="7" t="n">
        <x:v>1</x:v>
      </x:c>
      <x:c r="M282" s="7" t="n">
        <x:f>K282-L282</x:f>
        <x:v>-1.404299641697515</x:v>
      </x:c>
      <x:c r="N282" s="7" t="n">
        <x:f>M282^2</x:f>
        <x:v>1.9720574836717693</x:v>
      </x:c>
      <x:c r="O282" s="7" t="n">
        <x:v>0</x:v>
      </x:c>
      <x:c r="P282" s="7" t="n">
        <x:v>0.5</x:v>
      </x:c>
      <x:c r="Q282" s="7" t="n">
        <x:v>2.799610454764556</x:v>
      </x:c>
      <x:c r="R282" s="7" t="n">
        <x:f>H282+I282*Q282</x:f>
        <x:v>-0.2652092178629103</x:v>
      </x:c>
      <x:c r="S282" s="7" t="n">
        <x:f>R282-L282</x:f>
        <x:v>-1.2652092178629104</x:v>
      </x:c>
      <x:c r="T282" s="7" t="n">
        <x:f>K282-R282</x:f>
        <x:v>-0.13909042383460485</x:v>
      </x:c>
      <x:c r="U282" s="7" t="n">
        <x:f>M282-S282-T282</x:f>
        <x:v>1.6653345369377348e-16</x:v>
      </x:c>
    </x:row>
    <x:row r="283" ht="27" customHeight="1">
      <x:c r="A283" s="2"/>
      <x:c r="B283" s="2" t="str">
        <x:v>Fabric &amp; Home Care | organic_volume_growth | PCENDC96</x:v>
      </x:c>
      <x:c r="C283" s="2" t="str">
        <x:v>2025-06-30</x:v>
      </x:c>
      <x:c r="D283" s="2" t="str">
        <x:v>Origin</x:v>
      </x:c>
      <x:c r="E283" s="2" t="str">
        <x:v>2025-04-01</x:v>
      </x:c>
      <x:c r="F283" s="2" t="str">
        <x:v>Flat level</x:v>
      </x:c>
      <x:c r="G283" s="2" t="n">
        <x:v>8</x:v>
      </x:c>
      <x:c r="H283" s="7" t="n">
        <x:v>-2.8840934270602387</x:v>
      </x:c>
      <x:c r="I283" s="7" t="n">
        <x:v>2.2392737124125786</x:v>
      </x:c>
      <x:c r="J283" s="7" t="n">
        <x:v>2.1405313947883586</x:v>
      </x:c>
      <x:c r="K283" s="7" t="n">
        <x:f>H283+I283*J283</x:f>
        <x:v>1.9091422558831637</x:v>
      </x:c>
      <x:c r="L283" s="7" t="n">
        <x:v>0</x:v>
      </x:c>
      <x:c r="M283" s="7" t="n">
        <x:f>K283-L283</x:f>
        <x:v>1.9091422558831637</x:v>
      </x:c>
      <x:c r="N283" s="7" t="n">
        <x:f>M283^2</x:f>
        <x:v>3.6448241531986554</x:v>
      </x:c>
      <x:c r="O283" s="7" t="n">
        <x:v>2</x:v>
      </x:c>
      <x:c r="P283" s="7" t="n">
        <x:v>1.75</x:v>
      </x:c>
      <x:c r="Q283" s="7" t="n">
        <x:v>2.799610454764556</x:v>
      </x:c>
      <x:c r="R283" s="7" t="n">
        <x:f>H283+I283*Q283</x:f>
        <x:v>3.3850006692894565</x:v>
      </x:c>
      <x:c r="S283" s="7" t="n">
        <x:f>R283-L283</x:f>
        <x:v>3.3850006692894565</x:v>
      </x:c>
      <x:c r="T283" s="7" t="n">
        <x:f>K283-R283</x:f>
        <x:v>-1.4758584134062929</x:v>
      </x:c>
      <x:c r="U283" s="7" t="n">
        <x:f>M283-S283-T283</x:f>
        <x:v>0</x:v>
      </x:c>
    </x:row>
    <x:row r="284" ht="27" customHeight="1">
      <x:c r="A284" s="2"/>
      <x:c r="B284" s="2" t="str">
        <x:v>Baby, Feminine &amp; Family Care | organic_volume_growth | PCENDC96</x:v>
      </x:c>
      <x:c r="C284" s="2" t="str">
        <x:v>2025-06-30</x:v>
      </x:c>
      <x:c r="D284" s="2" t="str">
        <x:v>Origin</x:v>
      </x:c>
      <x:c r="E284" s="2" t="str">
        <x:v>2025-04-01</x:v>
      </x:c>
      <x:c r="F284" s="2" t="str">
        <x:v>Recent trend</x:v>
      </x:c>
      <x:c r="G284" s="2" t="n">
        <x:v>16</x:v>
      </x:c>
      <x:c r="H284" s="7" t="n">
        <x:v>-1.6011825318370596</x:v>
      </x:c>
      <x:c r="I284" s="7" t="n">
        <x:v>0.078763160307073</x:v>
      </x:c>
      <x:c r="J284" s="7" t="n">
        <x:v>1.6668798016860498</x:v>
      </x:c>
      <x:c r="K284" s="7" t="n">
        <x:f>H284+I284*J284</x:f>
        <x:v>-1.4698938108042392</x:v>
      </x:c>
      <x:c r="L284" s="7" t="n">
        <x:v>0</x:v>
      </x:c>
      <x:c r="M284" s="7" t="n">
        <x:f>K284-L284</x:f>
        <x:v>-1.4698938108042392</x:v>
      </x:c>
      <x:c r="N284" s="7" t="n">
        <x:f>M284^2</x:f>
        <x:v>2.1605878150406084</x:v>
      </x:c>
      <x:c r="O284" s="7" t="n">
        <x:v>4</x:v>
      </x:c>
      <x:c r="P284" s="7" t="n">
        <x:v>-0.25</x:v>
      </x:c>
      <x:c r="Q284" s="7" t="n">
        <x:v>2.799610454764556</x:v>
      </x:c>
      <x:c r="R284" s="7" t="n">
        <x:f>H284+I284*Q284</x:f>
        <x:v>-1.3806763647910814</x:v>
      </x:c>
      <x:c r="S284" s="7" t="n">
        <x:f>R284-L284</x:f>
        <x:v>-1.3806763647910814</x:v>
      </x:c>
      <x:c r="T284" s="7" t="n">
        <x:f>K284-R284</x:f>
        <x:v>-0.08921744601315784</x:v>
      </x:c>
      <x:c r="U284" s="7" t="n">
        <x:f>M284-S284-T284</x:f>
        <x:v>0</x:v>
      </x:c>
    </x:row>
    <x:row r="285" ht="27" customHeight="1">
      <x:c r="A285" s="2"/>
      <x:c r="B285" s="2" t="str">
        <x:v>Beauty | organic_volume_growth | PCENDC96</x:v>
      </x:c>
      <x:c r="C285" s="2" t="str">
        <x:v>2025-06-30</x:v>
      </x:c>
      <x:c r="D285" s="2" t="str">
        <x:v>Origin</x:v>
      </x:c>
      <x:c r="E285" s="2" t="str">
        <x:v>2025-04-01</x:v>
      </x:c>
      <x:c r="F285" s="2" t="str">
        <x:v>Recent trend</x:v>
      </x:c>
      <x:c r="G285" s="2" t="n">
        <x:v>16</x:v>
      </x:c>
      <x:c r="H285" s="7" t="n">
        <x:v>-0.8560321226887075</x:v>
      </x:c>
      <x:c r="I285" s="7" t="n">
        <x:v>0.2110375405336471</x:v>
      </x:c>
      <x:c r="J285" s="7" t="n">
        <x:v>1.6668798016860498</x:v>
      </x:c>
      <x:c r="K285" s="7" t="n">
        <x:f>H285+I285*J285</x:f>
        <x:v>-0.5042579089756702</x:v>
      </x:c>
      <x:c r="L285" s="7" t="n">
        <x:v>1</x:v>
      </x:c>
      <x:c r="M285" s="7" t="n">
        <x:f>K285-L285</x:f>
        <x:v>-1.5042579089756702</x:v>
      </x:c>
      <x:c r="N285" s="7" t="n">
        <x:f>M285^2</x:f>
        <x:v>2.262791856715856</x:v>
      </x:c>
      <x:c r="O285" s="7" t="n">
        <x:v>0</x:v>
      </x:c>
      <x:c r="P285" s="7" t="n">
        <x:v>0.5</x:v>
      </x:c>
      <x:c r="Q285" s="7" t="n">
        <x:v>2.799610454764556</x:v>
      </x:c>
      <x:c r="R285" s="7" t="n">
        <x:f>H285+I285*Q285</x:f>
        <x:v>-0.2652092178629103</x:v>
      </x:c>
      <x:c r="S285" s="7" t="n">
        <x:f>R285-L285</x:f>
        <x:v>-1.2652092178629104</x:v>
      </x:c>
      <x:c r="T285" s="7" t="n">
        <x:f>K285-R285</x:f>
        <x:v>-0.23904869111275995</x:v>
      </x:c>
      <x:c r="U285" s="7" t="n">
        <x:f>M285-S285-T285</x:f>
        <x:v>1.1102230246251565e-16</x:v>
      </x:c>
    </x:row>
    <x:row r="286" ht="27" customHeight="1">
      <x:c r="A286" s="2"/>
      <x:c r="B286" s="2" t="str">
        <x:v>Fabric &amp; Home Care | organic_volume_growth | PCENDC96</x:v>
      </x:c>
      <x:c r="C286" s="2" t="str">
        <x:v>2025-06-30</x:v>
      </x:c>
      <x:c r="D286" s="2" t="str">
        <x:v>Origin</x:v>
      </x:c>
      <x:c r="E286" s="2" t="str">
        <x:v>2025-04-01</x:v>
      </x:c>
      <x:c r="F286" s="2" t="str">
        <x:v>Recent trend</x:v>
      </x:c>
      <x:c r="G286" s="2" t="n">
        <x:v>8</x:v>
      </x:c>
      <x:c r="H286" s="7" t="n">
        <x:v>-2.8840934270602387</x:v>
      </x:c>
      <x:c r="I286" s="7" t="n">
        <x:v>2.2392737124125786</x:v>
      </x:c>
      <x:c r="J286" s="7" t="n">
        <x:v>1.6668798016860498</x:v>
      </x:c>
      <x:c r="K286" s="7" t="n">
        <x:f>H286+I286*J286</x:f>
        <x:v>0.8485066946068245</x:v>
      </x:c>
      <x:c r="L286" s="7" t="n">
        <x:v>0</x:v>
      </x:c>
      <x:c r="M286" s="7" t="n">
        <x:f>K286-L286</x:f>
        <x:v>0.8485066946068245</x:v>
      </x:c>
      <x:c r="N286" s="7" t="n">
        <x:f>M286^2</x:f>
        <x:v>0.719963610792599</x:v>
      </x:c>
      <x:c r="O286" s="7" t="n">
        <x:v>2</x:v>
      </x:c>
      <x:c r="P286" s="7" t="n">
        <x:v>1.75</x:v>
      </x:c>
      <x:c r="Q286" s="7" t="n">
        <x:v>2.799610454764556</x:v>
      </x:c>
      <x:c r="R286" s="7" t="n">
        <x:f>H286+I286*Q286</x:f>
        <x:v>3.3850006692894565</x:v>
      </x:c>
      <x:c r="S286" s="7" t="n">
        <x:f>R286-L286</x:f>
        <x:v>3.3850006692894565</x:v>
      </x:c>
      <x:c r="T286" s="7" t="n">
        <x:f>K286-R286</x:f>
        <x:v>-2.536493974682632</x:v>
      </x:c>
      <x:c r="U286" s="7" t="n">
        <x:f>M286-S286-T286</x:f>
        <x:v>0</x:v>
      </x:c>
    </x:row>
    <x:row r="287" ht="27" customHeight="1">
      <x:c r="A287" s="2"/>
      <x:c r="B287" s="2" t="str">
        <x:v>Baby, Feminine &amp; Family Care | organic_volume_growth | PCENDC96</x:v>
      </x:c>
      <x:c r="C287" s="2" t="str">
        <x:v>2025-06-30</x:v>
      </x:c>
      <x:c r="D287" s="2" t="str">
        <x:v>One month</x:v>
      </x:c>
      <x:c r="E287" s="2" t="str">
        <x:v>2025-05-30</x:v>
      </x:c>
      <x:c r="F287" s="2" t="str">
        <x:v>YoY carry</x:v>
      </x:c>
      <x:c r="G287" s="2" t="n">
        <x:v>13</x:v>
      </x:c>
      <x:c r="H287" s="7" t="n">
        <x:v>-2.4748937456328104</x:v>
      </x:c>
      <x:c r="I287" s="7" t="n">
        <x:v>0.9255678727953373</x:v>
      </x:c>
      <x:c r="J287" s="7" t="n">
        <x:v>3.164169292812802</x:v>
      </x:c>
      <x:c r="K287" s="7" t="n">
        <x:f>H287+I287*J287</x:f>
        <x:v>0.4537596958802612</x:v>
      </x:c>
      <x:c r="L287" s="7" t="n">
        <x:v>0</x:v>
      </x:c>
      <x:c r="M287" s="7" t="n">
        <x:f>K287-L287</x:f>
        <x:v>0.4537596958802612</x:v>
      </x:c>
      <x:c r="N287" s="7" t="n">
        <x:f>M287^2</x:f>
        <x:v>0.20589786160534715</x:v>
      </x:c>
      <x:c r="O287" s="7" t="n">
        <x:v>-2</x:v>
      </x:c>
      <x:c r="P287" s="7" t="n">
        <x:v>0</x:v>
      </x:c>
      <x:c r="Q287" s="7" t="n">
        <x:v>2.799610454764556</x:v>
      </x:c>
      <x:c r="R287" s="7" t="n">
        <x:f>H287+I287*Q287</x:f>
        <x:v>0.1163357476392064</x:v>
      </x:c>
      <x:c r="S287" s="7" t="n">
        <x:f>R287-L287</x:f>
        <x:v>0.1163357476392064</x:v>
      </x:c>
      <x:c r="T287" s="7" t="n">
        <x:f>K287-R287</x:f>
        <x:v>0.3374239482410548</x:v>
      </x:c>
      <x:c r="U287" s="7" t="n">
        <x:f>M287-S287-T287</x:f>
        <x:v>0</x:v>
      </x:c>
    </x:row>
    <x:row r="288" ht="27" customHeight="1">
      <x:c r="A288" s="2"/>
      <x:c r="B288" s="2" t="str">
        <x:v>Beauty | organic_volume_growth | PCENDC96</x:v>
      </x:c>
      <x:c r="C288" s="2" t="str">
        <x:v>2025-06-30</x:v>
      </x:c>
      <x:c r="D288" s="2" t="str">
        <x:v>One month</x:v>
      </x:c>
      <x:c r="E288" s="2" t="str">
        <x:v>2025-05-30</x:v>
      </x:c>
      <x:c r="F288" s="2" t="str">
        <x:v>YoY carry</x:v>
      </x:c>
      <x:c r="G288" s="2" t="n">
        <x:v>13</x:v>
      </x:c>
      <x:c r="H288" s="7" t="n">
        <x:v>-1.1359071858735408</x:v>
      </x:c>
      <x:c r="I288" s="7" t="n">
        <x:v>0.5456886697740604</x:v>
      </x:c>
      <x:c r="J288" s="7" t="n">
        <x:v>3.164169292812802</x:v>
      </x:c>
      <x:c r="K288" s="7" t="n">
        <x:f>H288+I288*J288</x:f>
        <x:v>0.5907441464614065</x:v>
      </x:c>
      <x:c r="L288" s="7" t="n">
        <x:v>1</x:v>
      </x:c>
      <x:c r="M288" s="7" t="n">
        <x:f>K288-L288</x:f>
        <x:v>-0.4092558535385935</x:v>
      </x:c>
      <x:c r="N288" s="7" t="n">
        <x:f>M288^2</x:f>
        <x:v>0.1674903536556027</x:v>
      </x:c>
      <x:c r="O288" s="7" t="n">
        <x:v>1</x:v>
      </x:c>
      <x:c r="P288" s="7" t="n">
        <x:v>0.5</x:v>
      </x:c>
      <x:c r="Q288" s="7" t="n">
        <x:v>2.799610454764556</x:v>
      </x:c>
      <x:c r="R288" s="7" t="n">
        <x:f>H288+I288*Q288</x:f>
        <x:v>0.39180851907248204</x:v>
      </x:c>
      <x:c r="S288" s="7" t="n">
        <x:f>R288-L288</x:f>
        <x:v>-0.608191480927518</x:v>
      </x:c>
      <x:c r="T288" s="7" t="n">
        <x:f>K288-R288</x:f>
        <x:v>0.19893562738892445</x:v>
      </x:c>
      <x:c r="U288" s="7" t="n">
        <x:f>M288-S288-T288</x:f>
        <x:v>0</x:v>
      </x:c>
    </x:row>
    <x:row r="289" ht="27" customHeight="1">
      <x:c r="A289" s="2"/>
      <x:c r="B289" s="2" t="str">
        <x:v>Fabric &amp; Home Care | organic_volume_growth | PCENDC96</x:v>
      </x:c>
      <x:c r="C289" s="2" t="str">
        <x:v>2025-06-30</x:v>
      </x:c>
      <x:c r="D289" s="2" t="str">
        <x:v>One month</x:v>
      </x:c>
      <x:c r="E289" s="2" t="str">
        <x:v>2025-05-30</x:v>
      </x:c>
      <x:c r="F289" s="2" t="str">
        <x:v>YoY carry</x:v>
      </x:c>
      <x:c r="G289" s="2" t="n">
        <x:v>8</x:v>
      </x:c>
      <x:c r="H289" s="7" t="n">
        <x:v>-0.9276688782993148</x:v>
      </x:c>
      <x:c r="I289" s="7" t="n">
        <x:v>0.9641694559247915</x:v>
      </x:c>
      <x:c r="J289" s="7" t="n">
        <x:v>3.164169292812802</x:v>
      </x:c>
      <x:c r="K289" s="7" t="n">
        <x:f>H289+I289*J289</x:f>
        <x:v>2.123126507205937</x:v>
      </x:c>
      <x:c r="L289" s="7" t="n">
        <x:v>0</x:v>
      </x:c>
      <x:c r="M289" s="7" t="n">
        <x:f>K289-L289</x:f>
        <x:v>2.123126507205937</x:v>
      </x:c>
      <x:c r="N289" s="7" t="n">
        <x:f>M289^2</x:f>
        <x:v>4.507666165600481</x:v>
      </x:c>
      <x:c r="O289" s="7" t="n">
        <x:v>0</x:v>
      </x:c>
      <x:c r="P289" s="7" t="n">
        <x:v>1.5</x:v>
      </x:c>
      <x:c r="Q289" s="7" t="n">
        <x:v>2.799610454764556</x:v>
      </x:c>
      <x:c r="R289" s="7" t="n">
        <x:f>H289+I289*Q289</x:f>
        <x:v>1.7716300106723857</x:v>
      </x:c>
      <x:c r="S289" s="7" t="n">
        <x:f>R289-L289</x:f>
        <x:v>1.7716300106723857</x:v>
      </x:c>
      <x:c r="T289" s="7" t="n">
        <x:f>K289-R289</x:f>
        <x:v>0.3514964965335512</x:v>
      </x:c>
      <x:c r="U289" s="7" t="n">
        <x:f>M289-S289-T289</x:f>
        <x:v>0</x:v>
      </x:c>
    </x:row>
    <x:row r="290" ht="27" customHeight="1">
      <x:c r="A290" s="2"/>
      <x:c r="B290" s="2" t="str">
        <x:v>Baby, Feminine &amp; Family Care | organic_volume_growth | PCENDC96</x:v>
      </x:c>
      <x:c r="C290" s="2" t="str">
        <x:v>2025-06-30</x:v>
      </x:c>
      <x:c r="D290" s="2" t="str">
        <x:v>One month</x:v>
      </x:c>
      <x:c r="E290" s="2" t="str">
        <x:v>2025-05-30</x:v>
      </x:c>
      <x:c r="F290" s="2" t="str">
        <x:v>Flat level</x:v>
      </x:c>
      <x:c r="G290" s="2" t="n">
        <x:v>13</x:v>
      </x:c>
      <x:c r="H290" s="7" t="n">
        <x:v>-2.4748937456328104</x:v>
      </x:c>
      <x:c r="I290" s="7" t="n">
        <x:v>0.9255678727953373</x:v>
      </x:c>
      <x:c r="J290" s="7" t="n">
        <x:v>2.87535536165735</x:v>
      </x:c>
      <x:c r="K290" s="7" t="n">
        <x:f>H290+I290*J290</x:f>
        <x:v>0.18644279998705082</x:v>
      </x:c>
      <x:c r="L290" s="7" t="n">
        <x:v>0</x:v>
      </x:c>
      <x:c r="M290" s="7" t="n">
        <x:f>K290-L290</x:f>
        <x:v>0.18644279998705082</x:v>
      </x:c>
      <x:c r="N290" s="7" t="n">
        <x:f>M290^2</x:f>
        <x:v>0.03476091766701144</x:v>
      </x:c>
      <x:c r="O290" s="7" t="n">
        <x:v>-2</x:v>
      </x:c>
      <x:c r="P290" s="7" t="n">
        <x:v>0</x:v>
      </x:c>
      <x:c r="Q290" s="7" t="n">
        <x:v>2.799610454764556</x:v>
      </x:c>
      <x:c r="R290" s="7" t="n">
        <x:f>H290+I290*Q290</x:f>
        <x:v>0.1163357476392064</x:v>
      </x:c>
      <x:c r="S290" s="7" t="n">
        <x:f>R290-L290</x:f>
        <x:v>0.1163357476392064</x:v>
      </x:c>
      <x:c r="T290" s="7" t="n">
        <x:f>K290-R290</x:f>
        <x:v>0.07010705234784442</x:v>
      </x:c>
      <x:c r="U290" s="7" t="n">
        <x:f>M290-S290-T290</x:f>
        <x:v>0</x:v>
      </x:c>
    </x:row>
    <x:row r="291" ht="27" customHeight="1">
      <x:c r="A291" s="2"/>
      <x:c r="B291" s="2" t="str">
        <x:v>Beauty | organic_volume_growth | PCENDC96</x:v>
      </x:c>
      <x:c r="C291" s="2" t="str">
        <x:v>2025-06-30</x:v>
      </x:c>
      <x:c r="D291" s="2" t="str">
        <x:v>One month</x:v>
      </x:c>
      <x:c r="E291" s="2" t="str">
        <x:v>2025-05-30</x:v>
      </x:c>
      <x:c r="F291" s="2" t="str">
        <x:v>Flat level</x:v>
      </x:c>
      <x:c r="G291" s="2" t="n">
        <x:v>13</x:v>
      </x:c>
      <x:c r="H291" s="7" t="n">
        <x:v>-1.1359071858735408</x:v>
      </x:c>
      <x:c r="I291" s="7" t="n">
        <x:v>0.5456886697740604</x:v>
      </x:c>
      <x:c r="J291" s="7" t="n">
        <x:v>2.87535536165735</x:v>
      </x:c>
      <x:c r="K291" s="7" t="n">
        <x:f>H291+I291*J291</x:f>
        <x:v>0.433141656556971</x:v>
      </x:c>
      <x:c r="L291" s="7" t="n">
        <x:v>1</x:v>
      </x:c>
      <x:c r="M291" s="7" t="n">
        <x:f>K291-L291</x:f>
        <x:v>-0.566858343443029</x:v>
      </x:c>
      <x:c r="N291" s="7" t="n">
        <x:f>M291^2</x:f>
        <x:v>0.321328381530975</x:v>
      </x:c>
      <x:c r="O291" s="7" t="n">
        <x:v>1</x:v>
      </x:c>
      <x:c r="P291" s="7" t="n">
        <x:v>0.5</x:v>
      </x:c>
      <x:c r="Q291" s="7" t="n">
        <x:v>2.799610454764556</x:v>
      </x:c>
      <x:c r="R291" s="7" t="n">
        <x:f>H291+I291*Q291</x:f>
        <x:v>0.39180851907248204</x:v>
      </x:c>
      <x:c r="S291" s="7" t="n">
        <x:f>R291-L291</x:f>
        <x:v>-0.608191480927518</x:v>
      </x:c>
      <x:c r="T291" s="7" t="n">
        <x:f>K291-R291</x:f>
        <x:v>0.04133313748448897</x:v>
      </x:c>
      <x:c r="U291" s="7" t="n">
        <x:f>M291-S291-T291</x:f>
        <x:v>0</x:v>
      </x:c>
    </x:row>
    <x:row r="292" ht="27" customHeight="1">
      <x:c r="A292" s="2"/>
      <x:c r="B292" s="2" t="str">
        <x:v>Fabric &amp; Home Care | organic_volume_growth | PCENDC96</x:v>
      </x:c>
      <x:c r="C292" s="2" t="str">
        <x:v>2025-06-30</x:v>
      </x:c>
      <x:c r="D292" s="2" t="str">
        <x:v>One month</x:v>
      </x:c>
      <x:c r="E292" s="2" t="str">
        <x:v>2025-05-30</x:v>
      </x:c>
      <x:c r="F292" s="2" t="str">
        <x:v>Flat level</x:v>
      </x:c>
      <x:c r="G292" s="2" t="n">
        <x:v>8</x:v>
      </x:c>
      <x:c r="H292" s="7" t="n">
        <x:v>-0.9276688782993148</x:v>
      </x:c>
      <x:c r="I292" s="7" t="n">
        <x:v>0.9641694559247915</x:v>
      </x:c>
      <x:c r="J292" s="7" t="n">
        <x:v>2.87535536165735</x:v>
      </x:c>
      <x:c r="K292" s="7" t="n">
        <x:f>H292+I292*J292</x:f>
        <x:v>1.8446609363402846</x:v>
      </x:c>
      <x:c r="L292" s="7" t="n">
        <x:v>0</x:v>
      </x:c>
      <x:c r="M292" s="7" t="n">
        <x:f>K292-L292</x:f>
        <x:v>1.8446609363402846</x:v>
      </x:c>
      <x:c r="N292" s="7" t="n">
        <x:f>M292^2</x:f>
        <x:v>3.4027739700598154</x:v>
      </x:c>
      <x:c r="O292" s="7" t="n">
        <x:v>0</x:v>
      </x:c>
      <x:c r="P292" s="7" t="n">
        <x:v>1.5</x:v>
      </x:c>
      <x:c r="Q292" s="7" t="n">
        <x:v>2.799610454764556</x:v>
      </x:c>
      <x:c r="R292" s="7" t="n">
        <x:f>H292+I292*Q292</x:f>
        <x:v>1.7716300106723857</x:v>
      </x:c>
      <x:c r="S292" s="7" t="n">
        <x:f>R292-L292</x:f>
        <x:v>1.7716300106723857</x:v>
      </x:c>
      <x:c r="T292" s="7" t="n">
        <x:f>K292-R292</x:f>
        <x:v>0.07303092566789893</x:v>
      </x:c>
      <x:c r="U292" s="7" t="n">
        <x:f>M292-S292-T292</x:f>
        <x:v>0</x:v>
      </x:c>
    </x:row>
    <x:row r="293" ht="27" customHeight="1">
      <x:c r="A293" s="2"/>
      <x:c r="B293" s="2" t="str">
        <x:v>Baby, Feminine &amp; Family Care | organic_volume_growth | PCENDC96</x:v>
      </x:c>
      <x:c r="C293" s="2" t="str">
        <x:v>2025-06-30</x:v>
      </x:c>
      <x:c r="D293" s="2" t="str">
        <x:v>One month</x:v>
      </x:c>
      <x:c r="E293" s="2" t="str">
        <x:v>2025-05-30</x:v>
      </x:c>
      <x:c r="F293" s="2" t="str">
        <x:v>Recent trend</x:v>
      </x:c>
      <x:c r="G293" s="2" t="n">
        <x:v>13</x:v>
      </x:c>
      <x:c r="H293" s="7" t="n">
        <x:v>-2.4748937456328104</x:v>
      </x:c>
      <x:c r="I293" s="7" t="n">
        <x:v>0.9255678727953373</x:v>
      </x:c>
      <x:c r="J293" s="7" t="n">
        <x:v>3.076030179918754</x:v>
      </x:c>
      <x:c r="K293" s="7" t="n">
        <x:f>H293+I293*J293</x:f>
        <x:v>0.3721809646488494</x:v>
      </x:c>
      <x:c r="L293" s="7" t="n">
        <x:v>0</x:v>
      </x:c>
      <x:c r="M293" s="7" t="n">
        <x:f>K293-L293</x:f>
        <x:v>0.3721809646488494</x:v>
      </x:c>
      <x:c r="N293" s="7" t="n">
        <x:f>M293^2</x:f>
        <x:v>0.1385186704469481</x:v>
      </x:c>
      <x:c r="O293" s="7" t="n">
        <x:v>-2</x:v>
      </x:c>
      <x:c r="P293" s="7" t="n">
        <x:v>0</x:v>
      </x:c>
      <x:c r="Q293" s="7" t="n">
        <x:v>2.799610454764556</x:v>
      </x:c>
      <x:c r="R293" s="7" t="n">
        <x:f>H293+I293*Q293</x:f>
        <x:v>0.1163357476392064</x:v>
      </x:c>
      <x:c r="S293" s="7" t="n">
        <x:f>R293-L293</x:f>
        <x:v>0.1163357476392064</x:v>
      </x:c>
      <x:c r="T293" s="7" t="n">
        <x:f>K293-R293</x:f>
        <x:v>0.255845217009643</x:v>
      </x:c>
      <x:c r="U293" s="7" t="n">
        <x:f>M293-S293-T293</x:f>
        <x:v>0</x:v>
      </x:c>
    </x:row>
    <x:row r="294" ht="27" customHeight="1">
      <x:c r="A294" s="2"/>
      <x:c r="B294" s="2" t="str">
        <x:v>Beauty | organic_volume_growth | PCENDC96</x:v>
      </x:c>
      <x:c r="C294" s="2" t="str">
        <x:v>2025-06-30</x:v>
      </x:c>
      <x:c r="D294" s="2" t="str">
        <x:v>One month</x:v>
      </x:c>
      <x:c r="E294" s="2" t="str">
        <x:v>2025-05-30</x:v>
      </x:c>
      <x:c r="F294" s="2" t="str">
        <x:v>Recent trend</x:v>
      </x:c>
      <x:c r="G294" s="2" t="n">
        <x:v>13</x:v>
      </x:c>
      <x:c r="H294" s="7" t="n">
        <x:v>-1.1359071858735408</x:v>
      </x:c>
      <x:c r="I294" s="7" t="n">
        <x:v>0.5456886697740604</x:v>
      </x:c>
      <x:c r="J294" s="7" t="n">
        <x:v>3.076030179918754</x:v>
      </x:c>
      <x:c r="K294" s="7" t="n">
        <x:f>H294+I294*J294</x:f>
        <x:v>0.5426476311911876</x:v>
      </x:c>
      <x:c r="L294" s="7" t="n">
        <x:v>1</x:v>
      </x:c>
      <x:c r="M294" s="7" t="n">
        <x:f>K294-L294</x:f>
        <x:v>-0.45735236880881236</x:v>
      </x:c>
      <x:c r="N294" s="7" t="n">
        <x:f>M294^2</x:f>
        <x:v>0.20917118925503192</x:v>
      </x:c>
      <x:c r="O294" s="7" t="n">
        <x:v>1</x:v>
      </x:c>
      <x:c r="P294" s="7" t="n">
        <x:v>0.5</x:v>
      </x:c>
      <x:c r="Q294" s="7" t="n">
        <x:v>2.799610454764556</x:v>
      </x:c>
      <x:c r="R294" s="7" t="n">
        <x:f>H294+I294*Q294</x:f>
        <x:v>0.39180851907248204</x:v>
      </x:c>
      <x:c r="S294" s="7" t="n">
        <x:f>R294-L294</x:f>
        <x:v>-0.608191480927518</x:v>
      </x:c>
      <x:c r="T294" s="7" t="n">
        <x:f>K294-R294</x:f>
        <x:v>0.1508391121187056</x:v>
      </x:c>
      <x:c r="U294" s="7" t="n">
        <x:f>M294-S294-T294</x:f>
        <x:v>0</x:v>
      </x:c>
    </x:row>
    <x:row r="295" ht="27" customHeight="1">
      <x:c r="A295" s="2"/>
      <x:c r="B295" s="2" t="str">
        <x:v>Fabric &amp; Home Care | organic_volume_growth | PCENDC96</x:v>
      </x:c>
      <x:c r="C295" s="2" t="str">
        <x:v>2025-06-30</x:v>
      </x:c>
      <x:c r="D295" s="2" t="str">
        <x:v>One month</x:v>
      </x:c>
      <x:c r="E295" s="2" t="str">
        <x:v>2025-05-30</x:v>
      </x:c>
      <x:c r="F295" s="2" t="str">
        <x:v>Recent trend</x:v>
      </x:c>
      <x:c r="G295" s="2" t="n">
        <x:v>8</x:v>
      </x:c>
      <x:c r="H295" s="7" t="n">
        <x:v>-0.9276688782993148</x:v>
      </x:c>
      <x:c r="I295" s="7" t="n">
        <x:v>0.9641694559247915</x:v>
      </x:c>
      <x:c r="J295" s="7" t="n">
        <x:v>3.076030179918754</x:v>
      </x:c>
      <x:c r="K295" s="7" t="n">
        <x:f>H295+I295*J295</x:f>
        <x:v>2.038145466681189</x:v>
      </x:c>
      <x:c r="L295" s="7" t="n">
        <x:v>0</x:v>
      </x:c>
      <x:c r="M295" s="7" t="n">
        <x:f>K295-L295</x:f>
        <x:v>2.038145466681189</x:v>
      </x:c>
      <x:c r="N295" s="7" t="n">
        <x:f>M295^2</x:f>
        <x:v>4.1540369433530815</x:v>
      </x:c>
      <x:c r="O295" s="7" t="n">
        <x:v>0</x:v>
      </x:c>
      <x:c r="P295" s="7" t="n">
        <x:v>1.5</x:v>
      </x:c>
      <x:c r="Q295" s="7" t="n">
        <x:v>2.799610454764556</x:v>
      </x:c>
      <x:c r="R295" s="7" t="n">
        <x:f>H295+I295*Q295</x:f>
        <x:v>1.7716300106723857</x:v>
      </x:c>
      <x:c r="S295" s="7" t="n">
        <x:f>R295-L295</x:f>
        <x:v>1.7716300106723857</x:v>
      </x:c>
      <x:c r="T295" s="7" t="n">
        <x:f>K295-R295</x:f>
        <x:v>0.2665154560088032</x:v>
      </x:c>
      <x:c r="U295" s="7" t="n">
        <x:f>M295-S295-T295</x:f>
        <x:v>0</x:v>
      </x:c>
    </x:row>
    <x:row r="296" ht="27" customHeight="1">
      <x:c r="A296" s="2"/>
      <x:c r="B296" s="2" t="str">
        <x:v>Baby, Feminine &amp; Family Care | organic_volume_growth | PCENDC96</x:v>
      </x:c>
      <x:c r="C296" s="2" t="str">
        <x:v>2025-06-30</x:v>
      </x:c>
      <x:c r="D296" s="2" t="str">
        <x:v>Two months</x:v>
      </x:c>
      <x:c r="E296" s="2" t="str">
        <x:v>2025-06-27</x:v>
      </x:c>
      <x:c r="F296" s="2" t="str">
        <x:v>YoY carry</x:v>
      </x:c>
      <x:c r="G296" s="2" t="n">
        <x:v>13</x:v>
      </x:c>
      <x:c r="H296" s="7" t="n">
        <x:v>-2.4761062293851994</x:v>
      </x:c>
      <x:c r="I296" s="7" t="n">
        <x:v>0.9277699235219593</x:v>
      </x:c>
      <x:c r="J296" s="7" t="n">
        <x:v>2.8539910458909246</x:v>
      </x:c>
      <x:c r="K296" s="7" t="n">
        <x:f>H296+I296*J296</x:f>
        <x:v>0.1717408249933805</x:v>
      </x:c>
      <x:c r="L296" s="7" t="n">
        <x:v>0</x:v>
      </x:c>
      <x:c r="M296" s="7" t="n">
        <x:f>K296-L296</x:f>
        <x:v>0.1717408249933805</x:v>
      </x:c>
      <x:c r="N296" s="7" t="n">
        <x:f>M296^2</x:f>
        <x:v>0.02949491096940695</x:v>
      </x:c>
      <x:c r="O296" s="7" t="n">
        <x:v>-2</x:v>
      </x:c>
      <x:c r="P296" s="7" t="n">
        <x:v>0</x:v>
      </x:c>
      <x:c r="Q296" s="7" t="n">
        <x:v>2.8015778549435932</x:v>
      </x:c>
      <x:c r="R296" s="7" t="n">
        <x:f>H296+I296*Q296</x:f>
        <x:v>0.12311344283663272</x:v>
      </x:c>
      <x:c r="S296" s="7" t="n">
        <x:f>R296-L296</x:f>
        <x:v>0.12311344283663272</x:v>
      </x:c>
      <x:c r="T296" s="7" t="n">
        <x:f>K296-R296</x:f>
        <x:v>0.04862738215674778</x:v>
      </x:c>
      <x:c r="U296" s="7" t="n">
        <x:f>M296-S296-T296</x:f>
        <x:v>0</x:v>
      </x:c>
    </x:row>
    <x:row r="297" ht="27" customHeight="1">
      <x:c r="A297" s="2"/>
      <x:c r="B297" s="2" t="str">
        <x:v>Beauty | organic_volume_growth | PCENDC96</x:v>
      </x:c>
      <x:c r="C297" s="2" t="str">
        <x:v>2025-06-30</x:v>
      </x:c>
      <x:c r="D297" s="2" t="str">
        <x:v>Two months</x:v>
      </x:c>
      <x:c r="E297" s="2" t="str">
        <x:v>2025-06-27</x:v>
      </x:c>
      <x:c r="F297" s="2" t="str">
        <x:v>YoY carry</x:v>
      </x:c>
      <x:c r="G297" s="2" t="n">
        <x:v>13</x:v>
      </x:c>
      <x:c r="H297" s="7" t="n">
        <x:v>-1.1354582985941697</x:v>
      </x:c>
      <x:c r="I297" s="7" t="n">
        <x:v>0.5459227624258393</x:v>
      </x:c>
      <x:c r="J297" s="7" t="n">
        <x:v>2.8539910458909246</x:v>
      </x:c>
      <x:c r="K297" s="7" t="n">
        <x:f>H297+I297*J297</x:f>
        <x:v>0.422600377117214</x:v>
      </x:c>
      <x:c r="L297" s="7" t="n">
        <x:v>1</x:v>
      </x:c>
      <x:c r="M297" s="7" t="n">
        <x:f>K297-L297</x:f>
        <x:v>-0.577399622882786</x:v>
      </x:c>
      <x:c r="N297" s="7" t="n">
        <x:f>M297^2</x:f>
        <x:v>0.3333903245051835</x:v>
      </x:c>
      <x:c r="O297" s="7" t="n">
        <x:v>1</x:v>
      </x:c>
      <x:c r="P297" s="7" t="n">
        <x:v>0.5</x:v>
      </x:c>
      <x:c r="Q297" s="7" t="n">
        <x:v>2.8015778549435932</x:v>
      </x:c>
      <x:c r="R297" s="7" t="n">
        <x:f>H297+I297*Q297</x:f>
        <x:v>0.39398682312769395</x:v>
      </x:c>
      <x:c r="S297" s="7" t="n">
        <x:f>R297-L297</x:f>
        <x:v>-0.606013176872306</x:v>
      </x:c>
      <x:c r="T297" s="7" t="n">
        <x:f>K297-R297</x:f>
        <x:v>0.028613553989520035</x:v>
      </x:c>
      <x:c r="U297" s="7" t="n">
        <x:f>M297-S297-T297</x:f>
        <x:v>0</x:v>
      </x:c>
    </x:row>
    <x:row r="298" ht="27" customHeight="1">
      <x:c r="A298" s="2"/>
      <x:c r="B298" s="2" t="str">
        <x:v>Fabric &amp; Home Care | organic_volume_growth | PCENDC96</x:v>
      </x:c>
      <x:c r="C298" s="2" t="str">
        <x:v>2025-06-30</x:v>
      </x:c>
      <x:c r="D298" s="2" t="str">
        <x:v>Two months</x:v>
      </x:c>
      <x:c r="E298" s="2" t="str">
        <x:v>2025-06-27</x:v>
      </x:c>
      <x:c r="F298" s="2" t="str">
        <x:v>YoY carry</x:v>
      </x:c>
      <x:c r="G298" s="2" t="n">
        <x:v>8</x:v>
      </x:c>
      <x:c r="H298" s="7" t="n">
        <x:v>-0.941194699681648</x:v>
      </x:c>
      <x:c r="I298" s="7" t="n">
        <x:v>0.9731167648315336</x:v>
      </x:c>
      <x:c r="J298" s="7" t="n">
        <x:v>2.8539910458909246</x:v>
      </x:c>
      <x:c r="K298" s="7" t="n">
        <x:f>H298+I298*J298</x:f>
        <x:v>1.8360718337538935</x:v>
      </x:c>
      <x:c r="L298" s="7" t="n">
        <x:v>0</x:v>
      </x:c>
      <x:c r="M298" s="7" t="n">
        <x:f>K298-L298</x:f>
        <x:v>1.8360718337538935</x:v>
      </x:c>
      <x:c r="N298" s="7" t="n">
        <x:f>M298^2</x:f>
        <x:v>3.371159778704385</x:v>
      </x:c>
      <x:c r="O298" s="7" t="n">
        <x:v>0</x:v>
      </x:c>
      <x:c r="P298" s="7" t="n">
        <x:v>1.5</x:v>
      </x:c>
      <x:c r="Q298" s="7" t="n">
        <x:v>2.8015778549435932</x:v>
      </x:c>
      <x:c r="R298" s="7" t="n">
        <x:f>H298+I298*Q298</x:f>
        <x:v>1.785067678944729</x:v>
      </x:c>
      <x:c r="S298" s="7" t="n">
        <x:f>R298-L298</x:f>
        <x:v>1.785067678944729</x:v>
      </x:c>
      <x:c r="T298" s="7" t="n">
        <x:f>K298-R298</x:f>
        <x:v>0.051004154809164426</x:v>
      </x:c>
      <x:c r="U298" s="7" t="n">
        <x:f>M298-S298-T298</x:f>
        <x:v>0</x:v>
      </x:c>
    </x:row>
    <x:row r="299" ht="27" customHeight="1">
      <x:c r="A299" s="2"/>
      <x:c r="B299" s="2" t="str">
        <x:v>Baby, Feminine &amp; Family Care | organic_volume_growth | PCENDC96</x:v>
      </x:c>
      <x:c r="C299" s="2" t="str">
        <x:v>2025-06-30</x:v>
      </x:c>
      <x:c r="D299" s="2" t="str">
        <x:v>Two months</x:v>
      </x:c>
      <x:c r="E299" s="2" t="str">
        <x:v>2025-06-27</x:v>
      </x:c>
      <x:c r="F299" s="2" t="str">
        <x:v>Flat level</x:v>
      </x:c>
      <x:c r="G299" s="2" t="n">
        <x:v>13</x:v>
      </x:c>
      <x:c r="H299" s="7" t="n">
        <x:v>-2.4761062293851994</x:v>
      </x:c>
      <x:c r="I299" s="7" t="n">
        <x:v>0.9277699235219593</x:v>
      </x:c>
      <x:c r="J299" s="7" t="n">
        <x:v>2.6884523446491615</x:v>
      </x:c>
      <x:c r="K299" s="7" t="n">
        <x:f>H299+I299*J299</x:f>
        <x:v>0.018158996802385197</x:v>
      </x:c>
      <x:c r="L299" s="7" t="n">
        <x:v>0</x:v>
      </x:c>
      <x:c r="M299" s="7" t="n">
        <x:f>K299-L299</x:f>
        <x:v>0.018158996802385197</x:v>
      </x:c>
      <x:c r="N299" s="7" t="n">
        <x:f>M299^2</x:f>
        <x:v>0.0003297491648690358</x:v>
      </x:c>
      <x:c r="O299" s="7" t="n">
        <x:v>-2</x:v>
      </x:c>
      <x:c r="P299" s="7" t="n">
        <x:v>0</x:v>
      </x:c>
      <x:c r="Q299" s="7" t="n">
        <x:v>2.8015778549435932</x:v>
      </x:c>
      <x:c r="R299" s="7" t="n">
        <x:f>H299+I299*Q299</x:f>
        <x:v>0.12311344283663272</x:v>
      </x:c>
      <x:c r="S299" s="7" t="n">
        <x:f>R299-L299</x:f>
        <x:v>0.12311344283663272</x:v>
      </x:c>
      <x:c r="T299" s="7" t="n">
        <x:f>K299-R299</x:f>
        <x:v>-0.10495444603424753</x:v>
      </x:c>
      <x:c r="U299" s="7" t="n">
        <x:f>M299-S299-T299</x:f>
        <x:v>0</x:v>
      </x:c>
    </x:row>
    <x:row r="300" ht="27" customHeight="1">
      <x:c r="A300" s="2"/>
      <x:c r="B300" s="2" t="str">
        <x:v>Beauty | organic_volume_growth | PCENDC96</x:v>
      </x:c>
      <x:c r="C300" s="2" t="str">
        <x:v>2025-06-30</x:v>
      </x:c>
      <x:c r="D300" s="2" t="str">
        <x:v>Two months</x:v>
      </x:c>
      <x:c r="E300" s="2" t="str">
        <x:v>2025-06-27</x:v>
      </x:c>
      <x:c r="F300" s="2" t="str">
        <x:v>Flat level</x:v>
      </x:c>
      <x:c r="G300" s="2" t="n">
        <x:v>13</x:v>
      </x:c>
      <x:c r="H300" s="7" t="n">
        <x:v>-1.1354582985941697</x:v>
      </x:c>
      <x:c r="I300" s="7" t="n">
        <x:v>0.5459227624258393</x:v>
      </x:c>
      <x:c r="J300" s="7" t="n">
        <x:v>2.6884523446491615</x:v>
      </x:c>
      <x:c r="K300" s="7" t="n">
        <x:f>H300+I300*J300</x:f>
        <x:v>0.332229032046925</x:v>
      </x:c>
      <x:c r="L300" s="7" t="n">
        <x:v>1</x:v>
      </x:c>
      <x:c r="M300" s="7" t="n">
        <x:f>K300-L300</x:f>
        <x:v>-0.667770967953075</x:v>
      </x:c>
      <x:c r="N300" s="7" t="n">
        <x:f>M300^2</x:f>
        <x:v>0.44591806564098674</x:v>
      </x:c>
      <x:c r="O300" s="7" t="n">
        <x:v>1</x:v>
      </x:c>
      <x:c r="P300" s="7" t="n">
        <x:v>0.5</x:v>
      </x:c>
      <x:c r="Q300" s="7" t="n">
        <x:v>2.8015778549435932</x:v>
      </x:c>
      <x:c r="R300" s="7" t="n">
        <x:f>H300+I300*Q300</x:f>
        <x:v>0.39398682312769395</x:v>
      </x:c>
      <x:c r="S300" s="7" t="n">
        <x:f>R300-L300</x:f>
        <x:v>-0.606013176872306</x:v>
      </x:c>
      <x:c r="T300" s="7" t="n">
        <x:f>K300-R300</x:f>
        <x:v>-0.06175779108076895</x:v>
      </x:c>
      <x:c r="U300" s="7" t="n">
        <x:f>M300-S300-T300</x:f>
        <x:v>0</x:v>
      </x:c>
    </x:row>
    <x:row r="301" ht="27" customHeight="1">
      <x:c r="A301" s="2"/>
      <x:c r="B301" s="2" t="str">
        <x:v>Fabric &amp; Home Care | organic_volume_growth | PCENDC96</x:v>
      </x:c>
      <x:c r="C301" s="2" t="str">
        <x:v>2025-06-30</x:v>
      </x:c>
      <x:c r="D301" s="2" t="str">
        <x:v>Two months</x:v>
      </x:c>
      <x:c r="E301" s="2" t="str">
        <x:v>2025-06-27</x:v>
      </x:c>
      <x:c r="F301" s="2" t="str">
        <x:v>Flat level</x:v>
      </x:c>
      <x:c r="G301" s="2" t="n">
        <x:v>8</x:v>
      </x:c>
      <x:c r="H301" s="7" t="n">
        <x:v>-0.941194699681648</x:v>
      </x:c>
      <x:c r="I301" s="7" t="n">
        <x:v>0.9731167648315336</x:v>
      </x:c>
      <x:c r="J301" s="7" t="n">
        <x:v>2.6884523446491615</x:v>
      </x:c>
      <x:c r="K301" s="7" t="n">
        <x:f>H301+I301*J301</x:f>
        <x:v>1.6749833483470953</x:v>
      </x:c>
      <x:c r="L301" s="7" t="n">
        <x:v>0</x:v>
      </x:c>
      <x:c r="M301" s="7" t="n">
        <x:f>K301-L301</x:f>
        <x:v>1.6749833483470953</x:v>
      </x:c>
      <x:c r="N301" s="7" t="n">
        <x:f>M301^2</x:f>
        <x:v>2.8055692172400466</x:v>
      </x:c>
      <x:c r="O301" s="7" t="n">
        <x:v>0</x:v>
      </x:c>
      <x:c r="P301" s="7" t="n">
        <x:v>1.5</x:v>
      </x:c>
      <x:c r="Q301" s="7" t="n">
        <x:v>2.8015778549435932</x:v>
      </x:c>
      <x:c r="R301" s="7" t="n">
        <x:f>H301+I301*Q301</x:f>
        <x:v>1.785067678944729</x:v>
      </x:c>
      <x:c r="S301" s="7" t="n">
        <x:f>R301-L301</x:f>
        <x:v>1.785067678944729</x:v>
      </x:c>
      <x:c r="T301" s="7" t="n">
        <x:f>K301-R301</x:f>
        <x:v>-0.11008433059763378</x:v>
      </x:c>
      <x:c r="U301" s="7" t="n">
        <x:f>M301-S301-T301</x:f>
        <x:v>0</x:v>
      </x:c>
    </x:row>
    <x:row r="302" ht="27" customHeight="1">
      <x:c r="A302" s="2"/>
      <x:c r="B302" s="2" t="str">
        <x:v>Baby, Feminine &amp; Family Care | organic_volume_growth | PCENDC96</x:v>
      </x:c>
      <x:c r="C302" s="2" t="str">
        <x:v>2025-06-30</x:v>
      </x:c>
      <x:c r="D302" s="2" t="str">
        <x:v>Two months</x:v>
      </x:c>
      <x:c r="E302" s="2" t="str">
        <x:v>2025-06-27</x:v>
      </x:c>
      <x:c r="F302" s="2" t="str">
        <x:v>Recent trend</x:v>
      </x:c>
      <x:c r="G302" s="2" t="n">
        <x:v>13</x:v>
      </x:c>
      <x:c r="H302" s="7" t="n">
        <x:v>-2.4761062293851994</x:v>
      </x:c>
      <x:c r="I302" s="7" t="n">
        <x:v>0.9277699235219593</x:v>
      </x:c>
      <x:c r="J302" s="7" t="n">
        <x:v>2.655006541605598</x:v>
      </x:c>
      <x:c r="K302" s="7" t="n">
        <x:f>H302+I302*J302</x:f>
        <x:v>-0.01287101332947227</x:v>
      </x:c>
      <x:c r="L302" s="7" t="n">
        <x:v>0</x:v>
      </x:c>
      <x:c r="M302" s="7" t="n">
        <x:f>K302-L302</x:f>
        <x:v>-0.01287101332947227</x:v>
      </x:c>
      <x:c r="N302" s="7" t="n">
        <x:f>M302^2</x:f>
        <x:v>0.00016566298412745283</x:v>
      </x:c>
      <x:c r="O302" s="7" t="n">
        <x:v>-2</x:v>
      </x:c>
      <x:c r="P302" s="7" t="n">
        <x:v>0</x:v>
      </x:c>
      <x:c r="Q302" s="7" t="n">
        <x:v>2.8015778549435932</x:v>
      </x:c>
      <x:c r="R302" s="7" t="n">
        <x:f>H302+I302*Q302</x:f>
        <x:v>0.12311344283663272</x:v>
      </x:c>
      <x:c r="S302" s="7" t="n">
        <x:f>R302-L302</x:f>
        <x:v>0.12311344283663272</x:v>
      </x:c>
      <x:c r="T302" s="7" t="n">
        <x:f>K302-R302</x:f>
        <x:v>-0.135984456166105</x:v>
      </x:c>
      <x:c r="U302" s="7" t="n">
        <x:f>M302-S302-T302</x:f>
        <x:v>0</x:v>
      </x:c>
    </x:row>
    <x:row r="303" ht="27" customHeight="1">
      <x:c r="A303" s="2"/>
      <x:c r="B303" s="2" t="str">
        <x:v>Beauty | organic_volume_growth | PCENDC96</x:v>
      </x:c>
      <x:c r="C303" s="2" t="str">
        <x:v>2025-06-30</x:v>
      </x:c>
      <x:c r="D303" s="2" t="str">
        <x:v>Two months</x:v>
      </x:c>
      <x:c r="E303" s="2" t="str">
        <x:v>2025-06-27</x:v>
      </x:c>
      <x:c r="F303" s="2" t="str">
        <x:v>Recent trend</x:v>
      </x:c>
      <x:c r="G303" s="2" t="n">
        <x:v>13</x:v>
      </x:c>
      <x:c r="H303" s="7" t="n">
        <x:v>-1.1354582985941697</x:v>
      </x:c>
      <x:c r="I303" s="7" t="n">
        <x:v>0.5459227624258393</x:v>
      </x:c>
      <x:c r="J303" s="7" t="n">
        <x:v>2.655006541605598</x:v>
      </x:c>
      <x:c r="K303" s="7" t="n">
        <x:f>H303+I303*J303</x:f>
        <x:v>0.3139702068578323</x:v>
      </x:c>
      <x:c r="L303" s="7" t="n">
        <x:v>1</x:v>
      </x:c>
      <x:c r="M303" s="7" t="n">
        <x:f>K303-L303</x:f>
        <x:v>-0.6860297931421677</x:v>
      </x:c>
      <x:c r="N303" s="7" t="n">
        <x:f>M303^2</x:f>
        <x:v>0.47063687707868546</x:v>
      </x:c>
      <x:c r="O303" s="7" t="n">
        <x:v>1</x:v>
      </x:c>
      <x:c r="P303" s="7" t="n">
        <x:v>0.5</x:v>
      </x:c>
      <x:c r="Q303" s="7" t="n">
        <x:v>2.8015778549435932</x:v>
      </x:c>
      <x:c r="R303" s="7" t="n">
        <x:f>H303+I303*Q303</x:f>
        <x:v>0.39398682312769395</x:v>
      </x:c>
      <x:c r="S303" s="7" t="n">
        <x:f>R303-L303</x:f>
        <x:v>-0.606013176872306</x:v>
      </x:c>
      <x:c r="T303" s="7" t="n">
        <x:f>K303-R303</x:f>
        <x:v>-0.08001661626986167</x:v>
      </x:c>
      <x:c r="U303" s="7" t="n">
        <x:f>M303-S303-T303</x:f>
        <x:v>0</x:v>
      </x:c>
    </x:row>
    <x:row r="304" ht="27" customHeight="1">
      <x:c r="A304" s="2"/>
      <x:c r="B304" s="2" t="str">
        <x:v>Fabric &amp; Home Care | organic_volume_growth | PCENDC96</x:v>
      </x:c>
      <x:c r="C304" s="2" t="str">
        <x:v>2025-06-30</x:v>
      </x:c>
      <x:c r="D304" s="2" t="str">
        <x:v>Two months</x:v>
      </x:c>
      <x:c r="E304" s="2" t="str">
        <x:v>2025-06-27</x:v>
      </x:c>
      <x:c r="F304" s="2" t="str">
        <x:v>Recent trend</x:v>
      </x:c>
      <x:c r="G304" s="2" t="n">
        <x:v>8</x:v>
      </x:c>
      <x:c r="H304" s="7" t="n">
        <x:v>-0.941194699681648</x:v>
      </x:c>
      <x:c r="I304" s="7" t="n">
        <x:v>0.9731167648315336</x:v>
      </x:c>
      <x:c r="J304" s="7" t="n">
        <x:v>2.655006541605598</x:v>
      </x:c>
      <x:c r="K304" s="7" t="n">
        <x:f>H304+I304*J304</x:f>
        <x:v>1.6424366766921499</x:v>
      </x:c>
      <x:c r="L304" s="7" t="n">
        <x:v>0</x:v>
      </x:c>
      <x:c r="M304" s="7" t="n">
        <x:f>K304-L304</x:f>
        <x:v>1.6424366766921499</x:v>
      </x:c>
      <x:c r="N304" s="7" t="n">
        <x:f>M304^2</x:f>
        <x:v>2.697598236943554</x:v>
      </x:c>
      <x:c r="O304" s="7" t="n">
        <x:v>0</x:v>
      </x:c>
      <x:c r="P304" s="7" t="n">
        <x:v>1.5</x:v>
      </x:c>
      <x:c r="Q304" s="7" t="n">
        <x:v>2.8015778549435932</x:v>
      </x:c>
      <x:c r="R304" s="7" t="n">
        <x:f>H304+I304*Q304</x:f>
        <x:v>1.785067678944729</x:v>
      </x:c>
      <x:c r="S304" s="7" t="n">
        <x:f>R304-L304</x:f>
        <x:v>1.785067678944729</x:v>
      </x:c>
      <x:c r="T304" s="7" t="n">
        <x:f>K304-R304</x:f>
        <x:v>-0.1426310022525792</x:v>
      </x:c>
      <x:c r="U304" s="7" t="n">
        <x:f>M304-S304-T304</x:f>
        <x:v>0</x:v>
      </x:c>
    </x:row>
    <x:row r="305" ht="27" customHeight="1">
      <x:c r="A305" s="2"/>
      <x:c r="B305" s="2" t="str">
        <x:v>Baby, Feminine &amp; Family Care | organic_volume_growth | PCENDC96</x:v>
      </x:c>
      <x:c r="C305" s="2" t="str">
        <x:v>2025-06-30</x:v>
      </x:c>
      <x:c r="D305" s="2" t="str">
        <x:v>Pre-earnings</x:v>
      </x:c>
      <x:c r="E305" s="2" t="str">
        <x:v>2025-07-28</x:v>
      </x:c>
      <x:c r="F305" s="2" t="str">
        <x:v>YoY carry</x:v>
      </x:c>
      <x:c r="G305" s="2" t="n">
        <x:v>17</x:v>
      </x:c>
      <x:c r="H305" s="7" t="n">
        <x:v>-1.6379521275411333</x:v>
      </x:c>
      <x:c r="I305" s="7" t="n">
        <x:v>0.07876832669396253</x:v>
      </x:c>
      <x:c r="J305" s="7" t="n">
        <x:v>2.8539910458909246</x:v>
      </x:c>
      <x:c r="K305" s="7" t="n">
        <x:f>H305+I305*J305</x:f>
        <x:v>-1.413148028456753</x:v>
      </x:c>
      <x:c r="L305" s="7" t="n">
        <x:v>0</x:v>
      </x:c>
      <x:c r="M305" s="7" t="n">
        <x:f>K305-L305</x:f>
        <x:v>-1.413148028456753</x:v>
      </x:c>
      <x:c r="N305" s="7" t="n">
        <x:f>M305^2</x:f>
        <x:v>1.996987350331208</x:v>
      </x:c>
      <x:c r="O305" s="7" t="n">
        <x:v>-2</x:v>
      </x:c>
      <x:c r="P305" s="7" t="n">
        <x:v>0</x:v>
      </x:c>
      <x:c r="Q305" s="7" t="n">
        <x:v>2.8015778549435932</x:v>
      </x:c>
      <x:c r="R305" s="7" t="n">
        <x:f>H305+I305*Q305</x:f>
        <x:v>-1.4172765278043655</x:v>
      </x:c>
      <x:c r="S305" s="7" t="n">
        <x:f>R305-L305</x:f>
        <x:v>-1.4172765278043655</x:v>
      </x:c>
      <x:c r="T305" s="7" t="n">
        <x:f>K305-R305</x:f>
        <x:v>0.004128499347612502</x:v>
      </x:c>
      <x:c r="U305" s="7" t="n">
        <x:f>M305-S305-T305</x:f>
        <x:v>0</x:v>
      </x:c>
    </x:row>
    <x:row r="306" ht="27" customHeight="1">
      <x:c r="A306" s="2"/>
      <x:c r="B306" s="2" t="str">
        <x:v>Beauty | organic_volume_growth | PCENDC96</x:v>
      </x:c>
      <x:c r="C306" s="2" t="str">
        <x:v>2025-06-30</x:v>
      </x:c>
      <x:c r="D306" s="2" t="str">
        <x:v>Pre-earnings</x:v>
      </x:c>
      <x:c r="E306" s="2" t="str">
        <x:v>2025-07-28</x:v>
      </x:c>
      <x:c r="F306" s="2" t="str">
        <x:v>YoY carry</x:v>
      </x:c>
      <x:c r="G306" s="2" t="n">
        <x:v>17</x:v>
      </x:c>
      <x:c r="H306" s="7" t="n">
        <x:v>-0.7824463724972401</x:v>
      </x:c>
      <x:c r="I306" s="7" t="n">
        <x:v>0.2110272012180314</x:v>
      </x:c>
      <x:c r="J306" s="7" t="n">
        <x:v>2.8539910458909246</x:v>
      </x:c>
      <x:c r="K306" s="7" t="n">
        <x:f>H306+I306*J306</x:f>
        <x:v>-0.18017662978155613</x:v>
      </x:c>
      <x:c r="L306" s="7" t="n">
        <x:v>1</x:v>
      </x:c>
      <x:c r="M306" s="7" t="n">
        <x:f>K306-L306</x:f>
        <x:v>-1.1801766297815561</x:v>
      </x:c>
      <x:c r="N306" s="7" t="n">
        <x:f>M306^2</x:f>
        <x:v>1.3928168774825522</x:v>
      </x:c>
      <x:c r="O306" s="7" t="n">
        <x:v>1</x:v>
      </x:c>
      <x:c r="P306" s="7" t="n">
        <x:v>0.5</x:v>
      </x:c>
      <x:c r="Q306" s="7" t="n">
        <x:v>2.8015778549435932</x:v>
      </x:c>
      <x:c r="R306" s="7" t="n">
        <x:f>H306+I306*Q306</x:f>
        <x:v>-0.19123723877407772</x:v>
      </x:c>
      <x:c r="S306" s="7" t="n">
        <x:f>R306-L306</x:f>
        <x:v>-1.1912372387740777</x:v>
      </x:c>
      <x:c r="T306" s="7" t="n">
        <x:f>K306-R306</x:f>
        <x:v>0.011060608992521592</x:v>
      </x:c>
      <x:c r="U306" s="7" t="n">
        <x:f>M306-S306-T306</x:f>
        <x:v>0</x:v>
      </x:c>
    </x:row>
    <x:row r="307" ht="27" customHeight="1">
      <x:c r="A307" s="2"/>
      <x:c r="B307" s="2" t="str">
        <x:v>Fabric &amp; Home Care | organic_volume_growth | PCENDC96</x:v>
      </x:c>
      <x:c r="C307" s="2" t="str">
        <x:v>2025-06-30</x:v>
      </x:c>
      <x:c r="D307" s="2" t="str">
        <x:v>Pre-earnings</x:v>
      </x:c>
      <x:c r="E307" s="2" t="str">
        <x:v>2025-07-28</x:v>
      </x:c>
      <x:c r="F307" s="2" t="str">
        <x:v>YoY carry</x:v>
      </x:c>
      <x:c r="G307" s="2" t="n">
        <x:v>8</x:v>
      </x:c>
      <x:c r="H307" s="7" t="n">
        <x:v>-0.941194699681648</x:v>
      </x:c>
      <x:c r="I307" s="7" t="n">
        <x:v>0.9731167648315336</x:v>
      </x:c>
      <x:c r="J307" s="7" t="n">
        <x:v>2.8539910458909246</x:v>
      </x:c>
      <x:c r="K307" s="7" t="n">
        <x:f>H307+I307*J307</x:f>
        <x:v>1.8360718337538935</x:v>
      </x:c>
      <x:c r="L307" s="7" t="n">
        <x:v>0</x:v>
      </x:c>
      <x:c r="M307" s="7" t="n">
        <x:f>K307-L307</x:f>
        <x:v>1.8360718337538935</x:v>
      </x:c>
      <x:c r="N307" s="7" t="n">
        <x:f>M307^2</x:f>
        <x:v>3.371159778704385</x:v>
      </x:c>
      <x:c r="O307" s="7" t="n">
        <x:v>0</x:v>
      </x:c>
      <x:c r="P307" s="7" t="n">
        <x:v>1.5</x:v>
      </x:c>
      <x:c r="Q307" s="7" t="n">
        <x:v>2.8015778549435932</x:v>
      </x:c>
      <x:c r="R307" s="7" t="n">
        <x:f>H307+I307*Q307</x:f>
        <x:v>1.785067678944729</x:v>
      </x:c>
      <x:c r="S307" s="7" t="n">
        <x:f>R307-L307</x:f>
        <x:v>1.785067678944729</x:v>
      </x:c>
      <x:c r="T307" s="7" t="n">
        <x:f>K307-R307</x:f>
        <x:v>0.051004154809164426</x:v>
      </x:c>
      <x:c r="U307" s="7" t="n">
        <x:f>M307-S307-T307</x:f>
        <x:v>0</x:v>
      </x:c>
    </x:row>
    <x:row r="308" ht="27" customHeight="1">
      <x:c r="A308" s="2"/>
      <x:c r="B308" s="2" t="str">
        <x:v>Baby, Feminine &amp; Family Care | organic_volume_growth | PCENDC96</x:v>
      </x:c>
      <x:c r="C308" s="2" t="str">
        <x:v>2025-06-30</x:v>
      </x:c>
      <x:c r="D308" s="2" t="str">
        <x:v>Pre-earnings</x:v>
      </x:c>
      <x:c r="E308" s="2" t="str">
        <x:v>2025-07-28</x:v>
      </x:c>
      <x:c r="F308" s="2" t="str">
        <x:v>Flat level</x:v>
      </x:c>
      <x:c r="G308" s="2" t="n">
        <x:v>17</x:v>
      </x:c>
      <x:c r="H308" s="7" t="n">
        <x:v>-1.6379521275411333</x:v>
      </x:c>
      <x:c r="I308" s="7" t="n">
        <x:v>0.07876832669396253</x:v>
      </x:c>
      <x:c r="J308" s="7" t="n">
        <x:v>2.6884523446491615</x:v>
      </x:c>
      <x:c r="K308" s="7" t="n">
        <x:f>H308+I308*J308</x:f>
        <x:v>-1.4261872349566587</x:v>
      </x:c>
      <x:c r="L308" s="7" t="n">
        <x:v>0</x:v>
      </x:c>
      <x:c r="M308" s="7" t="n">
        <x:f>K308-L308</x:f>
        <x:v>-1.4261872349566587</x:v>
      </x:c>
      <x:c r="N308" s="7" t="n">
        <x:f>M308^2</x:f>
        <x:v>2.0340100291533196</x:v>
      </x:c>
      <x:c r="O308" s="7" t="n">
        <x:v>-2</x:v>
      </x:c>
      <x:c r="P308" s="7" t="n">
        <x:v>0</x:v>
      </x:c>
      <x:c r="Q308" s="7" t="n">
        <x:v>2.8015778549435932</x:v>
      </x:c>
      <x:c r="R308" s="7" t="n">
        <x:f>H308+I308*Q308</x:f>
        <x:v>-1.4172765278043655</x:v>
      </x:c>
      <x:c r="S308" s="7" t="n">
        <x:f>R308-L308</x:f>
        <x:v>-1.4172765278043655</x:v>
      </x:c>
      <x:c r="T308" s="7" t="n">
        <x:f>K308-R308</x:f>
        <x:v>-0.00891070715229314</x:v>
      </x:c>
      <x:c r="U308" s="7" t="n">
        <x:f>M308-S308-T308</x:f>
        <x:v>0</x:v>
      </x:c>
    </x:row>
    <x:row r="309" ht="27" customHeight="1">
      <x:c r="A309" s="2"/>
      <x:c r="B309" s="2" t="str">
        <x:v>Beauty | organic_volume_growth | PCENDC96</x:v>
      </x:c>
      <x:c r="C309" s="2" t="str">
        <x:v>2025-06-30</x:v>
      </x:c>
      <x:c r="D309" s="2" t="str">
        <x:v>Pre-earnings</x:v>
      </x:c>
      <x:c r="E309" s="2" t="str">
        <x:v>2025-07-28</x:v>
      </x:c>
      <x:c r="F309" s="2" t="str">
        <x:v>Flat level</x:v>
      </x:c>
      <x:c r="G309" s="2" t="n">
        <x:v>17</x:v>
      </x:c>
      <x:c r="H309" s="7" t="n">
        <x:v>-0.7824463724972401</x:v>
      </x:c>
      <x:c r="I309" s="7" t="n">
        <x:v>0.2110272012180314</x:v>
      </x:c>
      <x:c r="J309" s="7" t="n">
        <x:v>2.6884523446491615</x:v>
      </x:c>
      <x:c r="K309" s="7" t="n">
        <x:f>H309+I309*J309</x:f>
        <x:v>-0.21510979859787327</x:v>
      </x:c>
      <x:c r="L309" s="7" t="n">
        <x:v>1</x:v>
      </x:c>
      <x:c r="M309" s="7" t="n">
        <x:f>K309-L309</x:f>
        <x:v>-1.2151097985978732</x:v>
      </x:c>
      <x:c r="N309" s="7" t="n">
        <x:f>M309^2</x:f>
        <x:v>1.476491822648564</x:v>
      </x:c>
      <x:c r="O309" s="7" t="n">
        <x:v>1</x:v>
      </x:c>
      <x:c r="P309" s="7" t="n">
        <x:v>0.5</x:v>
      </x:c>
      <x:c r="Q309" s="7" t="n">
        <x:v>2.8015778549435932</x:v>
      </x:c>
      <x:c r="R309" s="7" t="n">
        <x:f>H309+I309*Q309</x:f>
        <x:v>-0.19123723877407772</x:v>
      </x:c>
      <x:c r="S309" s="7" t="n">
        <x:f>R309-L309</x:f>
        <x:v>-1.1912372387740777</x:v>
      </x:c>
      <x:c r="T309" s="7" t="n">
        <x:f>K309-R309</x:f>
        <x:v>-0.023872559823795547</x:v>
      </x:c>
      <x:c r="U309" s="7" t="n">
        <x:f>M309-S309-T309</x:f>
        <x:v>1.1102230246251565e-16</x:v>
      </x:c>
    </x:row>
    <x:row r="310" ht="27" customHeight="1">
      <x:c r="A310" s="2"/>
      <x:c r="B310" s="2" t="str">
        <x:v>Fabric &amp; Home Care | organic_volume_growth | PCENDC96</x:v>
      </x:c>
      <x:c r="C310" s="2" t="str">
        <x:v>2025-06-30</x:v>
      </x:c>
      <x:c r="D310" s="2" t="str">
        <x:v>Pre-earnings</x:v>
      </x:c>
      <x:c r="E310" s="2" t="str">
        <x:v>2025-07-28</x:v>
      </x:c>
      <x:c r="F310" s="2" t="str">
        <x:v>Flat level</x:v>
      </x:c>
      <x:c r="G310" s="2" t="n">
        <x:v>8</x:v>
      </x:c>
      <x:c r="H310" s="7" t="n">
        <x:v>-0.941194699681648</x:v>
      </x:c>
      <x:c r="I310" s="7" t="n">
        <x:v>0.9731167648315336</x:v>
      </x:c>
      <x:c r="J310" s="7" t="n">
        <x:v>2.6884523446491615</x:v>
      </x:c>
      <x:c r="K310" s="7" t="n">
        <x:f>H310+I310*J310</x:f>
        <x:v>1.6749833483470953</x:v>
      </x:c>
      <x:c r="L310" s="7" t="n">
        <x:v>0</x:v>
      </x:c>
      <x:c r="M310" s="7" t="n">
        <x:f>K310-L310</x:f>
        <x:v>1.6749833483470953</x:v>
      </x:c>
      <x:c r="N310" s="7" t="n">
        <x:f>M310^2</x:f>
        <x:v>2.8055692172400466</x:v>
      </x:c>
      <x:c r="O310" s="7" t="n">
        <x:v>0</x:v>
      </x:c>
      <x:c r="P310" s="7" t="n">
        <x:v>1.5</x:v>
      </x:c>
      <x:c r="Q310" s="7" t="n">
        <x:v>2.8015778549435932</x:v>
      </x:c>
      <x:c r="R310" s="7" t="n">
        <x:f>H310+I310*Q310</x:f>
        <x:v>1.785067678944729</x:v>
      </x:c>
      <x:c r="S310" s="7" t="n">
        <x:f>R310-L310</x:f>
        <x:v>1.785067678944729</x:v>
      </x:c>
      <x:c r="T310" s="7" t="n">
        <x:f>K310-R310</x:f>
        <x:v>-0.11008433059763378</x:v>
      </x:c>
      <x:c r="U310" s="7" t="n">
        <x:f>M310-S310-T310</x:f>
        <x:v>0</x:v>
      </x:c>
    </x:row>
    <x:row r="311" ht="27" customHeight="1">
      <x:c r="A311" s="2"/>
      <x:c r="B311" s="2" t="str">
        <x:v>Baby, Feminine &amp; Family Care | organic_volume_growth | PCENDC96</x:v>
      </x:c>
      <x:c r="C311" s="2" t="str">
        <x:v>2025-06-30</x:v>
      </x:c>
      <x:c r="D311" s="2" t="str">
        <x:v>Pre-earnings</x:v>
      </x:c>
      <x:c r="E311" s="2" t="str">
        <x:v>2025-07-28</x:v>
      </x:c>
      <x:c r="F311" s="2" t="str">
        <x:v>Recent trend</x:v>
      </x:c>
      <x:c r="G311" s="2" t="n">
        <x:v>17</x:v>
      </x:c>
      <x:c r="H311" s="7" t="n">
        <x:v>-1.6379521275411333</x:v>
      </x:c>
      <x:c r="I311" s="7" t="n">
        <x:v>0.07876832669396253</x:v>
      </x:c>
      <x:c r="J311" s="7" t="n">
        <x:v>2.655006541605598</x:v>
      </x:c>
      <x:c r="K311" s="7" t="n">
        <x:f>H311+I311*J311</x:f>
        <x:v>-1.428821704897336</x:v>
      </x:c>
      <x:c r="L311" s="7" t="n">
        <x:v>0</x:v>
      </x:c>
      <x:c r="M311" s="7" t="n">
        <x:f>K311-L311</x:f>
        <x:v>-1.428821704897336</x:v>
      </x:c>
      <x:c r="N311" s="7" t="n">
        <x:f>M311^2</x:f>
        <x:v>2.04153146438573</x:v>
      </x:c>
      <x:c r="O311" s="7" t="n">
        <x:v>-2</x:v>
      </x:c>
      <x:c r="P311" s="7" t="n">
        <x:v>0</x:v>
      </x:c>
      <x:c r="Q311" s="7" t="n">
        <x:v>2.8015778549435932</x:v>
      </x:c>
      <x:c r="R311" s="7" t="n">
        <x:f>H311+I311*Q311</x:f>
        <x:v>-1.4172765278043655</x:v>
      </x:c>
      <x:c r="S311" s="7" t="n">
        <x:f>R311-L311</x:f>
        <x:v>-1.4172765278043655</x:v>
      </x:c>
      <x:c r="T311" s="7" t="n">
        <x:f>K311-R311</x:f>
        <x:v>-0.011545177092970427</x:v>
      </x:c>
      <x:c r="U311" s="7" t="n">
        <x:f>M311-S311-T311</x:f>
        <x:v>0</x:v>
      </x:c>
    </x:row>
    <x:row r="312" ht="27" customHeight="1">
      <x:c r="A312" s="2"/>
      <x:c r="B312" s="2" t="str">
        <x:v>Beauty | organic_volume_growth | PCENDC96</x:v>
      </x:c>
      <x:c r="C312" s="2" t="str">
        <x:v>2025-06-30</x:v>
      </x:c>
      <x:c r="D312" s="2" t="str">
        <x:v>Pre-earnings</x:v>
      </x:c>
      <x:c r="E312" s="2" t="str">
        <x:v>2025-07-28</x:v>
      </x:c>
      <x:c r="F312" s="2" t="str">
        <x:v>Recent trend</x:v>
      </x:c>
      <x:c r="G312" s="2" t="n">
        <x:v>17</x:v>
      </x:c>
      <x:c r="H312" s="7" t="n">
        <x:v>-0.7824463724972401</x:v>
      </x:c>
      <x:c r="I312" s="7" t="n">
        <x:v>0.2110272012180314</x:v>
      </x:c>
      <x:c r="J312" s="7" t="n">
        <x:v>2.655006541605598</x:v>
      </x:c>
      <x:c r="K312" s="7" t="n">
        <x:f>H312+I312*J312</x:f>
        <x:v>-0.222167772806646</x:v>
      </x:c>
      <x:c r="L312" s="7" t="n">
        <x:v>1</x:v>
      </x:c>
      <x:c r="M312" s="7" t="n">
        <x:f>K312-L312</x:f>
        <x:v>-1.222167772806646</x:v>
      </x:c>
      <x:c r="N312" s="7" t="n">
        <x:f>M312^2</x:f>
        <x:v>1.4936940648871575</x:v>
      </x:c>
      <x:c r="O312" s="7" t="n">
        <x:v>1</x:v>
      </x:c>
      <x:c r="P312" s="7" t="n">
        <x:v>0.5</x:v>
      </x:c>
      <x:c r="Q312" s="7" t="n">
        <x:v>2.8015778549435932</x:v>
      </x:c>
      <x:c r="R312" s="7" t="n">
        <x:f>H312+I312*Q312</x:f>
        <x:v>-0.19123723877407772</x:v>
      </x:c>
      <x:c r="S312" s="7" t="n">
        <x:f>R312-L312</x:f>
        <x:v>-1.1912372387740777</x:v>
      </x:c>
      <x:c r="T312" s="7" t="n">
        <x:f>K312-R312</x:f>
        <x:v>-0.03093053403256829</x:v>
      </x:c>
      <x:c r="U312" s="7" t="n">
        <x:f>M312-S312-T312</x:f>
        <x:v>0</x:v>
      </x:c>
    </x:row>
    <x:row r="313" ht="27" customHeight="1">
      <x:c r="A313" s="2"/>
      <x:c r="B313" s="2" t="str">
        <x:v>Fabric &amp; Home Care | organic_volume_growth | PCENDC96</x:v>
      </x:c>
      <x:c r="C313" s="2" t="str">
        <x:v>2025-06-30</x:v>
      </x:c>
      <x:c r="D313" s="2" t="str">
        <x:v>Pre-earnings</x:v>
      </x:c>
      <x:c r="E313" s="2" t="str">
        <x:v>2025-07-28</x:v>
      </x:c>
      <x:c r="F313" s="2" t="str">
        <x:v>Recent trend</x:v>
      </x:c>
      <x:c r="G313" s="2" t="n">
        <x:v>8</x:v>
      </x:c>
      <x:c r="H313" s="7" t="n">
        <x:v>-0.941194699681648</x:v>
      </x:c>
      <x:c r="I313" s="7" t="n">
        <x:v>0.9731167648315336</x:v>
      </x:c>
      <x:c r="J313" s="7" t="n">
        <x:v>2.655006541605598</x:v>
      </x:c>
      <x:c r="K313" s="7" t="n">
        <x:f>H313+I313*J313</x:f>
        <x:v>1.6424366766921499</x:v>
      </x:c>
      <x:c r="L313" s="7" t="n">
        <x:v>0</x:v>
      </x:c>
      <x:c r="M313" s="7" t="n">
        <x:f>K313-L313</x:f>
        <x:v>1.6424366766921499</x:v>
      </x:c>
      <x:c r="N313" s="7" t="n">
        <x:f>M313^2</x:f>
        <x:v>2.697598236943554</x:v>
      </x:c>
      <x:c r="O313" s="7" t="n">
        <x:v>0</x:v>
      </x:c>
      <x:c r="P313" s="7" t="n">
        <x:v>1.5</x:v>
      </x:c>
      <x:c r="Q313" s="7" t="n">
        <x:v>2.8015778549435932</x:v>
      </x:c>
      <x:c r="R313" s="7" t="n">
        <x:f>H313+I313*Q313</x:f>
        <x:v>1.785067678944729</x:v>
      </x:c>
      <x:c r="S313" s="7" t="n">
        <x:f>R313-L313</x:f>
        <x:v>1.785067678944729</x:v>
      </x:c>
      <x:c r="T313" s="7" t="n">
        <x:f>K313-R313</x:f>
        <x:v>-0.1426310022525792</x:v>
      </x:c>
      <x:c r="U313" s="7" t="n">
        <x:f>M313-S313-T313</x:f>
        <x:v>0</x:v>
      </x:c>
    </x:row>
    <x:row r="314" ht="27" customHeight="1">
      <x:c r="A314" s="2"/>
      <x:c r="B314" s="2" t="str">
        <x:v>Baby, Feminine &amp; Family Care | organic_volume_growth | PCENDC96</x:v>
      </x:c>
      <x:c r="C314" s="2" t="str">
        <x:v>2025-09-30</x:v>
      </x:c>
      <x:c r="D314" s="2" t="str">
        <x:v>Origin</x:v>
      </x:c>
      <x:c r="E314" s="2" t="str">
        <x:v>2025-07-01</x:v>
      </x:c>
      <x:c r="F314" s="2" t="str">
        <x:v>YoY carry</x:v>
      </x:c>
      <x:c r="G314" s="2" t="n">
        <x:v>17</x:v>
      </x:c>
      <x:c r="H314" s="7" t="n">
        <x:v>-1.6379521275411333</x:v>
      </x:c>
      <x:c r="I314" s="7" t="n">
        <x:v>0.07876832669396253</x:v>
      </x:c>
      <x:c r="J314" s="7" t="n">
        <x:v>2.8115539262481226</x:v>
      </x:c>
      <x:c r="K314" s="7" t="n">
        <x:f>H314+I314*J314</x:f>
        <x:v>-1.416490729360728</x:v>
      </x:c>
      <x:c r="L314" s="7" t="n">
        <x:v>0</x:v>
      </x:c>
      <x:c r="M314" s="7" t="n">
        <x:f>K314-L314</x:f>
        <x:v>-1.416490729360728</x:v>
      </x:c>
      <x:c r="N314" s="7" t="n">
        <x:f>M314^2</x:f>
        <x:v>2.0064459863648874</x:v>
      </x:c>
      <x:c r="O314" s="7" t="n">
        <x:v>-2</x:v>
      </x:c>
      <x:c r="P314" s="7" t="n">
        <x:v>0</x:v>
      </x:c>
      <x:c r="Q314" s="7" t="n">
        <x:v>3.0853630067698923</x:v>
      </x:c>
      <x:c r="R314" s="7" t="n">
        <x:f>H314+I314*Q314</x:f>
        <x:v>-1.3949232462544159</x:v>
      </x:c>
      <x:c r="S314" s="7" t="n">
        <x:f>R314-L314</x:f>
        <x:v>-1.3949232462544159</x:v>
      </x:c>
      <x:c r="T314" s="7" t="n">
        <x:f>K314-R314</x:f>
        <x:v>-0.02156748310631218</x:v>
      </x:c>
      <x:c r="U314" s="7" t="n">
        <x:f>M314-S314-T314</x:f>
        <x:v>0</x:v>
      </x:c>
    </x:row>
    <x:row r="315" ht="27" customHeight="1">
      <x:c r="A315" s="2"/>
      <x:c r="B315" s="2" t="str">
        <x:v>Beauty | organic_volume_growth | PCENDC96</x:v>
      </x:c>
      <x:c r="C315" s="2" t="str">
        <x:v>2025-09-30</x:v>
      </x:c>
      <x:c r="D315" s="2" t="str">
        <x:v>Origin</x:v>
      </x:c>
      <x:c r="E315" s="2" t="str">
        <x:v>2025-07-01</x:v>
      </x:c>
      <x:c r="F315" s="2" t="str">
        <x:v>YoY carry</x:v>
      </x:c>
      <x:c r="G315" s="2" t="n">
        <x:v>17</x:v>
      </x:c>
      <x:c r="H315" s="7" t="n">
        <x:v>-0.7824463724972401</x:v>
      </x:c>
      <x:c r="I315" s="7" t="n">
        <x:v>0.2110272012180314</x:v>
      </x:c>
      <x:c r="J315" s="7" t="n">
        <x:v>2.8115539262481226</x:v>
      </x:c>
      <x:c r="K315" s="7" t="n">
        <x:f>H315+I315*J315</x:f>
        <x:v>-0.1891320163675314</x:v>
      </x:c>
      <x:c r="L315" s="7" t="n">
        <x:v>4</x:v>
      </x:c>
      <x:c r="M315" s="7" t="n">
        <x:f>K315-L315</x:f>
        <x:v>-4.189132016367531</x:v>
      </x:c>
      <x:c r="N315" s="7" t="n">
        <x:f>M315^2</x:f>
        <x:v>17.5488270505555</x:v>
      </x:c>
      <x:c r="O315" s="7" t="n">
        <x:v>1</x:v>
      </x:c>
      <x:c r="P315" s="7" t="n">
        <x:v>0.5</x:v>
      </x:c>
      <x:c r="Q315" s="7" t="n">
        <x:v>3.0853630067698923</x:v>
      </x:c>
      <x:c r="R315" s="7" t="n">
        <x:f>H315+I315*Q315</x:f>
        <x:v>-0.13135085243693967</x:v>
      </x:c>
      <x:c r="S315" s="7" t="n">
        <x:f>R315-L315</x:f>
        <x:v>-4.13135085243694</x:v>
      </x:c>
      <x:c r="T315" s="7" t="n">
        <x:f>K315-R315</x:f>
        <x:v>-0.05778116393059174</x:v>
      </x:c>
      <x:c r="U315" s="7" t="n">
        <x:f>M315-S315-T315</x:f>
        <x:v>5.551115123125783e-16</x:v>
      </x:c>
    </x:row>
    <x:row r="316" ht="27" customHeight="1">
      <x:c r="A316" s="2"/>
      <x:c r="B316" s="2" t="str">
        <x:v>Fabric &amp; Home Care | organic_volume_growth | PCENDC96</x:v>
      </x:c>
      <x:c r="C316" s="2" t="str">
        <x:v>2025-09-30</x:v>
      </x:c>
      <x:c r="D316" s="2" t="str">
        <x:v>Origin</x:v>
      </x:c>
      <x:c r="E316" s="2" t="str">
        <x:v>2025-07-01</x:v>
      </x:c>
      <x:c r="F316" s="2" t="str">
        <x:v>YoY carry</x:v>
      </x:c>
      <x:c r="G316" s="2" t="n">
        <x:v>8</x:v>
      </x:c>
      <x:c r="H316" s="7" t="n">
        <x:v>-0.941194699681648</x:v>
      </x:c>
      <x:c r="I316" s="7" t="n">
        <x:v>0.9731167648315336</x:v>
      </x:c>
      <x:c r="J316" s="7" t="n">
        <x:v>2.8115539262481226</x:v>
      </x:c>
      <x:c r="K316" s="7" t="n">
        <x:f>H316+I316*J316</x:f>
        <x:v>1.7947755611783216</x:v>
      </x:c>
      <x:c r="L316" s="7" t="n">
        <x:v>-2</x:v>
      </x:c>
      <x:c r="M316" s="7" t="n">
        <x:f>K316-L316</x:f>
        <x:v>3.7947755611783216</x:v>
      </x:c>
      <x:c r="N316" s="7" t="n">
        <x:f>M316^2</x:f>
        <x:v>14.400321559716245</x:v>
      </x:c>
      <x:c r="O316" s="7" t="n">
        <x:v>0</x:v>
      </x:c>
      <x:c r="P316" s="7" t="n">
        <x:v>1.5</x:v>
      </x:c>
      <x:c r="Q316" s="7" t="n">
        <x:v>3.0853630067698923</x:v>
      </x:c>
      <x:c r="R316" s="7" t="n">
        <x:f>H316+I316*Q316</x:f>
        <x:v>2.0612237677971628</x:v>
      </x:c>
      <x:c r="S316" s="7" t="n">
        <x:f>R316-L316</x:f>
        <x:v>4.061223767797163</x:v>
      </x:c>
      <x:c r="T316" s="7" t="n">
        <x:f>K316-R316</x:f>
        <x:v>-0.26644820661884117</x:v>
      </x:c>
      <x:c r="U316" s="7" t="n">
        <x:f>M316-S316-T316</x:f>
        <x:v>0</x:v>
      </x:c>
    </x:row>
    <x:row r="317" ht="27" customHeight="1">
      <x:c r="A317" s="2"/>
      <x:c r="B317" s="2" t="str">
        <x:v>Baby, Feminine &amp; Family Care | organic_volume_growth | PCENDC96</x:v>
      </x:c>
      <x:c r="C317" s="2" t="str">
        <x:v>2025-09-30</x:v>
      </x:c>
      <x:c r="D317" s="2" t="str">
        <x:v>Origin</x:v>
      </x:c>
      <x:c r="E317" s="2" t="str">
        <x:v>2025-07-01</x:v>
      </x:c>
      <x:c r="F317" s="2" t="str">
        <x:v>Flat level</x:v>
      </x:c>
      <x:c r="G317" s="2" t="n">
        <x:v>17</x:v>
      </x:c>
      <x:c r="H317" s="7" t="n">
        <x:v>-1.6379521275411333</x:v>
      </x:c>
      <x:c r="I317" s="7" t="n">
        <x:v>0.07876832669396253</x:v>
      </x:c>
      <x:c r="J317" s="7" t="n">
        <x:v>1.4434674344409038</x:v>
      </x:c>
      <x:c r="K317" s="7" t="n">
        <x:f>H317+I317*J317</x:f>
        <x:v>-1.5242526130929963</x:v>
      </x:c>
      <x:c r="L317" s="7" t="n">
        <x:v>0</x:v>
      </x:c>
      <x:c r="M317" s="7" t="n">
        <x:f>K317-L317</x:f>
        <x:v>-1.5242526130929963</x:v>
      </x:c>
      <x:c r="N317" s="7" t="n">
        <x:f>M317^2</x:f>
        <x:v>2.3233460285208274</x:v>
      </x:c>
      <x:c r="O317" s="7" t="n">
        <x:v>-2</x:v>
      </x:c>
      <x:c r="P317" s="7" t="n">
        <x:v>0</x:v>
      </x:c>
      <x:c r="Q317" s="7" t="n">
        <x:v>3.0853630067698923</x:v>
      </x:c>
      <x:c r="R317" s="7" t="n">
        <x:f>H317+I317*Q317</x:f>
        <x:v>-1.3949232462544159</x:v>
      </x:c>
      <x:c r="S317" s="7" t="n">
        <x:f>R317-L317</x:f>
        <x:v>-1.3949232462544159</x:v>
      </x:c>
      <x:c r="T317" s="7" t="n">
        <x:f>K317-R317</x:f>
        <x:v>-0.12932936683858043</x:v>
      </x:c>
      <x:c r="U317" s="7" t="n">
        <x:f>M317-S317-T317</x:f>
        <x:v>0</x:v>
      </x:c>
    </x:row>
    <x:row r="318" ht="27" customHeight="1">
      <x:c r="A318" s="2"/>
      <x:c r="B318" s="2" t="str">
        <x:v>Beauty | organic_volume_growth | PCENDC96</x:v>
      </x:c>
      <x:c r="C318" s="2" t="str">
        <x:v>2025-09-30</x:v>
      </x:c>
      <x:c r="D318" s="2" t="str">
        <x:v>Origin</x:v>
      </x:c>
      <x:c r="E318" s="2" t="str">
        <x:v>2025-07-01</x:v>
      </x:c>
      <x:c r="F318" s="2" t="str">
        <x:v>Flat level</x:v>
      </x:c>
      <x:c r="G318" s="2" t="n">
        <x:v>17</x:v>
      </x:c>
      <x:c r="H318" s="7" t="n">
        <x:v>-0.7824463724972401</x:v>
      </x:c>
      <x:c r="I318" s="7" t="n">
        <x:v>0.2110272012180314</x:v>
      </x:c>
      <x:c r="J318" s="7" t="n">
        <x:v>1.4434674344409038</x:v>
      </x:c>
      <x:c r="K318" s="7" t="n">
        <x:f>H318+I318*J318</x:f>
        <x:v>-0.477835479757804</x:v>
      </x:c>
      <x:c r="L318" s="7" t="n">
        <x:v>4</x:v>
      </x:c>
      <x:c r="M318" s="7" t="n">
        <x:f>K318-L318</x:f>
        <x:v>-4.477835479757804</x:v>
      </x:c>
      <x:c r="N318" s="7" t="n">
        <x:f>M318^2</x:f>
        <x:v>20.051010583777803</x:v>
      </x:c>
      <x:c r="O318" s="7" t="n">
        <x:v>1</x:v>
      </x:c>
      <x:c r="P318" s="7" t="n">
        <x:v>0.5</x:v>
      </x:c>
      <x:c r="Q318" s="7" t="n">
        <x:v>3.0853630067698923</x:v>
      </x:c>
      <x:c r="R318" s="7" t="n">
        <x:f>H318+I318*Q318</x:f>
        <x:v>-0.13135085243693967</x:v>
      </x:c>
      <x:c r="S318" s="7" t="n">
        <x:f>R318-L318</x:f>
        <x:v>-4.13135085243694</x:v>
      </x:c>
      <x:c r="T318" s="7" t="n">
        <x:f>K318-R318</x:f>
        <x:v>-0.3464846273208643</x:v>
      </x:c>
      <x:c r="U318" s="7" t="n">
        <x:f>M318-S318-T318</x:f>
        <x:v>3.885780586188048e-16</x:v>
      </x:c>
    </x:row>
    <x:row r="319" ht="27" customHeight="1">
      <x:c r="A319" s="2"/>
      <x:c r="B319" s="2" t="str">
        <x:v>Fabric &amp; Home Care | organic_volume_growth | PCENDC96</x:v>
      </x:c>
      <x:c r="C319" s="2" t="str">
        <x:v>2025-09-30</x:v>
      </x:c>
      <x:c r="D319" s="2" t="str">
        <x:v>Origin</x:v>
      </x:c>
      <x:c r="E319" s="2" t="str">
        <x:v>2025-07-01</x:v>
      </x:c>
      <x:c r="F319" s="2" t="str">
        <x:v>Flat level</x:v>
      </x:c>
      <x:c r="G319" s="2" t="n">
        <x:v>8</x:v>
      </x:c>
      <x:c r="H319" s="7" t="n">
        <x:v>-0.941194699681648</x:v>
      </x:c>
      <x:c r="I319" s="7" t="n">
        <x:v>0.9731167648315336</x:v>
      </x:c>
      <x:c r="J319" s="7" t="n">
        <x:v>1.4434674344409038</x:v>
      </x:c>
      <x:c r="K319" s="7" t="n">
        <x:f>H319+I319*J319</x:f>
        <x:v>0.46346766026115804</x:v>
      </x:c>
      <x:c r="L319" s="7" t="n">
        <x:v>-2</x:v>
      </x:c>
      <x:c r="M319" s="7" t="n">
        <x:f>K319-L319</x:f>
        <x:v>2.4634676602611583</x:v>
      </x:c>
      <x:c r="N319" s="7" t="n">
        <x:f>M319^2</x:f>
        <x:v>6.068672913152586</x:v>
      </x:c>
      <x:c r="O319" s="7" t="n">
        <x:v>0</x:v>
      </x:c>
      <x:c r="P319" s="7" t="n">
        <x:v>1.5</x:v>
      </x:c>
      <x:c r="Q319" s="7" t="n">
        <x:v>3.0853630067698923</x:v>
      </x:c>
      <x:c r="R319" s="7" t="n">
        <x:f>H319+I319*Q319</x:f>
        <x:v>2.0612237677971628</x:v>
      </x:c>
      <x:c r="S319" s="7" t="n">
        <x:f>R319-L319</x:f>
        <x:v>4.061223767797163</x:v>
      </x:c>
      <x:c r="T319" s="7" t="n">
        <x:f>K319-R319</x:f>
        <x:v>-1.5977561075360047</x:v>
      </x:c>
      <x:c r="U319" s="7" t="n">
        <x:f>M319-S319-T319</x:f>
        <x:v>2.220446049250313e-16</x:v>
      </x:c>
    </x:row>
    <x:row r="320" ht="27" customHeight="1">
      <x:c r="A320" s="2"/>
      <x:c r="B320" s="2" t="str">
        <x:v>Baby, Feminine &amp; Family Care | organic_volume_growth | PCENDC96</x:v>
      </x:c>
      <x:c r="C320" s="2" t="str">
        <x:v>2025-09-30</x:v>
      </x:c>
      <x:c r="D320" s="2" t="str">
        <x:v>Origin</x:v>
      </x:c>
      <x:c r="E320" s="2" t="str">
        <x:v>2025-07-01</x:v>
      </x:c>
      <x:c r="F320" s="2" t="str">
        <x:v>Recent trend</x:v>
      </x:c>
      <x:c r="G320" s="2" t="n">
        <x:v>17</x:v>
      </x:c>
      <x:c r="H320" s="7" t="n">
        <x:v>-1.6379521275411333</x:v>
      </x:c>
      <x:c r="I320" s="7" t="n">
        <x:v>0.07876832669396253</x:v>
      </x:c>
      <x:c r="J320" s="7" t="n">
        <x:v>1.1458252276087766</x:v>
      </x:c>
      <x:c r="K320" s="7" t="n">
        <x:f>H320+I320*J320</x:f>
        <x:v>-1.5476973916786612</x:v>
      </x:c>
      <x:c r="L320" s="7" t="n">
        <x:v>0</x:v>
      </x:c>
      <x:c r="M320" s="7" t="n">
        <x:f>K320-L320</x:f>
        <x:v>-1.5476973916786612</x:v>
      </x:c>
      <x:c r="N320" s="7" t="n">
        <x:f>M320^2</x:f>
        <x:v>2.395367216208931</x:v>
      </x:c>
      <x:c r="O320" s="7" t="n">
        <x:v>-2</x:v>
      </x:c>
      <x:c r="P320" s="7" t="n">
        <x:v>0</x:v>
      </x:c>
      <x:c r="Q320" s="7" t="n">
        <x:v>3.0853630067698923</x:v>
      </x:c>
      <x:c r="R320" s="7" t="n">
        <x:f>H320+I320*Q320</x:f>
        <x:v>-1.3949232462544159</x:v>
      </x:c>
      <x:c r="S320" s="7" t="n">
        <x:f>R320-L320</x:f>
        <x:v>-1.3949232462544159</x:v>
      </x:c>
      <x:c r="T320" s="7" t="n">
        <x:f>K320-R320</x:f>
        <x:v>-0.15277414542424528</x:v>
      </x:c>
      <x:c r="U320" s="7" t="n">
        <x:f>M320-S320-T320</x:f>
        <x:v>0</x:v>
      </x:c>
    </x:row>
    <x:row r="321" ht="27" customHeight="1">
      <x:c r="A321" s="2"/>
      <x:c r="B321" s="2" t="str">
        <x:v>Beauty | organic_volume_growth | PCENDC96</x:v>
      </x:c>
      <x:c r="C321" s="2" t="str">
        <x:v>2025-09-30</x:v>
      </x:c>
      <x:c r="D321" s="2" t="str">
        <x:v>Origin</x:v>
      </x:c>
      <x:c r="E321" s="2" t="str">
        <x:v>2025-07-01</x:v>
      </x:c>
      <x:c r="F321" s="2" t="str">
        <x:v>Recent trend</x:v>
      </x:c>
      <x:c r="G321" s="2" t="n">
        <x:v>17</x:v>
      </x:c>
      <x:c r="H321" s="7" t="n">
        <x:v>-0.7824463724972401</x:v>
      </x:c>
      <x:c r="I321" s="7" t="n">
        <x:v>0.2110272012180314</x:v>
      </x:c>
      <x:c r="J321" s="7" t="n">
        <x:v>1.1458252276087766</x:v>
      </x:c>
      <x:c r="K321" s="7" t="n">
        <x:f>H321+I321*J321</x:f>
        <x:v>-0.5406460816299462</x:v>
      </x:c>
      <x:c r="L321" s="7" t="n">
        <x:v>4</x:v>
      </x:c>
      <x:c r="M321" s="7" t="n">
        <x:f>K321-L321</x:f>
        <x:v>-4.540646081629946</x:v>
      </x:c>
      <x:c r="N321" s="7" t="n">
        <x:f>M321^2</x:f>
        <x:v>20.617466838621382</x:v>
      </x:c>
      <x:c r="O321" s="7" t="n">
        <x:v>1</x:v>
      </x:c>
      <x:c r="P321" s="7" t="n">
        <x:v>0.5</x:v>
      </x:c>
      <x:c r="Q321" s="7" t="n">
        <x:v>3.0853630067698923</x:v>
      </x:c>
      <x:c r="R321" s="7" t="n">
        <x:f>H321+I321*Q321</x:f>
        <x:v>-0.13135085243693967</x:v>
      </x:c>
      <x:c r="S321" s="7" t="n">
        <x:f>R321-L321</x:f>
        <x:v>-4.13135085243694</x:v>
      </x:c>
      <x:c r="T321" s="7" t="n">
        <x:f>K321-R321</x:f>
        <x:v>-0.40929522919300654</x:v>
      </x:c>
      <x:c r="U321" s="7" t="n">
        <x:f>M321-S321-T321</x:f>
        <x:v>4.440892098500626e-16</x:v>
      </x:c>
    </x:row>
    <x:row r="322" ht="27" customHeight="1">
      <x:c r="A322" s="2"/>
      <x:c r="B322" s="2" t="str">
        <x:v>Fabric &amp; Home Care | organic_volume_growth | PCENDC96</x:v>
      </x:c>
      <x:c r="C322" s="2" t="str">
        <x:v>2025-09-30</x:v>
      </x:c>
      <x:c r="D322" s="2" t="str">
        <x:v>Origin</x:v>
      </x:c>
      <x:c r="E322" s="2" t="str">
        <x:v>2025-07-01</x:v>
      </x:c>
      <x:c r="F322" s="2" t="str">
        <x:v>Recent trend</x:v>
      </x:c>
      <x:c r="G322" s="2" t="n">
        <x:v>8</x:v>
      </x:c>
      <x:c r="H322" s="7" t="n">
        <x:v>-0.941194699681648</x:v>
      </x:c>
      <x:c r="I322" s="7" t="n">
        <x:v>0.9731167648315336</x:v>
      </x:c>
      <x:c r="J322" s="7" t="n">
        <x:v>1.1458252276087766</x:v>
      </x:c>
      <x:c r="K322" s="7" t="n">
        <x:f>H322+I322*J322</x:f>
        <x:v>0.1738270388713603</x:v>
      </x:c>
      <x:c r="L322" s="7" t="n">
        <x:v>-2</x:v>
      </x:c>
      <x:c r="M322" s="7" t="n">
        <x:f>K322-L322</x:f>
        <x:v>2.1738270388713605</x:v>
      </x:c>
      <x:c r="N322" s="7" t="n">
        <x:f>M322^2</x:f>
        <x:v>4.725523994928228</x:v>
      </x:c>
      <x:c r="O322" s="7" t="n">
        <x:v>0</x:v>
      </x:c>
      <x:c r="P322" s="7" t="n">
        <x:v>1.5</x:v>
      </x:c>
      <x:c r="Q322" s="7" t="n">
        <x:v>3.0853630067698923</x:v>
      </x:c>
      <x:c r="R322" s="7" t="n">
        <x:f>H322+I322*Q322</x:f>
        <x:v>2.0612237677971628</x:v>
      </x:c>
      <x:c r="S322" s="7" t="n">
        <x:f>R322-L322</x:f>
        <x:v>4.061223767797163</x:v>
      </x:c>
      <x:c r="T322" s="7" t="n">
        <x:f>K322-R322</x:f>
        <x:v>-1.8873967289258025</x:v>
      </x:c>
      <x:c r="U322" s="7" t="n">
        <x:f>M322-S322-T322</x:f>
        <x:v>2.220446049250313e-16</x:v>
      </x:c>
    </x:row>
    <x:row r="323" ht="27" customHeight="1">
      <x:c r="A323" s="2"/>
      <x:c r="B323" s="2" t="str">
        <x:v>Baby, Feminine &amp; Family Care | organic_volume_growth | PCENDC96</x:v>
      </x:c>
      <x:c r="C323" s="2" t="str">
        <x:v>2025-09-30</x:v>
      </x:c>
      <x:c r="D323" s="2" t="str">
        <x:v>One month</x:v>
      </x:c>
      <x:c r="E323" s="2" t="str">
        <x:v>2025-08-29</x:v>
      </x:c>
      <x:c r="F323" s="2" t="str">
        <x:v>YoY carry</x:v>
      </x:c>
      <x:c r="G323" s="2" t="n">
        <x:v>14</x:v>
      </x:c>
      <x:c r="H323" s="7" t="n">
        <x:v>-2.4774629423663272</x:v>
      </x:c>
      <x:c r="I323" s="7" t="n">
        <x:v>0.9100263166960223</x:v>
      </x:c>
      <x:c r="J323" s="7" t="n">
        <x:v>2.818360254596275</x:v>
      </x:c>
      <x:c r="K323" s="7" t="n">
        <x:f>H323+I323*J323</x:f>
        <x:v>0.08731905924638461</x:v>
      </x:c>
      <x:c r="L323" s="7" t="n">
        <x:v>0</x:v>
      </x:c>
      <x:c r="M323" s="7" t="n">
        <x:f>K323-L323</x:f>
        <x:v>0.08731905924638461</x:v>
      </x:c>
      <x:c r="N323" s="7" t="n">
        <x:f>M323^2</x:f>
        <x:v>0.007624618107673626</x:v>
      </x:c>
      <x:c r="O323" s="7" t="n">
        <x:v>0</x:v>
      </x:c>
      <x:c r="P323" s="7" t="n">
        <x:v>0.25</x:v>
      </x:c>
      <x:c r="Q323" s="7" t="n">
        <x:v>3.0853630067698923</x:v>
      </x:c>
      <x:c r="R323" s="7" t="n">
        <x:f>H323+I323*Q323</x:f>
        <x:v>0.3302985903546425</x:v>
      </x:c>
      <x:c r="S323" s="7" t="n">
        <x:f>R323-L323</x:f>
        <x:v>0.3302985903546425</x:v>
      </x:c>
      <x:c r="T323" s="7" t="n">
        <x:f>K323-R323</x:f>
        <x:v>-0.24297953110825787</x:v>
      </x:c>
      <x:c r="U323" s="7" t="n">
        <x:f>M323-S323-T323</x:f>
        <x:v>0</x:v>
      </x:c>
    </x:row>
    <x:row r="324" ht="27" customHeight="1">
      <x:c r="A324" s="2"/>
      <x:c r="B324" s="2" t="str">
        <x:v>Beauty | organic_volume_growth | PCENDC96</x:v>
      </x:c>
      <x:c r="C324" s="2" t="str">
        <x:v>2025-09-30</x:v>
      </x:c>
      <x:c r="D324" s="2" t="str">
        <x:v>One month</x:v>
      </x:c>
      <x:c r="E324" s="2" t="str">
        <x:v>2025-08-29</x:v>
      </x:c>
      <x:c r="F324" s="2" t="str">
        <x:v>YoY carry</x:v>
      </x:c>
      <x:c r="G324" s="2" t="n">
        <x:v>14</x:v>
      </x:c>
      <x:c r="H324" s="7" t="n">
        <x:v>-1.1334227360316185</x:v>
      </x:c>
      <x:c r="I324" s="7" t="n">
        <x:v>0.5725446214939776</x:v>
      </x:c>
      <x:c r="J324" s="7" t="n">
        <x:v>2.818360254596275</x:v>
      </x:c>
      <x:c r="K324" s="7" t="n">
        <x:f>H324+I324*J324</x:f>
        <x:v>0.4802142691698761</x:v>
      </x:c>
      <x:c r="L324" s="7" t="n">
        <x:v>4</x:v>
      </x:c>
      <x:c r="M324" s="7" t="n">
        <x:f>K324-L324</x:f>
        <x:v>-3.519785730830124</x:v>
      </x:c>
      <x:c r="N324" s="7" t="n">
        <x:f>M324^2</x:f>
        <x:v>12.388891590955351</x:v>
      </x:c>
      <x:c r="O324" s="7" t="n">
        <x:v>1</x:v>
      </x:c>
      <x:c r="P324" s="7" t="n">
        <x:v>0.5</x:v>
      </x:c>
      <x:c r="Q324" s="7" t="n">
        <x:v>3.0853630067698923</x:v>
      </x:c>
      <x:c r="R324" s="7" t="n">
        <x:f>H324+I324*Q324</x:f>
        <x:v>0.6330852588509701</x:v>
      </x:c>
      <x:c r="S324" s="7" t="n">
        <x:f>R324-L324</x:f>
        <x:v>-3.3669147411490297</x:v>
      </x:c>
      <x:c r="T324" s="7" t="n">
        <x:f>K324-R324</x:f>
        <x:v>-0.15287098968109403</x:v>
      </x:c>
      <x:c r="U324" s="7" t="n">
        <x:f>M324-S324-T324</x:f>
        <x:v>-4.440892098500626e-16</x:v>
      </x:c>
    </x:row>
    <x:row r="325" ht="27" customHeight="1">
      <x:c r="A325" s="2"/>
      <x:c r="B325" s="2" t="str">
        <x:v>Fabric &amp; Home Care | organic_volume_growth | PCENDC96</x:v>
      </x:c>
      <x:c r="C325" s="2" t="str">
        <x:v>2025-09-30</x:v>
      </x:c>
      <x:c r="D325" s="2" t="str">
        <x:v>One month</x:v>
      </x:c>
      <x:c r="E325" s="2" t="str">
        <x:v>2025-08-29</x:v>
      </x:c>
      <x:c r="F325" s="2" t="str">
        <x:v>YoY carry</x:v>
      </x:c>
      <x:c r="G325" s="2" t="n">
        <x:v>8</x:v>
      </x:c>
      <x:c r="H325" s="7" t="n">
        <x:v>2.0671928615314483</x:v>
      </x:c>
      <x:c r="I325" s="7" t="n">
        <x:v>-0.5022260022005788</x:v>
      </x:c>
      <x:c r="J325" s="7" t="n">
        <x:v>2.818360254596275</x:v>
      </x:c>
      <x:c r="K325" s="7" t="n">
        <x:f>H325+I325*J325</x:f>
        <x:v>0.6517390581045557</x:v>
      </x:c>
      <x:c r="L325" s="7" t="n">
        <x:v>-2</x:v>
      </x:c>
      <x:c r="M325" s="7" t="n">
        <x:f>K325-L325</x:f>
        <x:v>2.651739058104556</x:v>
      </x:c>
      <x:c r="N325" s="7" t="n">
        <x:f>M325^2</x:f>
        <x:v>7.031720032277238</x:v>
      </x:c>
      <x:c r="O325" s="7" t="n">
        <x:v>0</x:v>
      </x:c>
      <x:c r="P325" s="7" t="n">
        <x:v>0.75</x:v>
      </x:c>
      <x:c r="Q325" s="7" t="n">
        <x:v>3.0853630067698923</x:v>
      </x:c>
      <x:c r="R325" s="7" t="n">
        <x:f>H325+I325*Q325</x:f>
        <x:v>0.5176433333038479</x:v>
      </x:c>
      <x:c r="S325" s="7" t="n">
        <x:f>R325-L325</x:f>
        <x:v>2.517643333303848</x:v>
      </x:c>
      <x:c r="T325" s="7" t="n">
        <x:f>K325-R325</x:f>
        <x:v>0.13409572480070775</x:v>
      </x:c>
      <x:c r="U325" s="7" t="n">
        <x:f>M325-S325-T325</x:f>
        <x:v>0</x:v>
      </x:c>
    </x:row>
    <x:row r="326" ht="27" customHeight="1">
      <x:c r="A326" s="2"/>
      <x:c r="B326" s="2" t="str">
        <x:v>Baby, Feminine &amp; Family Care | organic_volume_growth | PCENDC96</x:v>
      </x:c>
      <x:c r="C326" s="2" t="str">
        <x:v>2025-09-30</x:v>
      </x:c>
      <x:c r="D326" s="2" t="str">
        <x:v>One month</x:v>
      </x:c>
      <x:c r="E326" s="2" t="str">
        <x:v>2025-08-29</x:v>
      </x:c>
      <x:c r="F326" s="2" t="str">
        <x:v>Flat level</x:v>
      </x:c>
      <x:c r="G326" s="2" t="n">
        <x:v>14</x:v>
      </x:c>
      <x:c r="H326" s="7" t="n">
        <x:v>-2.4774629423663272</x:v>
      </x:c>
      <x:c r="I326" s="7" t="n">
        <x:v>0.9100263166960223</x:v>
      </x:c>
      <x:c r="J326" s="7" t="n">
        <x:v>2.528986071122863</x:v>
      </x:c>
      <x:c r="K326" s="7" t="n">
        <x:f>H326+I326*J326</x:f>
        <x:v>-0.17601906308684345</x:v>
      </x:c>
      <x:c r="L326" s="7" t="n">
        <x:v>0</x:v>
      </x:c>
      <x:c r="M326" s="7" t="n">
        <x:f>K326-L326</x:f>
        <x:v>-0.17601906308684345</x:v>
      </x:c>
      <x:c r="N326" s="7" t="n">
        <x:f>M326^2</x:f>
        <x:v>0.030982710569970175</x:v>
      </x:c>
      <x:c r="O326" s="7" t="n">
        <x:v>0</x:v>
      </x:c>
      <x:c r="P326" s="7" t="n">
        <x:v>0.25</x:v>
      </x:c>
      <x:c r="Q326" s="7" t="n">
        <x:v>3.0853630067698923</x:v>
      </x:c>
      <x:c r="R326" s="7" t="n">
        <x:f>H326+I326*Q326</x:f>
        <x:v>0.3302985903546425</x:v>
      </x:c>
      <x:c r="S326" s="7" t="n">
        <x:f>R326-L326</x:f>
        <x:v>0.3302985903546425</x:v>
      </x:c>
      <x:c r="T326" s="7" t="n">
        <x:f>K326-R326</x:f>
        <x:v>-0.5063176534414859</x:v>
      </x:c>
      <x:c r="U326" s="7" t="n">
        <x:f>M326-S326-T326</x:f>
        <x:v>0</x:v>
      </x:c>
    </x:row>
    <x:row r="327" ht="27" customHeight="1">
      <x:c r="A327" s="2"/>
      <x:c r="B327" s="2" t="str">
        <x:v>Beauty | organic_volume_growth | PCENDC96</x:v>
      </x:c>
      <x:c r="C327" s="2" t="str">
        <x:v>2025-09-30</x:v>
      </x:c>
      <x:c r="D327" s="2" t="str">
        <x:v>One month</x:v>
      </x:c>
      <x:c r="E327" s="2" t="str">
        <x:v>2025-08-29</x:v>
      </x:c>
      <x:c r="F327" s="2" t="str">
        <x:v>Flat level</x:v>
      </x:c>
      <x:c r="G327" s="2" t="n">
        <x:v>14</x:v>
      </x:c>
      <x:c r="H327" s="7" t="n">
        <x:v>-1.1334227360316185</x:v>
      </x:c>
      <x:c r="I327" s="7" t="n">
        <x:v>0.5725446214939776</x:v>
      </x:c>
      <x:c r="J327" s="7" t="n">
        <x:v>2.528986071122863</x:v>
      </x:c>
      <x:c r="K327" s="7" t="n">
        <x:f>H327+I327*J327</x:f>
        <x:v>0.31453463682296245</x:v>
      </x:c>
      <x:c r="L327" s="7" t="n">
        <x:v>4</x:v>
      </x:c>
      <x:c r="M327" s="7" t="n">
        <x:f>K327-L327</x:f>
        <x:v>-3.6854653631770375</x:v>
      </x:c>
      <x:c r="N327" s="7" t="n">
        <x:f>M327^2</x:f>
        <x:v>13.582654943177653</x:v>
      </x:c>
      <x:c r="O327" s="7" t="n">
        <x:v>1</x:v>
      </x:c>
      <x:c r="P327" s="7" t="n">
        <x:v>0.5</x:v>
      </x:c>
      <x:c r="Q327" s="7" t="n">
        <x:v>3.0853630067698923</x:v>
      </x:c>
      <x:c r="R327" s="7" t="n">
        <x:f>H327+I327*Q327</x:f>
        <x:v>0.6330852588509701</x:v>
      </x:c>
      <x:c r="S327" s="7" t="n">
        <x:f>R327-L327</x:f>
        <x:v>-3.3669147411490297</x:v>
      </x:c>
      <x:c r="T327" s="7" t="n">
        <x:f>K327-R327</x:f>
        <x:v>-0.31855062202800766</x:v>
      </x:c>
      <x:c r="U327" s="7" t="n">
        <x:f>M327-S327-T327</x:f>
        <x:v>-2.220446049250313e-16</x:v>
      </x:c>
    </x:row>
    <x:row r="328" ht="27" customHeight="1">
      <x:c r="A328" s="2"/>
      <x:c r="B328" s="2" t="str">
        <x:v>Fabric &amp; Home Care | organic_volume_growth | PCENDC96</x:v>
      </x:c>
      <x:c r="C328" s="2" t="str">
        <x:v>2025-09-30</x:v>
      </x:c>
      <x:c r="D328" s="2" t="str">
        <x:v>One month</x:v>
      </x:c>
      <x:c r="E328" s="2" t="str">
        <x:v>2025-08-29</x:v>
      </x:c>
      <x:c r="F328" s="2" t="str">
        <x:v>Flat level</x:v>
      </x:c>
      <x:c r="G328" s="2" t="n">
        <x:v>8</x:v>
      </x:c>
      <x:c r="H328" s="7" t="n">
        <x:v>2.0671928615314483</x:v>
      </x:c>
      <x:c r="I328" s="7" t="n">
        <x:v>-0.5022260022005788</x:v>
      </x:c>
      <x:c r="J328" s="7" t="n">
        <x:v>2.528986071122863</x:v>
      </x:c>
      <x:c r="K328" s="7" t="n">
        <x:f>H328+I328*J328</x:f>
        <x:v>0.7970702974104642</x:v>
      </x:c>
      <x:c r="L328" s="7" t="n">
        <x:v>-2</x:v>
      </x:c>
      <x:c r="M328" s="7" t="n">
        <x:f>K328-L328</x:f>
        <x:v>2.797070297410464</x:v>
      </x:c>
      <x:c r="N328" s="7" t="n">
        <x:f>M328^2</x:f>
        <x:v>7.823602248655861</x:v>
      </x:c>
      <x:c r="O328" s="7" t="n">
        <x:v>0</x:v>
      </x:c>
      <x:c r="P328" s="7" t="n">
        <x:v>0.75</x:v>
      </x:c>
      <x:c r="Q328" s="7" t="n">
        <x:v>3.0853630067698923</x:v>
      </x:c>
      <x:c r="R328" s="7" t="n">
        <x:f>H328+I328*Q328</x:f>
        <x:v>0.5176433333038479</x:v>
      </x:c>
      <x:c r="S328" s="7" t="n">
        <x:f>R328-L328</x:f>
        <x:v>2.517643333303848</x:v>
      </x:c>
      <x:c r="T328" s="7" t="n">
        <x:f>K328-R328</x:f>
        <x:v>0.27942696410661627</x:v>
      </x:c>
      <x:c r="U328" s="7" t="n">
        <x:f>M328-S328-T328</x:f>
        <x:v>-4.440892098500626e-16</x:v>
      </x:c>
    </x:row>
    <x:row r="329" ht="27" customHeight="1">
      <x:c r="A329" s="2"/>
      <x:c r="B329" s="2" t="str">
        <x:v>Baby, Feminine &amp; Family Care | organic_volume_growth | PCENDC96</x:v>
      </x:c>
      <x:c r="C329" s="2" t="str">
        <x:v>2025-09-30</x:v>
      </x:c>
      <x:c r="D329" s="2" t="str">
        <x:v>One month</x:v>
      </x:c>
      <x:c r="E329" s="2" t="str">
        <x:v>2025-08-29</x:v>
      </x:c>
      <x:c r="F329" s="2" t="str">
        <x:v>Recent trend</x:v>
      </x:c>
      <x:c r="G329" s="2" t="n">
        <x:v>14</x:v>
      </x:c>
      <x:c r="H329" s="7" t="n">
        <x:v>-2.4774629423663272</x:v>
      </x:c>
      <x:c r="I329" s="7" t="n">
        <x:v>0.9100263166960223</x:v>
      </x:c>
      <x:c r="J329" s="7" t="n">
        <x:v>2.969613259668491</x:v>
      </x:c>
      <x:c r="K329" s="7" t="n">
        <x:f>H329+I329*J329</x:f>
        <x:v>0.22496327434145824</x:v>
      </x:c>
      <x:c r="L329" s="7" t="n">
        <x:v>0</x:v>
      </x:c>
      <x:c r="M329" s="7" t="n">
        <x:f>K329-L329</x:f>
        <x:v>0.22496327434145824</x:v>
      </x:c>
      <x:c r="N329" s="7" t="n">
        <x:f>M329^2</x:f>
        <x:v>0.050608474802430206</x:v>
      </x:c>
      <x:c r="O329" s="7" t="n">
        <x:v>0</x:v>
      </x:c>
      <x:c r="P329" s="7" t="n">
        <x:v>0.25</x:v>
      </x:c>
      <x:c r="Q329" s="7" t="n">
        <x:v>3.0853630067698923</x:v>
      </x:c>
      <x:c r="R329" s="7" t="n">
        <x:f>H329+I329*Q329</x:f>
        <x:v>0.3302985903546425</x:v>
      </x:c>
      <x:c r="S329" s="7" t="n">
        <x:f>R329-L329</x:f>
        <x:v>0.3302985903546425</x:v>
      </x:c>
      <x:c r="T329" s="7" t="n">
        <x:f>K329-R329</x:f>
        <x:v>-0.10533531601318424</x:v>
      </x:c>
      <x:c r="U329" s="7" t="n">
        <x:f>M329-S329-T329</x:f>
        <x:v>0</x:v>
      </x:c>
    </x:row>
    <x:row r="330" ht="27" customHeight="1">
      <x:c r="A330" s="2"/>
      <x:c r="B330" s="2" t="str">
        <x:v>Beauty | organic_volume_growth | PCENDC96</x:v>
      </x:c>
      <x:c r="C330" s="2" t="str">
        <x:v>2025-09-30</x:v>
      </x:c>
      <x:c r="D330" s="2" t="str">
        <x:v>One month</x:v>
      </x:c>
      <x:c r="E330" s="2" t="str">
        <x:v>2025-08-29</x:v>
      </x:c>
      <x:c r="F330" s="2" t="str">
        <x:v>Recent trend</x:v>
      </x:c>
      <x:c r="G330" s="2" t="n">
        <x:v>14</x:v>
      </x:c>
      <x:c r="H330" s="7" t="n">
        <x:v>-1.1334227360316185</x:v>
      </x:c>
      <x:c r="I330" s="7" t="n">
        <x:v>0.5725446214939776</x:v>
      </x:c>
      <x:c r="J330" s="7" t="n">
        <x:v>2.969613259668491</x:v>
      </x:c>
      <x:c r="K330" s="7" t="n">
        <x:f>H330+I330*J330</x:f>
        <x:v>0.5668133637087747</x:v>
      </x:c>
      <x:c r="L330" s="7" t="n">
        <x:v>4</x:v>
      </x:c>
      <x:c r="M330" s="7" t="n">
        <x:f>K330-L330</x:f>
        <x:v>-3.433186636291225</x:v>
      </x:c>
      <x:c r="N330" s="7" t="n">
        <x:f>M330^2</x:f>
        <x:v>11.786770479608657</x:v>
      </x:c>
      <x:c r="O330" s="7" t="n">
        <x:v>1</x:v>
      </x:c>
      <x:c r="P330" s="7" t="n">
        <x:v>0.5</x:v>
      </x:c>
      <x:c r="Q330" s="7" t="n">
        <x:v>3.0853630067698923</x:v>
      </x:c>
      <x:c r="R330" s="7" t="n">
        <x:f>H330+I330*Q330</x:f>
        <x:v>0.6330852588509701</x:v>
      </x:c>
      <x:c r="S330" s="7" t="n">
        <x:f>R330-L330</x:f>
        <x:v>-3.3669147411490297</x:v>
      </x:c>
      <x:c r="T330" s="7" t="n">
        <x:f>K330-R330</x:f>
        <x:v>-0.06627189514219545</x:v>
      </x:c>
      <x:c r="U330" s="7" t="n">
        <x:f>M330-S330-T330</x:f>
        <x:v>0</x:v>
      </x:c>
    </x:row>
    <x:row r="331" ht="27" customHeight="1">
      <x:c r="A331" s="2"/>
      <x:c r="B331" s="2" t="str">
        <x:v>Fabric &amp; Home Care | organic_volume_growth | PCENDC96</x:v>
      </x:c>
      <x:c r="C331" s="2" t="str">
        <x:v>2025-09-30</x:v>
      </x:c>
      <x:c r="D331" s="2" t="str">
        <x:v>One month</x:v>
      </x:c>
      <x:c r="E331" s="2" t="str">
        <x:v>2025-08-29</x:v>
      </x:c>
      <x:c r="F331" s="2" t="str">
        <x:v>Recent trend</x:v>
      </x:c>
      <x:c r="G331" s="2" t="n">
        <x:v>8</x:v>
      </x:c>
      <x:c r="H331" s="7" t="n">
        <x:v>2.0671928615314483</x:v>
      </x:c>
      <x:c r="I331" s="7" t="n">
        <x:v>-0.5022260022005788</x:v>
      </x:c>
      <x:c r="J331" s="7" t="n">
        <x:v>2.969613259668491</x:v>
      </x:c>
      <x:c r="K331" s="7" t="n">
        <x:f>H331+I331*J331</x:f>
        <x:v>0.5757758660463128</x:v>
      </x:c>
      <x:c r="L331" s="7" t="n">
        <x:v>-2</x:v>
      </x:c>
      <x:c r="M331" s="7" t="n">
        <x:f>K331-L331</x:f>
        <x:v>2.575775866046313</x:v>
      </x:c>
      <x:c r="N331" s="7" t="n">
        <x:f>M331^2</x:f>
        <x:v>6.634621312106634</x:v>
      </x:c>
      <x:c r="O331" s="7" t="n">
        <x:v>0</x:v>
      </x:c>
      <x:c r="P331" s="7" t="n">
        <x:v>0.75</x:v>
      </x:c>
      <x:c r="Q331" s="7" t="n">
        <x:v>3.0853630067698923</x:v>
      </x:c>
      <x:c r="R331" s="7" t="n">
        <x:f>H331+I331*Q331</x:f>
        <x:v>0.5176433333038479</x:v>
      </x:c>
      <x:c r="S331" s="7" t="n">
        <x:f>R331-L331</x:f>
        <x:v>2.517643333303848</x:v>
      </x:c>
      <x:c r="T331" s="7" t="n">
        <x:f>K331-R331</x:f>
        <x:v>0.05813253274246488</x:v>
      </x:c>
      <x:c r="U331" s="7" t="n">
        <x:f>M331-S331-T331</x:f>
        <x:v>0</x:v>
      </x:c>
    </x:row>
    <x:row r="332" ht="27" customHeight="1">
      <x:c r="A332" s="2"/>
      <x:c r="B332" s="2" t="str">
        <x:v>Baby, Feminine &amp; Family Care | organic_volume_growth | PCENDC96</x:v>
      </x:c>
      <x:c r="C332" s="2" t="str">
        <x:v>2025-09-30</x:v>
      </x:c>
      <x:c r="D332" s="2" t="str">
        <x:v>Two months</x:v>
      </x:c>
      <x:c r="E332" s="2" t="str">
        <x:v>2025-09-26</x:v>
      </x:c>
      <x:c r="F332" s="2" t="str">
        <x:v>YoY carry</x:v>
      </x:c>
      <x:c r="G332" s="2" t="n">
        <x:v>14</x:v>
      </x:c>
      <x:c r="H332" s="7" t="n">
        <x:v>-2.5051935305431394</x:v>
      </x:c>
      <x:c r="I332" s="7" t="n">
        <x:v>0.8255418264682003</x:v>
      </x:c>
      <x:c r="J332" s="7" t="n">
        <x:v>3.2886468481588604</x:v>
      </x:c>
      <x:c r="K332" s="7" t="n">
        <x:f>H332+I332*J332</x:f>
        <x:v>0.20972199509481637</x:v>
      </x:c>
      <x:c r="L332" s="7" t="n">
        <x:v>0</x:v>
      </x:c>
      <x:c r="M332" s="7" t="n">
        <x:f>K332-L332</x:f>
        <x:v>0.20972199509481637</x:v>
      </x:c>
      <x:c r="N332" s="7" t="n">
        <x:f>M332^2</x:f>
        <x:v>0.04398331522655018</x:v>
      </x:c>
      <x:c r="O332" s="7" t="n">
        <x:v>0</x:v>
      </x:c>
      <x:c r="P332" s="7" t="n">
        <x:v>0.25</x:v>
      </x:c>
      <x:c r="Q332" s="7" t="n">
        <x:v>2.8881391425745973</x:v>
      </x:c>
      <x:c r="R332" s="7" t="n">
        <x:f>H332+I332*Q332</x:f>
        <x:v>-0.12091386768780454</x:v>
      </x:c>
      <x:c r="S332" s="7" t="n">
        <x:f>R332-L332</x:f>
        <x:v>-0.12091386768780454</x:v>
      </x:c>
      <x:c r="T332" s="7" t="n">
        <x:f>K332-R332</x:f>
        <x:v>0.3306358627826209</x:v>
      </x:c>
      <x:c r="U332" s="7" t="n">
        <x:f>M332-S332-T332</x:f>
        <x:v>0</x:v>
      </x:c>
    </x:row>
    <x:row r="333" ht="27" customHeight="1">
      <x:c r="A333" s="2"/>
      <x:c r="B333" s="2" t="str">
        <x:v>Beauty | organic_volume_growth | PCENDC96</x:v>
      </x:c>
      <x:c r="C333" s="2" t="str">
        <x:v>2025-09-30</x:v>
      </x:c>
      <x:c r="D333" s="2" t="str">
        <x:v>Two months</x:v>
      </x:c>
      <x:c r="E333" s="2" t="str">
        <x:v>2025-09-26</x:v>
      </x:c>
      <x:c r="F333" s="2" t="str">
        <x:v>YoY carry</x:v>
      </x:c>
      <x:c r="G333" s="2" t="n">
        <x:v>14</x:v>
      </x:c>
      <x:c r="H333" s="7" t="n">
        <x:v>-1.1227505622635332</x:v>
      </x:c>
      <x:c r="I333" s="7" t="n">
        <x:v>0.4991712676122301</x:v>
      </x:c>
      <x:c r="J333" s="7" t="n">
        <x:v>3.2886468481588604</x:v>
      </x:c>
      <x:c r="K333" s="7" t="n">
        <x:f>H333+I333*J333</x:f>
        <x:v>0.5188474536608902</x:v>
      </x:c>
      <x:c r="L333" s="7" t="n">
        <x:v>4</x:v>
      </x:c>
      <x:c r="M333" s="7" t="n">
        <x:f>K333-L333</x:f>
        <x:v>-3.4811525463391098</x:v>
      </x:c>
      <x:c r="N333" s="7" t="n">
        <x:f>M333^2</x:f>
        <x:v>12.118423050883267</x:v>
      </x:c>
      <x:c r="O333" s="7" t="n">
        <x:v>1</x:v>
      </x:c>
      <x:c r="P333" s="7" t="n">
        <x:v>0.5</x:v>
      </x:c>
      <x:c r="Q333" s="7" t="n">
        <x:v>2.8881391425745973</x:v>
      </x:c>
      <x:c r="R333" s="7" t="n">
        <x:f>H333+I333*Q333</x:f>
        <x:v>0.31892551457592777</x:v>
      </x:c>
      <x:c r="S333" s="7" t="n">
        <x:f>R333-L333</x:f>
        <x:v>-3.6810744854240722</x:v>
      </x:c>
      <x:c r="T333" s="7" t="n">
        <x:f>K333-R333</x:f>
        <x:v>0.19992193908496247</x:v>
      </x:c>
      <x:c r="U333" s="7" t="n">
        <x:f>M333-S333-T333</x:f>
        <x:v>0</x:v>
      </x:c>
    </x:row>
    <x:row r="334" ht="27" customHeight="1">
      <x:c r="A334" s="2"/>
      <x:c r="B334" s="2" t="str">
        <x:v>Fabric &amp; Home Care | organic_volume_growth | PCENDC96</x:v>
      </x:c>
      <x:c r="C334" s="2" t="str">
        <x:v>2025-09-30</x:v>
      </x:c>
      <x:c r="D334" s="2" t="str">
        <x:v>Two months</x:v>
      </x:c>
      <x:c r="E334" s="2" t="str">
        <x:v>2025-09-26</x:v>
      </x:c>
      <x:c r="F334" s="2" t="str">
        <x:v>YoY carry</x:v>
      </x:c>
      <x:c r="G334" s="2" t="n">
        <x:v>8</x:v>
      </x:c>
      <x:c r="H334" s="7" t="n">
        <x:v>1.3798438022832429</x:v>
      </x:c>
      <x:c r="I334" s="7" t="n">
        <x:v>-0.15592454233556874</x:v>
      </x:c>
      <x:c r="J334" s="7" t="n">
        <x:v>3.2886468481588604</x:v>
      </x:c>
      <x:c r="K334" s="7" t="n">
        <x:f>H334+I334*J334</x:f>
        <x:v>0.8670630475807619</x:v>
      </x:c>
      <x:c r="L334" s="7" t="n">
        <x:v>-2</x:v>
      </x:c>
      <x:c r="M334" s="7" t="n">
        <x:f>K334-L334</x:f>
        <x:v>2.867063047580762</x:v>
      </x:c>
      <x:c r="N334" s="7" t="n">
        <x:f>M334^2</x:f>
        <x:v>8.220050518803086</x:v>
      </x:c>
      <x:c r="O334" s="7" t="n">
        <x:v>0</x:v>
      </x:c>
      <x:c r="P334" s="7" t="n">
        <x:v>0.75</x:v>
      </x:c>
      <x:c r="Q334" s="7" t="n">
        <x:v>2.8881391425745973</x:v>
      </x:c>
      <x:c r="R334" s="7" t="n">
        <x:f>H334+I334*Q334</x:f>
        <x:v>0.9295120282758569</x:v>
      </x:c>
      <x:c r="S334" s="7" t="n">
        <x:f>R334-L334</x:f>
        <x:v>2.929512028275857</x:v>
      </x:c>
      <x:c r="T334" s="7" t="n">
        <x:f>K334-R334</x:f>
        <x:v>-0.06244898069509497</x:v>
      </x:c>
      <x:c r="U334" s="7" t="n">
        <x:f>M334-S334-T334</x:f>
        <x:v>-2.220446049250313e-16</x:v>
      </x:c>
    </x:row>
    <x:row r="335" ht="27" customHeight="1">
      <x:c r="A335" s="2"/>
      <x:c r="B335" s="2" t="str">
        <x:v>Baby, Feminine &amp; Family Care | organic_volume_growth | PCENDC96</x:v>
      </x:c>
      <x:c r="C335" s="2" t="str">
        <x:v>2025-09-30</x:v>
      </x:c>
      <x:c r="D335" s="2" t="str">
        <x:v>Two months</x:v>
      </x:c>
      <x:c r="E335" s="2" t="str">
        <x:v>2025-09-26</x:v>
      </x:c>
      <x:c r="F335" s="2" t="str">
        <x:v>Flat level</x:v>
      </x:c>
      <x:c r="G335" s="2" t="n">
        <x:v>14</x:v>
      </x:c>
      <x:c r="H335" s="7" t="n">
        <x:v>-2.5051935305431394</x:v>
      </x:c>
      <x:c r="I335" s="7" t="n">
        <x:v>0.8255418264682003</x:v>
      </x:c>
      <x:c r="J335" s="7" t="n">
        <x:v>2.983150097919429</x:v>
      </x:c>
      <x:c r="K335" s="7" t="n">
        <x:f>H335+I335*J335</x:f>
        <x:v>-0.042478350077943094</x:v>
      </x:c>
      <x:c r="L335" s="7" t="n">
        <x:v>0</x:v>
      </x:c>
      <x:c r="M335" s="7" t="n">
        <x:f>K335-L335</x:f>
        <x:v>-0.042478350077943094</x:v>
      </x:c>
      <x:c r="N335" s="7" t="n">
        <x:f>M335^2</x:f>
        <x:v>0.0018044102253442881</x:v>
      </x:c>
      <x:c r="O335" s="7" t="n">
        <x:v>0</x:v>
      </x:c>
      <x:c r="P335" s="7" t="n">
        <x:v>0.25</x:v>
      </x:c>
      <x:c r="Q335" s="7" t="n">
        <x:v>2.8881391425745973</x:v>
      </x:c>
      <x:c r="R335" s="7" t="n">
        <x:f>H335+I335*Q335</x:f>
        <x:v>-0.12091386768780454</x:v>
      </x:c>
      <x:c r="S335" s="7" t="n">
        <x:f>R335-L335</x:f>
        <x:v>-0.12091386768780454</x:v>
      </x:c>
      <x:c r="T335" s="7" t="n">
        <x:f>K335-R335</x:f>
        <x:v>0.07843551760986145</x:v>
      </x:c>
      <x:c r="U335" s="7" t="n">
        <x:f>M335-S335-T335</x:f>
        <x:v>0</x:v>
      </x:c>
    </x:row>
    <x:row r="336" ht="27" customHeight="1">
      <x:c r="A336" s="2"/>
      <x:c r="B336" s="2" t="str">
        <x:v>Beauty | organic_volume_growth | PCENDC96</x:v>
      </x:c>
      <x:c r="C336" s="2" t="str">
        <x:v>2025-09-30</x:v>
      </x:c>
      <x:c r="D336" s="2" t="str">
        <x:v>Two months</x:v>
      </x:c>
      <x:c r="E336" s="2" t="str">
        <x:v>2025-09-26</x:v>
      </x:c>
      <x:c r="F336" s="2" t="str">
        <x:v>Flat level</x:v>
      </x:c>
      <x:c r="G336" s="2" t="n">
        <x:v>14</x:v>
      </x:c>
      <x:c r="H336" s="7" t="n">
        <x:v>-1.1227505622635332</x:v>
      </x:c>
      <x:c r="I336" s="7" t="n">
        <x:v>0.4991712676122301</x:v>
      </x:c>
      <x:c r="J336" s="7" t="n">
        <x:v>2.983150097919429</x:v>
      </x:c>
      <x:c r="K336" s="7" t="n">
        <x:f>H336+I336*J336</x:f>
        <x:v>0.3663522535924566</x:v>
      </x:c>
      <x:c r="L336" s="7" t="n">
        <x:v>4</x:v>
      </x:c>
      <x:c r="M336" s="7" t="n">
        <x:f>K336-L336</x:f>
        <x:v>-3.6336477464075436</x:v>
      </x:c>
      <x:c r="N336" s="7" t="n">
        <x:f>M336^2</x:f>
        <x:v>13.20339594497262</x:v>
      </x:c>
      <x:c r="O336" s="7" t="n">
        <x:v>1</x:v>
      </x:c>
      <x:c r="P336" s="7" t="n">
        <x:v>0.5</x:v>
      </x:c>
      <x:c r="Q336" s="7" t="n">
        <x:v>2.8881391425745973</x:v>
      </x:c>
      <x:c r="R336" s="7" t="n">
        <x:f>H336+I336*Q336</x:f>
        <x:v>0.31892551457592777</x:v>
      </x:c>
      <x:c r="S336" s="7" t="n">
        <x:f>R336-L336</x:f>
        <x:v>-3.6810744854240722</x:v>
      </x:c>
      <x:c r="T336" s="7" t="n">
        <x:f>K336-R336</x:f>
        <x:v>0.04742673901652883</x:v>
      </x:c>
      <x:c r="U336" s="7" t="n">
        <x:f>M336-S336-T336</x:f>
        <x:v>-2.220446049250313e-16</x:v>
      </x:c>
    </x:row>
    <x:row r="337" ht="27" customHeight="1">
      <x:c r="A337" s="2"/>
      <x:c r="B337" s="2" t="str">
        <x:v>Fabric &amp; Home Care | organic_volume_growth | PCENDC96</x:v>
      </x:c>
      <x:c r="C337" s="2" t="str">
        <x:v>2025-09-30</x:v>
      </x:c>
      <x:c r="D337" s="2" t="str">
        <x:v>Two months</x:v>
      </x:c>
      <x:c r="E337" s="2" t="str">
        <x:v>2025-09-26</x:v>
      </x:c>
      <x:c r="F337" s="2" t="str">
        <x:v>Flat level</x:v>
      </x:c>
      <x:c r="G337" s="2" t="n">
        <x:v>8</x:v>
      </x:c>
      <x:c r="H337" s="7" t="n">
        <x:v>1.3798438022832429</x:v>
      </x:c>
      <x:c r="I337" s="7" t="n">
        <x:v>-0.15592454233556874</x:v>
      </x:c>
      <x:c r="J337" s="7" t="n">
        <x:v>2.983150097919429</x:v>
      </x:c>
      <x:c r="K337" s="7" t="n">
        <x:f>H337+I337*J337</x:f>
        <x:v>0.9146974885468488</x:v>
      </x:c>
      <x:c r="L337" s="7" t="n">
        <x:v>-2</x:v>
      </x:c>
      <x:c r="M337" s="7" t="n">
        <x:f>K337-L337</x:f>
        <x:v>2.9146974885468486</x:v>
      </x:c>
      <x:c r="N337" s="7" t="n">
        <x:f>M337^2</x:f>
        <x:v>8.495461449741306</x:v>
      </x:c>
      <x:c r="O337" s="7" t="n">
        <x:v>0</x:v>
      </x:c>
      <x:c r="P337" s="7" t="n">
        <x:v>0.75</x:v>
      </x:c>
      <x:c r="Q337" s="7" t="n">
        <x:v>2.8881391425745973</x:v>
      </x:c>
      <x:c r="R337" s="7" t="n">
        <x:f>H337+I337*Q337</x:f>
        <x:v>0.9295120282758569</x:v>
      </x:c>
      <x:c r="S337" s="7" t="n">
        <x:f>R337-L337</x:f>
        <x:v>2.929512028275857</x:v>
      </x:c>
      <x:c r="T337" s="7" t="n">
        <x:f>K337-R337</x:f>
        <x:v>-0.014814539729008036</x:v>
      </x:c>
      <x:c r="U337" s="7" t="n">
        <x:f>M337-S337-T337</x:f>
        <x:v>-4.440892098500626e-16</x:v>
      </x:c>
    </x:row>
    <x:row r="338" ht="27" customHeight="1">
      <x:c r="A338" s="2"/>
      <x:c r="B338" s="2" t="str">
        <x:v>Baby, Feminine &amp; Family Care | organic_volume_growth | PCENDC96</x:v>
      </x:c>
      <x:c r="C338" s="2" t="str">
        <x:v>2025-09-30</x:v>
      </x:c>
      <x:c r="D338" s="2" t="str">
        <x:v>Two months</x:v>
      </x:c>
      <x:c r="E338" s="2" t="str">
        <x:v>2025-09-26</x:v>
      </x:c>
      <x:c r="F338" s="2" t="str">
        <x:v>Recent trend</x:v>
      </x:c>
      <x:c r="G338" s="2" t="n">
        <x:v>14</x:v>
      </x:c>
      <x:c r="H338" s="7" t="n">
        <x:v>-2.5051935305431394</x:v>
      </x:c>
      <x:c r="I338" s="7" t="n">
        <x:v>0.8255418264682003</x:v>
      </x:c>
      <x:c r="J338" s="7" t="n">
        <x:v>3.1009442925561626</x:v>
      </x:c>
      <x:c r="K338" s="7" t="n">
        <x:f>H338+I338*J338</x:f>
        <x:v>0.054765684509816115</x:v>
      </x:c>
      <x:c r="L338" s="7" t="n">
        <x:v>0</x:v>
      </x:c>
      <x:c r="M338" s="7" t="n">
        <x:f>K338-L338</x:f>
        <x:v>0.054765684509816115</x:v>
      </x:c>
      <x:c r="N338" s="7" t="n">
        <x:f>M338^2</x:f>
        <x:v>0.0029992801998287126</x:v>
      </x:c>
      <x:c r="O338" s="7" t="n">
        <x:v>0</x:v>
      </x:c>
      <x:c r="P338" s="7" t="n">
        <x:v>0.25</x:v>
      </x:c>
      <x:c r="Q338" s="7" t="n">
        <x:v>2.8881391425745973</x:v>
      </x:c>
      <x:c r="R338" s="7" t="n">
        <x:f>H338+I338*Q338</x:f>
        <x:v>-0.12091386768780454</x:v>
      </x:c>
      <x:c r="S338" s="7" t="n">
        <x:f>R338-L338</x:f>
        <x:v>-0.12091386768780454</x:v>
      </x:c>
      <x:c r="T338" s="7" t="n">
        <x:f>K338-R338</x:f>
        <x:v>0.17567955219762066</x:v>
      </x:c>
      <x:c r="U338" s="7" t="n">
        <x:f>M338-S338-T338</x:f>
        <x:v>0</x:v>
      </x:c>
    </x:row>
    <x:row r="339" ht="27" customHeight="1">
      <x:c r="A339" s="2"/>
      <x:c r="B339" s="2" t="str">
        <x:v>Beauty | organic_volume_growth | PCENDC96</x:v>
      </x:c>
      <x:c r="C339" s="2" t="str">
        <x:v>2025-09-30</x:v>
      </x:c>
      <x:c r="D339" s="2" t="str">
        <x:v>Two months</x:v>
      </x:c>
      <x:c r="E339" s="2" t="str">
        <x:v>2025-09-26</x:v>
      </x:c>
      <x:c r="F339" s="2" t="str">
        <x:v>Recent trend</x:v>
      </x:c>
      <x:c r="G339" s="2" t="n">
        <x:v>14</x:v>
      </x:c>
      <x:c r="H339" s="7" t="n">
        <x:v>-1.1227505622635332</x:v>
      </x:c>
      <x:c r="I339" s="7" t="n">
        <x:v>0.4991712676122301</x:v>
      </x:c>
      <x:c r="J339" s="7" t="n">
        <x:v>3.1009442925561626</x:v>
      </x:c>
      <x:c r="K339" s="7" t="n">
        <x:f>H339+I339*J339</x:f>
        <x:v>0.4251517310466364</x:v>
      </x:c>
      <x:c r="L339" s="7" t="n">
        <x:v>4</x:v>
      </x:c>
      <x:c r="M339" s="7" t="n">
        <x:f>K339-L339</x:f>
        <x:v>-3.574848268953364</x:v>
      </x:c>
      <x:c r="N339" s="7" t="n">
        <x:f>M339^2</x:f>
        <x:v>12.779540146038862</x:v>
      </x:c>
      <x:c r="O339" s="7" t="n">
        <x:v>1</x:v>
      </x:c>
      <x:c r="P339" s="7" t="n">
        <x:v>0.5</x:v>
      </x:c>
      <x:c r="Q339" s="7" t="n">
        <x:v>2.8881391425745973</x:v>
      </x:c>
      <x:c r="R339" s="7" t="n">
        <x:f>H339+I339*Q339</x:f>
        <x:v>0.31892551457592777</x:v>
      </x:c>
      <x:c r="S339" s="7" t="n">
        <x:f>R339-L339</x:f>
        <x:v>-3.6810744854240722</x:v>
      </x:c>
      <x:c r="T339" s="7" t="n">
        <x:f>K339-R339</x:f>
        <x:v>0.10622621647070862</x:v>
      </x:c>
      <x:c r="U339" s="7" t="n">
        <x:f>M339-S339-T339</x:f>
        <x:v>-2.220446049250313e-16</x:v>
      </x:c>
    </x:row>
    <x:row r="340" ht="27" customHeight="1">
      <x:c r="A340" s="2"/>
      <x:c r="B340" s="2" t="str">
        <x:v>Fabric &amp; Home Care | organic_volume_growth | PCENDC96</x:v>
      </x:c>
      <x:c r="C340" s="2" t="str">
        <x:v>2025-09-30</x:v>
      </x:c>
      <x:c r="D340" s="2" t="str">
        <x:v>Two months</x:v>
      </x:c>
      <x:c r="E340" s="2" t="str">
        <x:v>2025-09-26</x:v>
      </x:c>
      <x:c r="F340" s="2" t="str">
        <x:v>Recent trend</x:v>
      </x:c>
      <x:c r="G340" s="2" t="n">
        <x:v>8</x:v>
      </x:c>
      <x:c r="H340" s="7" t="n">
        <x:v>1.3798438022832429</x:v>
      </x:c>
      <x:c r="I340" s="7" t="n">
        <x:v>-0.15592454233556874</x:v>
      </x:c>
      <x:c r="J340" s="7" t="n">
        <x:v>3.1009442925561626</x:v>
      </x:c>
      <x:c r="K340" s="7" t="n">
        <x:f>H340+I340*J340</x:f>
        <x:v>0.8963304826583293</x:v>
      </x:c>
      <x:c r="L340" s="7" t="n">
        <x:v>-2</x:v>
      </x:c>
      <x:c r="M340" s="7" t="n">
        <x:f>K340-L340</x:f>
        <x:v>2.896330482658329</x:v>
      </x:c>
      <x:c r="N340" s="7" t="n">
        <x:f>M340^2</x:f>
        <x:v>8.38873026477583</x:v>
      </x:c>
      <x:c r="O340" s="7" t="n">
        <x:v>0</x:v>
      </x:c>
      <x:c r="P340" s="7" t="n">
        <x:v>0.75</x:v>
      </x:c>
      <x:c r="Q340" s="7" t="n">
        <x:v>2.8881391425745973</x:v>
      </x:c>
      <x:c r="R340" s="7" t="n">
        <x:f>H340+I340*Q340</x:f>
        <x:v>0.9295120282758569</x:v>
      </x:c>
      <x:c r="S340" s="7" t="n">
        <x:f>R340-L340</x:f>
        <x:v>2.929512028275857</x:v>
      </x:c>
      <x:c r="T340" s="7" t="n">
        <x:f>K340-R340</x:f>
        <x:v>-0.03318154561752762</x:v>
      </x:c>
      <x:c r="U340" s="7" t="n">
        <x:f>M340-S340-T340</x:f>
        <x:v>-3.3306690738754696e-16</x:v>
      </x:c>
    </x:row>
    <x:row r="341" ht="27" customHeight="1">
      <x:c r="A341" s="2"/>
      <x:c r="B341" s="2" t="str">
        <x:v>Baby, Feminine &amp; Family Care | organic_volume_growth | PCENDC96</x:v>
      </x:c>
      <x:c r="C341" s="2" t="str">
        <x:v>2025-09-30</x:v>
      </x:c>
      <x:c r="D341" s="2" t="str">
        <x:v>Pre-earnings</x:v>
      </x:c>
      <x:c r="E341" s="2" t="str">
        <x:v>2025-10-23</x:v>
      </x:c>
      <x:c r="F341" s="2" t="str">
        <x:v>YoY carry</x:v>
      </x:c>
      <x:c r="G341" s="2" t="n">
        <x:v>18</x:v>
      </x:c>
      <x:c r="H341" s="7" t="n">
        <x:v>-1.6631811981046392</x:v>
      </x:c>
      <x:c r="I341" s="7" t="n">
        <x:v>0.1096159424435891</x:v>
      </x:c>
      <x:c r="J341" s="7" t="n">
        <x:v>3.2886468481588604</x:v>
      </x:c>
      <x:c r="K341" s="7" t="n">
        <x:f>H341+I341*J341</x:f>
        <x:v>-1.3026930744795668</x:v>
      </x:c>
      <x:c r="L341" s="7" t="n">
        <x:v>0</x:v>
      </x:c>
      <x:c r="M341" s="7" t="n">
        <x:f>K341-L341</x:f>
        <x:v>-1.3026930744795668</x:v>
      </x:c>
      <x:c r="N341" s="7" t="n">
        <x:f>M341^2</x:f>
        <x:v>1.6970092462970263</x:v>
      </x:c>
      <x:c r="O341" s="7" t="n">
        <x:v>0</x:v>
      </x:c>
      <x:c r="P341" s="7" t="n">
        <x:v>0.25</x:v>
      </x:c>
      <x:c r="Q341" s="7" t="n">
        <x:v>2.8881391425745973</x:v>
      </x:c>
      <x:c r="R341" s="7" t="n">
        <x:f>H341+I341*Q341</x:f>
        <x:v>-1.3465951040831055</x:v>
      </x:c>
      <x:c r="S341" s="7" t="n">
        <x:f>R341-L341</x:f>
        <x:v>-1.3465951040831055</x:v>
      </x:c>
      <x:c r="T341" s="7" t="n">
        <x:f>K341-R341</x:f>
        <x:v>0.04390202960353862</x:v>
      </x:c>
      <x:c r="U341" s="7" t="n">
        <x:f>M341-S341-T341</x:f>
        <x:v>0</x:v>
      </x:c>
    </x:row>
    <x:row r="342" ht="27" customHeight="1">
      <x:c r="A342" s="2"/>
      <x:c r="B342" s="2" t="str">
        <x:v>Beauty | organic_volume_growth | PCENDC96</x:v>
      </x:c>
      <x:c r="C342" s="2" t="str">
        <x:v>2025-09-30</x:v>
      </x:c>
      <x:c r="D342" s="2" t="str">
        <x:v>Pre-earnings</x:v>
      </x:c>
      <x:c r="E342" s="2" t="str">
        <x:v>2025-10-23</x:v>
      </x:c>
      <x:c r="F342" s="2" t="str">
        <x:v>YoY carry</x:v>
      </x:c>
      <x:c r="G342" s="2" t="n">
        <x:v>18</x:v>
      </x:c>
      <x:c r="H342" s="7" t="n">
        <x:v>-0.7634621368284027</x:v>
      </x:c>
      <x:c r="I342" s="7" t="n">
        <x:v>0.21679107287119095</x:v>
      </x:c>
      <x:c r="J342" s="7" t="n">
        <x:v>3.2886468481588604</x:v>
      </x:c>
      <x:c r="K342" s="7" t="n">
        <x:f>H342+I342*J342</x:f>
        <x:v>-0.0505128583215827</x:v>
      </x:c>
      <x:c r="L342" s="7" t="n">
        <x:v>4</x:v>
      </x:c>
      <x:c r="M342" s="7" t="n">
        <x:f>K342-L342</x:f>
        <x:v>-4.050512858321583</x:v>
      </x:c>
      <x:c r="N342" s="7" t="n">
        <x:f>M342^2</x:f>
        <x:v>16.40665441542848</x:v>
      </x:c>
      <x:c r="O342" s="7" t="n">
        <x:v>1</x:v>
      </x:c>
      <x:c r="P342" s="7" t="n">
        <x:v>0.5</x:v>
      </x:c>
      <x:c r="Q342" s="7" t="n">
        <x:v>2.8881391425745973</x:v>
      </x:c>
      <x:c r="R342" s="7" t="n">
        <x:f>H342+I342*Q342</x:f>
        <x:v>-0.13733935350837423</x:v>
      </x:c>
      <x:c r="S342" s="7" t="n">
        <x:f>R342-L342</x:f>
        <x:v>-4.1373393535083745</x:v>
      </x:c>
      <x:c r="T342" s="7" t="n">
        <x:f>K342-R342</x:f>
        <x:v>0.08682649518679153</x:v>
      </x:c>
      <x:c r="U342" s="7" t="n">
        <x:f>M342-S342-T342</x:f>
        <x:v>-1.1102230246251565e-16</x:v>
      </x:c>
    </x:row>
    <x:row r="343" ht="27" customHeight="1">
      <x:c r="A343" s="2"/>
      <x:c r="B343" s="2" t="str">
        <x:v>Fabric &amp; Home Care | organic_volume_growth | PCENDC96</x:v>
      </x:c>
      <x:c r="C343" s="2" t="str">
        <x:v>2025-09-30</x:v>
      </x:c>
      <x:c r="D343" s="2" t="str">
        <x:v>Pre-earnings</x:v>
      </x:c>
      <x:c r="E343" s="2" t="str">
        <x:v>2025-10-23</x:v>
      </x:c>
      <x:c r="F343" s="2" t="str">
        <x:v>YoY carry</x:v>
      </x:c>
      <x:c r="G343" s="2" t="n">
        <x:v>8</x:v>
      </x:c>
      <x:c r="H343" s="7" t="n">
        <x:v>1.3798438022832429</x:v>
      </x:c>
      <x:c r="I343" s="7" t="n">
        <x:v>-0.15592454233556874</x:v>
      </x:c>
      <x:c r="J343" s="7" t="n">
        <x:v>3.2886468481588604</x:v>
      </x:c>
      <x:c r="K343" s="7" t="n">
        <x:f>H343+I343*J343</x:f>
        <x:v>0.8670630475807619</x:v>
      </x:c>
      <x:c r="L343" s="7" t="n">
        <x:v>-2</x:v>
      </x:c>
      <x:c r="M343" s="7" t="n">
        <x:f>K343-L343</x:f>
        <x:v>2.867063047580762</x:v>
      </x:c>
      <x:c r="N343" s="7" t="n">
        <x:f>M343^2</x:f>
        <x:v>8.220050518803086</x:v>
      </x:c>
      <x:c r="O343" s="7" t="n">
        <x:v>0</x:v>
      </x:c>
      <x:c r="P343" s="7" t="n">
        <x:v>0.75</x:v>
      </x:c>
      <x:c r="Q343" s="7" t="n">
        <x:v>2.8881391425745973</x:v>
      </x:c>
      <x:c r="R343" s="7" t="n">
        <x:f>H343+I343*Q343</x:f>
        <x:v>0.9295120282758569</x:v>
      </x:c>
      <x:c r="S343" s="7" t="n">
        <x:f>R343-L343</x:f>
        <x:v>2.929512028275857</x:v>
      </x:c>
      <x:c r="T343" s="7" t="n">
        <x:f>K343-R343</x:f>
        <x:v>-0.06244898069509497</x:v>
      </x:c>
      <x:c r="U343" s="7" t="n">
        <x:f>M343-S343-T343</x:f>
        <x:v>-2.220446049250313e-16</x:v>
      </x:c>
    </x:row>
    <x:row r="344" ht="27" customHeight="1">
      <x:c r="A344" s="2"/>
      <x:c r="B344" s="2" t="str">
        <x:v>Baby, Feminine &amp; Family Care | organic_volume_growth | PCENDC96</x:v>
      </x:c>
      <x:c r="C344" s="2" t="str">
        <x:v>2025-09-30</x:v>
      </x:c>
      <x:c r="D344" s="2" t="str">
        <x:v>Pre-earnings</x:v>
      </x:c>
      <x:c r="E344" s="2" t="str">
        <x:v>2025-10-23</x:v>
      </x:c>
      <x:c r="F344" s="2" t="str">
        <x:v>Flat level</x:v>
      </x:c>
      <x:c r="G344" s="2" t="n">
        <x:v>18</x:v>
      </x:c>
      <x:c r="H344" s="7" t="n">
        <x:v>-1.6631811981046392</x:v>
      </x:c>
      <x:c r="I344" s="7" t="n">
        <x:v>0.1096159424435891</x:v>
      </x:c>
      <x:c r="J344" s="7" t="n">
        <x:v>2.983150097919429</x:v>
      </x:c>
      <x:c r="K344" s="7" t="n">
        <x:f>H344+I344*J344</x:f>
        <x:v>-1.336180388670516</x:v>
      </x:c>
      <x:c r="L344" s="7" t="n">
        <x:v>0</x:v>
      </x:c>
      <x:c r="M344" s="7" t="n">
        <x:f>K344-L344</x:f>
        <x:v>-1.336180388670516</x:v>
      </x:c>
      <x:c r="N344" s="7" t="n">
        <x:f>M344^2</x:f>
        <x:v>1.785378031067691</x:v>
      </x:c>
      <x:c r="O344" s="7" t="n">
        <x:v>0</x:v>
      </x:c>
      <x:c r="P344" s="7" t="n">
        <x:v>0.25</x:v>
      </x:c>
      <x:c r="Q344" s="7" t="n">
        <x:v>2.8881391425745973</x:v>
      </x:c>
      <x:c r="R344" s="7" t="n">
        <x:f>H344+I344*Q344</x:f>
        <x:v>-1.3465951040831055</x:v>
      </x:c>
      <x:c r="S344" s="7" t="n">
        <x:f>R344-L344</x:f>
        <x:v>-1.3465951040831055</x:v>
      </x:c>
      <x:c r="T344" s="7" t="n">
        <x:f>K344-R344</x:f>
        <x:v>0.010414715412589537</x:v>
      </x:c>
      <x:c r="U344" s="7" t="n">
        <x:f>M344-S344-T344</x:f>
        <x:v>0</x:v>
      </x:c>
    </x:row>
    <x:row r="345" ht="27" customHeight="1">
      <x:c r="A345" s="2"/>
      <x:c r="B345" s="2" t="str">
        <x:v>Beauty | organic_volume_growth | PCENDC96</x:v>
      </x:c>
      <x:c r="C345" s="2" t="str">
        <x:v>2025-09-30</x:v>
      </x:c>
      <x:c r="D345" s="2" t="str">
        <x:v>Pre-earnings</x:v>
      </x:c>
      <x:c r="E345" s="2" t="str">
        <x:v>2025-10-23</x:v>
      </x:c>
      <x:c r="F345" s="2" t="str">
        <x:v>Flat level</x:v>
      </x:c>
      <x:c r="G345" s="2" t="n">
        <x:v>18</x:v>
      </x:c>
      <x:c r="H345" s="7" t="n">
        <x:v>-0.7634621368284027</x:v>
      </x:c>
      <x:c r="I345" s="7" t="n">
        <x:v>0.21679107287119095</x:v>
      </x:c>
      <x:c r="J345" s="7" t="n">
        <x:v>2.983150097919429</x:v>
      </x:c>
      <x:c r="K345" s="7" t="n">
        <x:f>H345+I345*J345</x:f>
        <x:v>-0.11674182656465126</x:v>
      </x:c>
      <x:c r="L345" s="7" t="n">
        <x:v>4</x:v>
      </x:c>
      <x:c r="M345" s="7" t="n">
        <x:f>K345-L345</x:f>
        <x:v>-4.116741826564652</x:v>
      </x:c>
      <x:c r="N345" s="7" t="n">
        <x:f>M345^2</x:f>
        <x:v>16.947563266586865</x:v>
      </x:c>
      <x:c r="O345" s="7" t="n">
        <x:v>1</x:v>
      </x:c>
      <x:c r="P345" s="7" t="n">
        <x:v>0.5</x:v>
      </x:c>
      <x:c r="Q345" s="7" t="n">
        <x:v>2.8881391425745973</x:v>
      </x:c>
      <x:c r="R345" s="7" t="n">
        <x:f>H345+I345*Q345</x:f>
        <x:v>-0.13733935350837423</x:v>
      </x:c>
      <x:c r="S345" s="7" t="n">
        <x:f>R345-L345</x:f>
        <x:v>-4.1373393535083745</x:v>
      </x:c>
      <x:c r="T345" s="7" t="n">
        <x:f>K345-R345</x:f>
        <x:v>0.020597526943722966</x:v>
      </x:c>
      <x:c r="U345" s="7" t="n">
        <x:f>M345-S345-T345</x:f>
        <x:v>-1.1102230246251565e-16</x:v>
      </x:c>
    </x:row>
    <x:row r="346" ht="27" customHeight="1">
      <x:c r="A346" s="2"/>
      <x:c r="B346" s="2" t="str">
        <x:v>Fabric &amp; Home Care | organic_volume_growth | PCENDC96</x:v>
      </x:c>
      <x:c r="C346" s="2" t="str">
        <x:v>2025-09-30</x:v>
      </x:c>
      <x:c r="D346" s="2" t="str">
        <x:v>Pre-earnings</x:v>
      </x:c>
      <x:c r="E346" s="2" t="str">
        <x:v>2025-10-23</x:v>
      </x:c>
      <x:c r="F346" s="2" t="str">
        <x:v>Flat level</x:v>
      </x:c>
      <x:c r="G346" s="2" t="n">
        <x:v>8</x:v>
      </x:c>
      <x:c r="H346" s="7" t="n">
        <x:v>1.3798438022832429</x:v>
      </x:c>
      <x:c r="I346" s="7" t="n">
        <x:v>-0.15592454233556874</x:v>
      </x:c>
      <x:c r="J346" s="7" t="n">
        <x:v>2.983150097919429</x:v>
      </x:c>
      <x:c r="K346" s="7" t="n">
        <x:f>H346+I346*J346</x:f>
        <x:v>0.9146974885468488</x:v>
      </x:c>
      <x:c r="L346" s="7" t="n">
        <x:v>-2</x:v>
      </x:c>
      <x:c r="M346" s="7" t="n">
        <x:f>K346-L346</x:f>
        <x:v>2.9146974885468486</x:v>
      </x:c>
      <x:c r="N346" s="7" t="n">
        <x:f>M346^2</x:f>
        <x:v>8.495461449741306</x:v>
      </x:c>
      <x:c r="O346" s="7" t="n">
        <x:v>0</x:v>
      </x:c>
      <x:c r="P346" s="7" t="n">
        <x:v>0.75</x:v>
      </x:c>
      <x:c r="Q346" s="7" t="n">
        <x:v>2.8881391425745973</x:v>
      </x:c>
      <x:c r="R346" s="7" t="n">
        <x:f>H346+I346*Q346</x:f>
        <x:v>0.9295120282758569</x:v>
      </x:c>
      <x:c r="S346" s="7" t="n">
        <x:f>R346-L346</x:f>
        <x:v>2.929512028275857</x:v>
      </x:c>
      <x:c r="T346" s="7" t="n">
        <x:f>K346-R346</x:f>
        <x:v>-0.014814539729008036</x:v>
      </x:c>
      <x:c r="U346" s="7" t="n">
        <x:f>M346-S346-T346</x:f>
        <x:v>-4.440892098500626e-16</x:v>
      </x:c>
    </x:row>
    <x:row r="347" ht="27" customHeight="1">
      <x:c r="A347" s="2"/>
      <x:c r="B347" s="2" t="str">
        <x:v>Baby, Feminine &amp; Family Care | organic_volume_growth | PCENDC96</x:v>
      </x:c>
      <x:c r="C347" s="2" t="str">
        <x:v>2025-09-30</x:v>
      </x:c>
      <x:c r="D347" s="2" t="str">
        <x:v>Pre-earnings</x:v>
      </x:c>
      <x:c r="E347" s="2" t="str">
        <x:v>2025-10-23</x:v>
      </x:c>
      <x:c r="F347" s="2" t="str">
        <x:v>Recent trend</x:v>
      </x:c>
      <x:c r="G347" s="2" t="n">
        <x:v>18</x:v>
      </x:c>
      <x:c r="H347" s="7" t="n">
        <x:v>-1.6631811981046392</x:v>
      </x:c>
      <x:c r="I347" s="7" t="n">
        <x:v>0.1096159424435891</x:v>
      </x:c>
      <x:c r="J347" s="7" t="n">
        <x:v>3.1009442925561626</x:v>
      </x:c>
      <x:c r="K347" s="7" t="n">
        <x:f>H347+I347*J347</x:f>
        <x:v>-1.3232682670110267</x:v>
      </x:c>
      <x:c r="L347" s="7" t="n">
        <x:v>0</x:v>
      </x:c>
      <x:c r="M347" s="7" t="n">
        <x:f>K347-L347</x:f>
        <x:v>-1.3232682670110267</x:v>
      </x:c>
      <x:c r="N347" s="7" t="n">
        <x:f>M347^2</x:f>
        <x:v>1.751038906478366</x:v>
      </x:c>
      <x:c r="O347" s="7" t="n">
        <x:v>0</x:v>
      </x:c>
      <x:c r="P347" s="7" t="n">
        <x:v>0.25</x:v>
      </x:c>
      <x:c r="Q347" s="7" t="n">
        <x:v>2.8881391425745973</x:v>
      </x:c>
      <x:c r="R347" s="7" t="n">
        <x:f>H347+I347*Q347</x:f>
        <x:v>-1.3465951040831055</x:v>
      </x:c>
      <x:c r="S347" s="7" t="n">
        <x:f>R347-L347</x:f>
        <x:v>-1.3465951040831055</x:v>
      </x:c>
      <x:c r="T347" s="7" t="n">
        <x:f>K347-R347</x:f>
        <x:v>0.02332683707207872</x:v>
      </x:c>
      <x:c r="U347" s="7" t="n">
        <x:f>M347-S347-T347</x:f>
        <x:v>0</x:v>
      </x:c>
    </x:row>
    <x:row r="348" ht="27" customHeight="1">
      <x:c r="A348" s="2"/>
      <x:c r="B348" s="2" t="str">
        <x:v>Beauty | organic_volume_growth | PCENDC96</x:v>
      </x:c>
      <x:c r="C348" s="2" t="str">
        <x:v>2025-09-30</x:v>
      </x:c>
      <x:c r="D348" s="2" t="str">
        <x:v>Pre-earnings</x:v>
      </x:c>
      <x:c r="E348" s="2" t="str">
        <x:v>2025-10-23</x:v>
      </x:c>
      <x:c r="F348" s="2" t="str">
        <x:v>Recent trend</x:v>
      </x:c>
      <x:c r="G348" s="2" t="n">
        <x:v>18</x:v>
      </x:c>
      <x:c r="H348" s="7" t="n">
        <x:v>-0.7634621368284027</x:v>
      </x:c>
      <x:c r="I348" s="7" t="n">
        <x:v>0.21679107287119095</x:v>
      </x:c>
      <x:c r="J348" s="7" t="n">
        <x:v>3.1009442925561626</x:v>
      </x:c>
      <x:c r="K348" s="7" t="n">
        <x:f>H348+I348*J348</x:f>
        <x:v>-0.09120509673135602</x:v>
      </x:c>
      <x:c r="L348" s="7" t="n">
        <x:v>4</x:v>
      </x:c>
      <x:c r="M348" s="7" t="n">
        <x:f>K348-L348</x:f>
        <x:v>-4.091205096731356</x:v>
      </x:c>
      <x:c r="N348" s="7" t="n">
        <x:f>M348^2</x:f>
        <x:v>16.737959143520623</x:v>
      </x:c>
      <x:c r="O348" s="7" t="n">
        <x:v>1</x:v>
      </x:c>
      <x:c r="P348" s="7" t="n">
        <x:v>0.5</x:v>
      </x:c>
      <x:c r="Q348" s="7" t="n">
        <x:v>2.8881391425745973</x:v>
      </x:c>
      <x:c r="R348" s="7" t="n">
        <x:f>H348+I348*Q348</x:f>
        <x:v>-0.13733935350837423</x:v>
      </x:c>
      <x:c r="S348" s="7" t="n">
        <x:f>R348-L348</x:f>
        <x:v>-4.1373393535083745</x:v>
      </x:c>
      <x:c r="T348" s="7" t="n">
        <x:f>K348-R348</x:f>
        <x:v>0.04613425677701821</x:v>
      </x:c>
      <x:c r="U348" s="7" t="n">
        <x:f>M348-S348-T348</x:f>
        <x:v>4.440892098500626e-16</x:v>
      </x:c>
    </x:row>
    <x:row r="349" ht="27" customHeight="1">
      <x:c r="A349" s="2"/>
      <x:c r="B349" s="2" t="str">
        <x:v>Fabric &amp; Home Care | organic_volume_growth | PCENDC96</x:v>
      </x:c>
      <x:c r="C349" s="2" t="str">
        <x:v>2025-09-30</x:v>
      </x:c>
      <x:c r="D349" s="2" t="str">
        <x:v>Pre-earnings</x:v>
      </x:c>
      <x:c r="E349" s="2" t="str">
        <x:v>2025-10-23</x:v>
      </x:c>
      <x:c r="F349" s="2" t="str">
        <x:v>Recent trend</x:v>
      </x:c>
      <x:c r="G349" s="2" t="n">
        <x:v>8</x:v>
      </x:c>
      <x:c r="H349" s="7" t="n">
        <x:v>1.3798438022832429</x:v>
      </x:c>
      <x:c r="I349" s="7" t="n">
        <x:v>-0.15592454233556874</x:v>
      </x:c>
      <x:c r="J349" s="7" t="n">
        <x:v>3.1009442925561626</x:v>
      </x:c>
      <x:c r="K349" s="7" t="n">
        <x:f>H349+I349*J349</x:f>
        <x:v>0.8963304826583293</x:v>
      </x:c>
      <x:c r="L349" s="7" t="n">
        <x:v>-2</x:v>
      </x:c>
      <x:c r="M349" s="7" t="n">
        <x:f>K349-L349</x:f>
        <x:v>2.896330482658329</x:v>
      </x:c>
      <x:c r="N349" s="7" t="n">
        <x:f>M349^2</x:f>
        <x:v>8.38873026477583</x:v>
      </x:c>
      <x:c r="O349" s="7" t="n">
        <x:v>0</x:v>
      </x:c>
      <x:c r="P349" s="7" t="n">
        <x:v>0.75</x:v>
      </x:c>
      <x:c r="Q349" s="7" t="n">
        <x:v>2.8881391425745973</x:v>
      </x:c>
      <x:c r="R349" s="7" t="n">
        <x:f>H349+I349*Q349</x:f>
        <x:v>0.9295120282758569</x:v>
      </x:c>
      <x:c r="S349" s="7" t="n">
        <x:f>R349-L349</x:f>
        <x:v>2.929512028275857</x:v>
      </x:c>
      <x:c r="T349" s="7" t="n">
        <x:f>K349-R349</x:f>
        <x:v>-0.03318154561752762</x:v>
      </x:c>
      <x:c r="U349" s="7" t="n">
        <x:f>M349-S349-T349</x:f>
        <x:v>-3.3306690738754696e-16</x:v>
      </x:c>
    </x:row>
    <x:row r="350" ht="27" customHeight="1">
      <x:c r="A350" s="2"/>
      <x:c r="B350" s="2" t="str">
        <x:v>Baby, Feminine &amp; Family Care | organic_volume_growth | PCENDC96</x:v>
      </x:c>
      <x:c r="C350" s="2" t="str">
        <x:v>2025-12-31</x:v>
      </x:c>
      <x:c r="D350" s="2" t="str">
        <x:v>Origin</x:v>
      </x:c>
      <x:c r="E350" s="2" t="str">
        <x:v>2025-10-01</x:v>
      </x:c>
      <x:c r="F350" s="2" t="str">
        <x:v>YoY carry</x:v>
      </x:c>
      <x:c r="G350" s="2" t="n">
        <x:v>18</x:v>
      </x:c>
      <x:c r="H350" s="7" t="n">
        <x:v>-1.6631811981046392</x:v>
      </x:c>
      <x:c r="I350" s="7" t="n">
        <x:v>0.1096159424435891</x:v>
      </x:c>
      <x:c r="J350" s="7" t="n">
        <x:v>3.299678659475047</x:v>
      </x:c>
      <x:c r="K350" s="7" t="n">
        <x:f>H350+I350*J350</x:f>
        <x:v>-1.3014838120852832</x:v>
      </x:c>
      <x:c r="L350" s="7" t="n">
        <x:v>-5</x:v>
      </x:c>
      <x:c r="M350" s="7" t="n">
        <x:f>K350-L350</x:f>
        <x:v>3.698516187914717</x:v>
      </x:c>
      <x:c r="N350" s="7" t="n">
        <x:f>M350^2</x:f>
        <x:v>13.67902199226721</x:v>
      </x:c>
      <x:c r="O350" s="7" t="n">
        <x:v>0</x:v>
      </x:c>
      <x:c r="P350" s="7" t="n">
        <x:v>0.25</x:v>
      </x:c>
      <x:c r="Q350" s="7" t="n">
        <x:v>2.459032140318529</x:v>
      </x:c>
      <x:c r="R350" s="7" t="n">
        <x:f>H350+I350*Q350</x:f>
        <x:v>-1.3936320725445475</x:v>
      </x:c>
      <x:c r="S350" s="7" t="n">
        <x:f>R350-L350</x:f>
        <x:v>3.6063679274554525</x:v>
      </x:c>
      <x:c r="T350" s="7" t="n">
        <x:f>K350-R350</x:f>
        <x:v>0.09214826045926428</x:v>
      </x:c>
      <x:c r="U350" s="7" t="n">
        <x:f>M350-S350-T350</x:f>
        <x:v>0</x:v>
      </x:c>
    </x:row>
    <x:row r="351" ht="27" customHeight="1">
      <x:c r="A351" s="2"/>
      <x:c r="B351" s="2" t="str">
        <x:v>Beauty | organic_volume_growth | PCENDC96</x:v>
      </x:c>
      <x:c r="C351" s="2" t="str">
        <x:v>2025-12-31</x:v>
      </x:c>
      <x:c r="D351" s="2" t="str">
        <x:v>Origin</x:v>
      </x:c>
      <x:c r="E351" s="2" t="str">
        <x:v>2025-10-01</x:v>
      </x:c>
      <x:c r="F351" s="2" t="str">
        <x:v>YoY carry</x:v>
      </x:c>
      <x:c r="G351" s="2" t="n">
        <x:v>18</x:v>
      </x:c>
      <x:c r="H351" s="7" t="n">
        <x:v>-0.7634621368284027</x:v>
      </x:c>
      <x:c r="I351" s="7" t="n">
        <x:v>0.21679107287119095</x:v>
      </x:c>
      <x:c r="J351" s="7" t="n">
        <x:v>3.299678659475047</x:v>
      </x:c>
      <x:c r="K351" s="7" t="n">
        <x:f>H351+I351*J351</x:f>
        <x:v>-0.04812126011063411</x:v>
      </x:c>
      <x:c r="L351" s="7" t="n">
        <x:v>3</x:v>
      </x:c>
      <x:c r="M351" s="7" t="n">
        <x:f>K351-L351</x:f>
        <x:v>-3.048121260110634</x:v>
      </x:c>
      <x:c r="N351" s="7" t="n">
        <x:f>M351^2</x:f>
        <x:v>9.291043216338439</x:v>
      </x:c>
      <x:c r="O351" s="7" t="n">
        <x:v>1</x:v>
      </x:c>
      <x:c r="P351" s="7" t="n">
        <x:v>0.5</x:v>
      </x:c>
      <x:c r="Q351" s="7" t="n">
        <x:v>2.459032140318529</x:v>
      </x:c>
      <x:c r="R351" s="7" t="n">
        <x:f>H351+I351*Q351</x:f>
        <x:v>-0.23036592090400787</x:v>
      </x:c>
      <x:c r="S351" s="7" t="n">
        <x:f>R351-L351</x:f>
        <x:v>-3.230365920904008</x:v>
      </x:c>
      <x:c r="T351" s="7" t="n">
        <x:f>K351-R351</x:f>
        <x:v>0.18224466079337376</x:v>
      </x:c>
      <x:c r="U351" s="7" t="n">
        <x:f>M351-S351-T351</x:f>
        <x:v>3.3306690738754696e-16</x:v>
      </x:c>
    </x:row>
    <x:row r="352" ht="27" customHeight="1">
      <x:c r="A352" s="2"/>
      <x:c r="B352" s="2" t="str">
        <x:v>Fabric &amp; Home Care | organic_volume_growth | PCENDC96</x:v>
      </x:c>
      <x:c r="C352" s="2" t="str">
        <x:v>2025-12-31</x:v>
      </x:c>
      <x:c r="D352" s="2" t="str">
        <x:v>Origin</x:v>
      </x:c>
      <x:c r="E352" s="2" t="str">
        <x:v>2025-10-01</x:v>
      </x:c>
      <x:c r="F352" s="2" t="str">
        <x:v>YoY carry</x:v>
      </x:c>
      <x:c r="G352" s="2" t="n">
        <x:v>8</x:v>
      </x:c>
      <x:c r="H352" s="7" t="n">
        <x:v>1.3798438022832429</x:v>
      </x:c>
      <x:c r="I352" s="7" t="n">
        <x:v>-0.15592454233556874</x:v>
      </x:c>
      <x:c r="J352" s="7" t="n">
        <x:v>3.299678659475047</x:v>
      </x:c>
      <x:c r="K352" s="7" t="n">
        <x:f>H352+I352*J352</x:f>
        <x:v>0.8653429174501532</x:v>
      </x:c>
      <x:c r="L352" s="7" t="n">
        <x:v>0</x:v>
      </x:c>
      <x:c r="M352" s="7" t="n">
        <x:f>K352-L352</x:f>
        <x:v>0.8653429174501532</x:v>
      </x:c>
      <x:c r="N352" s="7" t="n">
        <x:f>M352^2</x:f>
        <x:v>0.7488183647811427</x:v>
      </x:c>
      <x:c r="O352" s="7" t="n">
        <x:v>0</x:v>
      </x:c>
      <x:c r="P352" s="7" t="n">
        <x:v>0.75</x:v>
      </x:c>
      <x:c r="Q352" s="7" t="n">
        <x:v>2.459032140318529</x:v>
      </x:c>
      <x:c r="R352" s="7" t="n">
        <x:f>H352+I352*Q352</x:f>
        <x:v>0.9964203412156223</x:v>
      </x:c>
      <x:c r="S352" s="7" t="n">
        <x:f>R352-L352</x:f>
        <x:v>0.9964203412156223</x:v>
      </x:c>
      <x:c r="T352" s="7" t="n">
        <x:f>K352-R352</x:f>
        <x:v>-0.13107742376546905</x:v>
      </x:c>
      <x:c r="U352" s="7" t="n">
        <x:f>M352-S352-T352</x:f>
        <x:v>0</x:v>
      </x:c>
    </x:row>
    <x:row r="353" ht="27" customHeight="1">
      <x:c r="A353" s="2"/>
      <x:c r="B353" s="2" t="str">
        <x:v>Baby, Feminine &amp; Family Care | organic_volume_growth | PCENDC96</x:v>
      </x:c>
      <x:c r="C353" s="2" t="str">
        <x:v>2025-12-31</x:v>
      </x:c>
      <x:c r="D353" s="2" t="str">
        <x:v>Origin</x:v>
      </x:c>
      <x:c r="E353" s="2" t="str">
        <x:v>2025-10-01</x:v>
      </x:c>
      <x:c r="F353" s="2" t="str">
        <x:v>Flat level</x:v>
      </x:c>
      <x:c r="G353" s="2" t="n">
        <x:v>18</x:v>
      </x:c>
      <x:c r="H353" s="7" t="n">
        <x:v>-1.6631811981046392</x:v>
      </x:c>
      <x:c r="I353" s="7" t="n">
        <x:v>0.1096159424435891</x:v>
      </x:c>
      <x:c r="J353" s="7" t="n">
        <x:v>2.216010604576102</x:v>
      </x:c>
      <x:c r="K353" s="7" t="n">
        <x:f>H353+I353*J353</x:f>
        <x:v>-1.4202711072190422</x:v>
      </x:c>
      <x:c r="L353" s="7" t="n">
        <x:v>-5</x:v>
      </x:c>
      <x:c r="M353" s="7" t="n">
        <x:f>K353-L353</x:f>
        <x:v>3.579728892780958</x:v>
      </x:c>
      <x:c r="N353" s="7" t="n">
        <x:f>M353^2</x:f>
        <x:v>12.814458945810783</x:v>
      </x:c>
      <x:c r="O353" s="7" t="n">
        <x:v>0</x:v>
      </x:c>
      <x:c r="P353" s="7" t="n">
        <x:v>0.25</x:v>
      </x:c>
      <x:c r="Q353" s="7" t="n">
        <x:v>2.459032140318529</x:v>
      </x:c>
      <x:c r="R353" s="7" t="n">
        <x:f>H353+I353*Q353</x:f>
        <x:v>-1.3936320725445475</x:v>
      </x:c>
      <x:c r="S353" s="7" t="n">
        <x:f>R353-L353</x:f>
        <x:v>3.6063679274554525</x:v>
      </x:c>
      <x:c r="T353" s="7" t="n">
        <x:f>K353-R353</x:f>
        <x:v>-0.026639034674494688</x:v>
      </x:c>
      <x:c r="U353" s="7" t="n">
        <x:f>M353-S353-T353</x:f>
        <x:v>0</x:v>
      </x:c>
    </x:row>
    <x:row r="354" ht="27" customHeight="1">
      <x:c r="A354" s="2"/>
      <x:c r="B354" s="2" t="str">
        <x:v>Beauty | organic_volume_growth | PCENDC96</x:v>
      </x:c>
      <x:c r="C354" s="2" t="str">
        <x:v>2025-12-31</x:v>
      </x:c>
      <x:c r="D354" s="2" t="str">
        <x:v>Origin</x:v>
      </x:c>
      <x:c r="E354" s="2" t="str">
        <x:v>2025-10-01</x:v>
      </x:c>
      <x:c r="F354" s="2" t="str">
        <x:v>Flat level</x:v>
      </x:c>
      <x:c r="G354" s="2" t="n">
        <x:v>18</x:v>
      </x:c>
      <x:c r="H354" s="7" t="n">
        <x:v>-0.7634621368284027</x:v>
      </x:c>
      <x:c r="I354" s="7" t="n">
        <x:v>0.21679107287119095</x:v>
      </x:c>
      <x:c r="J354" s="7" t="n">
        <x:v>2.216010604576102</x:v>
      </x:c>
      <x:c r="K354" s="7" t="n">
        <x:f>H354+I354*J354</x:f>
        <x:v>-0.28305082036841306</x:v>
      </x:c>
      <x:c r="L354" s="7" t="n">
        <x:v>3</x:v>
      </x:c>
      <x:c r="M354" s="7" t="n">
        <x:f>K354-L354</x:f>
        <x:v>-3.283050820368413</x:v>
      </x:c>
      <x:c r="N354" s="7" t="n">
        <x:f>M354^2</x:f>
        <x:v>10.77842268912171</x:v>
      </x:c>
      <x:c r="O354" s="7" t="n">
        <x:v>1</x:v>
      </x:c>
      <x:c r="P354" s="7" t="n">
        <x:v>0.5</x:v>
      </x:c>
      <x:c r="Q354" s="7" t="n">
        <x:v>2.459032140318529</x:v>
      </x:c>
      <x:c r="R354" s="7" t="n">
        <x:f>H354+I354*Q354</x:f>
        <x:v>-0.23036592090400787</x:v>
      </x:c>
      <x:c r="S354" s="7" t="n">
        <x:f>R354-L354</x:f>
        <x:v>-3.230365920904008</x:v>
      </x:c>
      <x:c r="T354" s="7" t="n">
        <x:f>K354-R354</x:f>
        <x:v>-0.05268489946440519</x:v>
      </x:c>
      <x:c r="U354" s="7" t="n">
        <x:f>M354-S354-T354</x:f>
        <x:v>2.7755575615628914e-16</x:v>
      </x:c>
    </x:row>
    <x:row r="355" ht="27" customHeight="1">
      <x:c r="A355" s="2"/>
      <x:c r="B355" s="2" t="str">
        <x:v>Fabric &amp; Home Care | organic_volume_growth | PCENDC96</x:v>
      </x:c>
      <x:c r="C355" s="2" t="str">
        <x:v>2025-12-31</x:v>
      </x:c>
      <x:c r="D355" s="2" t="str">
        <x:v>Origin</x:v>
      </x:c>
      <x:c r="E355" s="2" t="str">
        <x:v>2025-10-01</x:v>
      </x:c>
      <x:c r="F355" s="2" t="str">
        <x:v>Flat level</x:v>
      </x:c>
      <x:c r="G355" s="2" t="n">
        <x:v>8</x:v>
      </x:c>
      <x:c r="H355" s="7" t="n">
        <x:v>1.3798438022832429</x:v>
      </x:c>
      <x:c r="I355" s="7" t="n">
        <x:v>-0.15592454233556874</x:v>
      </x:c>
      <x:c r="J355" s="7" t="n">
        <x:v>2.216010604576102</x:v>
      </x:c>
      <x:c r="K355" s="7" t="n">
        <x:f>H355+I355*J355</x:f>
        <x:v>1.0343133629539472</x:v>
      </x:c>
      <x:c r="L355" s="7" t="n">
        <x:v>0</x:v>
      </x:c>
      <x:c r="M355" s="7" t="n">
        <x:f>K355-L355</x:f>
        <x:v>1.0343133629539472</x:v>
      </x:c>
      <x:c r="N355" s="7" t="n">
        <x:f>M355^2</x:f>
        <x:v>1.0698041327851036</x:v>
      </x:c>
      <x:c r="O355" s="7" t="n">
        <x:v>0</x:v>
      </x:c>
      <x:c r="P355" s="7" t="n">
        <x:v>0.75</x:v>
      </x:c>
      <x:c r="Q355" s="7" t="n">
        <x:v>2.459032140318529</x:v>
      </x:c>
      <x:c r="R355" s="7" t="n">
        <x:f>H355+I355*Q355</x:f>
        <x:v>0.9964203412156223</x:v>
      </x:c>
      <x:c r="S355" s="7" t="n">
        <x:f>R355-L355</x:f>
        <x:v>0.9964203412156223</x:v>
      </x:c>
      <x:c r="T355" s="7" t="n">
        <x:f>K355-R355</x:f>
        <x:v>0.03789302173832487</x:v>
      </x:c>
      <x:c r="U355" s="7" t="n">
        <x:f>M355-S355-T355</x:f>
        <x:v>0</x:v>
      </x:c>
    </x:row>
    <x:row r="356" ht="27" customHeight="1">
      <x:c r="A356" s="2"/>
      <x:c r="B356" s="2" t="str">
        <x:v>Baby, Feminine &amp; Family Care | organic_volume_growth | PCENDC96</x:v>
      </x:c>
      <x:c r="C356" s="2" t="str">
        <x:v>2025-12-31</x:v>
      </x:c>
      <x:c r="D356" s="2" t="str">
        <x:v>Origin</x:v>
      </x:c>
      <x:c r="E356" s="2" t="str">
        <x:v>2025-10-01</x:v>
      </x:c>
      <x:c r="F356" s="2" t="str">
        <x:v>Recent trend</x:v>
      </x:c>
      <x:c r="G356" s="2" t="n">
        <x:v>18</x:v>
      </x:c>
      <x:c r="H356" s="7" t="n">
        <x:v>-1.6631811981046392</x:v>
      </x:c>
      <x:c r="I356" s="7" t="n">
        <x:v>0.1096159424435891</x:v>
      </x:c>
      <x:c r="J356" s="7" t="n">
        <x:v>3.2663823410754356</x:v>
      </x:c>
      <x:c r="K356" s="7" t="n">
        <x:f>H356+I356*J356</x:f>
        <x:v>-1.3051336194065584</x:v>
      </x:c>
      <x:c r="L356" s="7" t="n">
        <x:v>-5</x:v>
      </x:c>
      <x:c r="M356" s="7" t="n">
        <x:f>K356-L356</x:f>
        <x:v>3.6948663805934414</x:v>
      </x:c>
      <x:c r="N356" s="7" t="n">
        <x:f>M356^2</x:f>
        <x:v>13.652037570439678</x:v>
      </x:c>
      <x:c r="O356" s="7" t="n">
        <x:v>0</x:v>
      </x:c>
      <x:c r="P356" s="7" t="n">
        <x:v>0.25</x:v>
      </x:c>
      <x:c r="Q356" s="7" t="n">
        <x:v>2.459032140318529</x:v>
      </x:c>
      <x:c r="R356" s="7" t="n">
        <x:f>H356+I356*Q356</x:f>
        <x:v>-1.3936320725445475</x:v>
      </x:c>
      <x:c r="S356" s="7" t="n">
        <x:f>R356-L356</x:f>
        <x:v>3.6063679274554525</x:v>
      </x:c>
      <x:c r="T356" s="7" t="n">
        <x:f>K356-R356</x:f>
        <x:v>0.0884984531379891</x:v>
      </x:c>
      <x:c r="U356" s="7" t="n">
        <x:f>M356-S356-T356</x:f>
        <x:v>-2.220446049250313e-16</x:v>
      </x:c>
    </x:row>
    <x:row r="357" ht="27" customHeight="1">
      <x:c r="A357" s="2"/>
      <x:c r="B357" s="2" t="str">
        <x:v>Beauty | organic_volume_growth | PCENDC96</x:v>
      </x:c>
      <x:c r="C357" s="2" t="str">
        <x:v>2025-12-31</x:v>
      </x:c>
      <x:c r="D357" s="2" t="str">
        <x:v>Origin</x:v>
      </x:c>
      <x:c r="E357" s="2" t="str">
        <x:v>2025-10-01</x:v>
      </x:c>
      <x:c r="F357" s="2" t="str">
        <x:v>Recent trend</x:v>
      </x:c>
      <x:c r="G357" s="2" t="n">
        <x:v>18</x:v>
      </x:c>
      <x:c r="H357" s="7" t="n">
        <x:v>-0.7634621368284027</x:v>
      </x:c>
      <x:c r="I357" s="7" t="n">
        <x:v>0.21679107287119095</x:v>
      </x:c>
      <x:c r="J357" s="7" t="n">
        <x:v>3.2663823410754356</x:v>
      </x:c>
      <x:c r="K357" s="7" t="n">
        <x:f>H357+I357*J357</x:f>
        <x:v>-0.05533960469914667</x:v>
      </x:c>
      <x:c r="L357" s="7" t="n">
        <x:v>3</x:v>
      </x:c>
      <x:c r="M357" s="7" t="n">
        <x:f>K357-L357</x:f>
        <x:v>-3.055339604699147</x:v>
      </x:c>
      <x:c r="N357" s="7" t="n">
        <x:f>M357^2</x:f>
        <x:v>9.335100100043139</x:v>
      </x:c>
      <x:c r="O357" s="7" t="n">
        <x:v>1</x:v>
      </x:c>
      <x:c r="P357" s="7" t="n">
        <x:v>0.5</x:v>
      </x:c>
      <x:c r="Q357" s="7" t="n">
        <x:v>2.459032140318529</x:v>
      </x:c>
      <x:c r="R357" s="7" t="n">
        <x:f>H357+I357*Q357</x:f>
        <x:v>-0.23036592090400787</x:v>
      </x:c>
      <x:c r="S357" s="7" t="n">
        <x:f>R357-L357</x:f>
        <x:v>-3.230365920904008</x:v>
      </x:c>
      <x:c r="T357" s="7" t="n">
        <x:f>K357-R357</x:f>
        <x:v>0.1750263162048612</x:v>
      </x:c>
      <x:c r="U357" s="7" t="n">
        <x:f>M357-S357-T357</x:f>
        <x:v>1.1102230246251565e-16</x:v>
      </x:c>
    </x:row>
    <x:row r="358" ht="27" customHeight="1">
      <x:c r="A358" s="2"/>
      <x:c r="B358" s="2" t="str">
        <x:v>Fabric &amp; Home Care | organic_volume_growth | PCENDC96</x:v>
      </x:c>
      <x:c r="C358" s="2" t="str">
        <x:v>2025-12-31</x:v>
      </x:c>
      <x:c r="D358" s="2" t="str">
        <x:v>Origin</x:v>
      </x:c>
      <x:c r="E358" s="2" t="str">
        <x:v>2025-10-01</x:v>
      </x:c>
      <x:c r="F358" s="2" t="str">
        <x:v>Recent trend</x:v>
      </x:c>
      <x:c r="G358" s="2" t="n">
        <x:v>8</x:v>
      </x:c>
      <x:c r="H358" s="7" t="n">
        <x:v>1.3798438022832429</x:v>
      </x:c>
      <x:c r="I358" s="7" t="n">
        <x:v>-0.15592454233556874</x:v>
      </x:c>
      <x:c r="J358" s="7" t="n">
        <x:v>3.2663823410754356</x:v>
      </x:c>
      <x:c r="K358" s="7" t="n">
        <x:f>H358+I358*J358</x:f>
        <x:v>0.870534630658072</x:v>
      </x:c>
      <x:c r="L358" s="7" t="n">
        <x:v>0</x:v>
      </x:c>
      <x:c r="M358" s="7" t="n">
        <x:f>K358-L358</x:f>
        <x:v>0.870534630658072</x:v>
      </x:c>
      <x:c r="N358" s="7" t="n">
        <x:f>M358^2</x:f>
        <x:v>0.7578305431749859</x:v>
      </x:c>
      <x:c r="O358" s="7" t="n">
        <x:v>0</x:v>
      </x:c>
      <x:c r="P358" s="7" t="n">
        <x:v>0.75</x:v>
      </x:c>
      <x:c r="Q358" s="7" t="n">
        <x:v>2.459032140318529</x:v>
      </x:c>
      <x:c r="R358" s="7" t="n">
        <x:f>H358+I358*Q358</x:f>
        <x:v>0.9964203412156223</x:v>
      </x:c>
      <x:c r="S358" s="7" t="n">
        <x:f>R358-L358</x:f>
        <x:v>0.9964203412156223</x:v>
      </x:c>
      <x:c r="T358" s="7" t="n">
        <x:f>K358-R358</x:f>
        <x:v>-0.12588571055755027</x:v>
      </x:c>
      <x:c r="U358" s="7" t="n">
        <x:f>M358-S358-T358</x:f>
        <x:v>0</x:v>
      </x:c>
    </x:row>
    <x:row r="359" ht="27" customHeight="1">
      <x:c r="A359" s="2"/>
      <x:c r="B359" s="2" t="str">
        <x:v>Baby, Feminine &amp; Family Care | organic_volume_growth | PCENDC96</x:v>
      </x:c>
      <x:c r="C359" s="2" t="str">
        <x:v>2025-12-31</x:v>
      </x:c>
      <x:c r="D359" s="2" t="str">
        <x:v>Pre-earnings</x:v>
      </x:c>
      <x:c r="E359" s="2" t="str">
        <x:v>2026-01-22</x:v>
      </x:c>
      <x:c r="F359" s="2" t="str">
        <x:v>YoY carry</x:v>
      </x:c>
      <x:c r="G359" s="2" t="n">
        <x:v>19</x:v>
      </x:c>
      <x:c r="H359" s="7" t="n">
        <x:v>-1.5927425892447882</x:v>
      </x:c>
      <x:c r="I359" s="7" t="n">
        <x:v>0.10955224516670203</x:v>
      </x:c>
      <x:c r="J359" s="7" t="n">
        <x:v>2.918795720892664</x:v>
      </x:c>
      <x:c r="K359" s="7" t="n">
        <x:f>H359+I359*J359</x:f>
        <x:v>-1.2729819648380343</x:v>
      </x:c>
      <x:c r="L359" s="7" t="n">
        <x:v>-5</x:v>
      </x:c>
      <x:c r="M359" s="7" t="n">
        <x:f>K359-L359</x:f>
        <x:v>3.727018035161966</x:v>
      </x:c>
      <x:c r="N359" s="7" t="n">
        <x:f>M359^2</x:f>
        <x:v>13.890663434422562</x:v>
      </x:c>
      <x:c r="O359" s="7" t="n">
        <x:v>0</x:v>
      </x:c>
      <x:c r="P359" s="7" t="n">
        <x:v>0.5</x:v>
      </x:c>
      <x:c r="Q359" s="7" t="n">
        <x:v>2.459032140318529</x:v>
      </x:c>
      <x:c r="R359" s="7" t="n">
        <x:f>H359+I359*Q359</x:f>
        <x:v>-1.3233500973358128</x:v>
      </x:c>
      <x:c r="S359" s="7" t="n">
        <x:f>R359-L359</x:f>
        <x:v>3.6766499026641872</x:v>
      </x:c>
      <x:c r="T359" s="7" t="n">
        <x:f>K359-R359</x:f>
        <x:v>0.050368132497778495</x:v>
      </x:c>
      <x:c r="U359" s="7" t="n">
        <x:f>M359-S359-T359</x:f>
        <x:v>2.220446049250313e-16</x:v>
      </x:c>
    </x:row>
    <x:row r="360" ht="27" customHeight="1">
      <x:c r="A360" s="2"/>
      <x:c r="B360" s="2" t="str">
        <x:v>Beauty | organic_volume_growth | PCENDC96</x:v>
      </x:c>
      <x:c r="C360" s="2" t="str">
        <x:v>2025-12-31</x:v>
      </x:c>
      <x:c r="D360" s="2" t="str">
        <x:v>Pre-earnings</x:v>
      </x:c>
      <x:c r="E360" s="2" t="str">
        <x:v>2026-01-22</x:v>
      </x:c>
      <x:c r="F360" s="2" t="str">
        <x:v>YoY carry</x:v>
      </x:c>
      <x:c r="G360" s="2" t="n">
        <x:v>19</x:v>
      </x:c>
      <x:c r="H360" s="7" t="n">
        <x:v>-0.5463557353544389</x:v>
      </x:c>
      <x:c r="I360" s="7" t="n">
        <x:v>0.21659474465300949</x:v>
      </x:c>
      <x:c r="J360" s="7" t="n">
        <x:v>2.918795720892664</x:v>
      </x:c>
      <x:c r="K360" s="7" t="n">
        <x:f>H360+I360*J360</x:f>
        <x:v>0.08584007850660436</x:v>
      </x:c>
      <x:c r="L360" s="7" t="n">
        <x:v>3</x:v>
      </x:c>
      <x:c r="M360" s="7" t="n">
        <x:f>K360-L360</x:f>
        <x:v>-2.9141599214933955</x:v>
      </x:c>
      <x:c r="N360" s="7" t="n">
        <x:f>M360^2</x:f>
        <x:v>8.492328048038393</x:v>
      </x:c>
      <x:c r="O360" s="7" t="n">
        <x:v>4</x:v>
      </x:c>
      <x:c r="P360" s="7" t="n">
        <x:v>1.5</x:v>
      </x:c>
      <x:c r="Q360" s="7" t="n">
        <x:v>2.459032140318529</x:v>
      </x:c>
      <x:c r="R360" s="7" t="n">
        <x:f>H360+I360*Q360</x:f>
        <x:v>-0.013742296828603728</x:v>
      </x:c>
      <x:c r="S360" s="7" t="n">
        <x:f>R360-L360</x:f>
        <x:v>-3.0137422968286036</x:v>
      </x:c>
      <x:c r="T360" s="7" t="n">
        <x:f>K360-R360</x:f>
        <x:v>0.09958237533520808</x:v>
      </x:c>
      <x:c r="U360" s="7" t="n">
        <x:f>M360-S360-T360</x:f>
        <x:v>0</x:v>
      </x:c>
    </x:row>
    <x:row r="361" ht="27" customHeight="1">
      <x:c r="A361" s="2"/>
      <x:c r="B361" s="2" t="str">
        <x:v>Fabric &amp; Home Care | organic_volume_growth | PCENDC96</x:v>
      </x:c>
      <x:c r="C361" s="2" t="str">
        <x:v>2025-12-31</x:v>
      </x:c>
      <x:c r="D361" s="2" t="str">
        <x:v>Pre-earnings</x:v>
      </x:c>
      <x:c r="E361" s="2" t="str">
        <x:v>2026-01-22</x:v>
      </x:c>
      <x:c r="F361" s="2" t="str">
        <x:v>YoY carry</x:v>
      </x:c>
      <x:c r="G361" s="2" t="n">
        <x:v>8</x:v>
      </x:c>
      <x:c r="H361" s="7" t="n">
        <x:v>3.166549738853786</x:v>
      </x:c>
      <x:c r="I361" s="7" t="n">
        <x:v>-0.9077940338446284</x:v>
      </x:c>
      <x:c r="J361" s="7" t="n">
        <x:v>2.918795720892664</x:v>
      </x:c>
      <x:c r="K361" s="7" t="n">
        <x:f>H361+I361*J361</x:f>
        <x:v>0.5168843974161943</x:v>
      </x:c>
      <x:c r="L361" s="7" t="n">
        <x:v>0</x:v>
      </x:c>
      <x:c r="M361" s="7" t="n">
        <x:f>K361-L361</x:f>
        <x:v>0.5168843974161943</x:v>
      </x:c>
      <x:c r="N361" s="7" t="n">
        <x:f>M361^2</x:f>
        <x:v>0.2671694802923023</x:v>
      </x:c>
      <x:c r="O361" s="7" t="n">
        <x:v>-2</x:v>
      </x:c>
      <x:c r="P361" s="7" t="n">
        <x:v>0</x:v>
      </x:c>
      <x:c r="Q361" s="7" t="n">
        <x:v>2.459032140318529</x:v>
      </x:c>
      <x:c r="R361" s="7" t="n">
        <x:f>H361+I361*Q361</x:f>
        <x:v>0.9342550328404382</x:v>
      </x:c>
      <x:c r="S361" s="7" t="n">
        <x:f>R361-L361</x:f>
        <x:v>0.9342550328404382</x:v>
      </x:c>
      <x:c r="T361" s="7" t="n">
        <x:f>K361-R361</x:f>
        <x:v>-0.4173706354242439</x:v>
      </x:c>
      <x:c r="U361" s="7" t="n">
        <x:f>M361-S361-T361</x:f>
        <x:v>0</x:v>
      </x:c>
    </x:row>
    <x:row r="362" ht="27" customHeight="1">
      <x:c r="A362" s="2"/>
      <x:c r="B362" s="2" t="str">
        <x:v>Baby, Feminine &amp; Family Care | organic_volume_growth | PCENDC96</x:v>
      </x:c>
      <x:c r="C362" s="2" t="str">
        <x:v>2025-12-31</x:v>
      </x:c>
      <x:c r="D362" s="2" t="str">
        <x:v>Pre-earnings</x:v>
      </x:c>
      <x:c r="E362" s="2" t="str">
        <x:v>2026-01-22</x:v>
      </x:c>
      <x:c r="F362" s="2" t="str">
        <x:v>Flat level</x:v>
      </x:c>
      <x:c r="G362" s="2" t="n">
        <x:v>19</x:v>
      </x:c>
      <x:c r="H362" s="7" t="n">
        <x:v>-1.5927425892447882</x:v>
      </x:c>
      <x:c r="I362" s="7" t="n">
        <x:v>0.10955224516670203</x:v>
      </x:c>
      <x:c r="J362" s="7" t="n">
        <x:v>2.7760167521564627</x:v>
      </x:c>
      <x:c r="K362" s="7" t="n">
        <x:f>H362+I362*J362</x:f>
        <x:v>-1.2886237214256715</x:v>
      </x:c>
      <x:c r="L362" s="7" t="n">
        <x:v>-5</x:v>
      </x:c>
      <x:c r="M362" s="7" t="n">
        <x:f>K362-L362</x:f>
        <x:v>3.7113762785743285</x:v>
      </x:c>
      <x:c r="N362" s="7" t="n">
        <x:f>M362^2</x:f>
        <x:v>13.774313881164232</x:v>
      </x:c>
      <x:c r="O362" s="7" t="n">
        <x:v>0</x:v>
      </x:c>
      <x:c r="P362" s="7" t="n">
        <x:v>0.5</x:v>
      </x:c>
      <x:c r="Q362" s="7" t="n">
        <x:v>2.459032140318529</x:v>
      </x:c>
      <x:c r="R362" s="7" t="n">
        <x:f>H362+I362*Q362</x:f>
        <x:v>-1.3233500973358128</x:v>
      </x:c>
      <x:c r="S362" s="7" t="n">
        <x:f>R362-L362</x:f>
        <x:v>3.6766499026641872</x:v>
      </x:c>
      <x:c r="T362" s="7" t="n">
        <x:f>K362-R362</x:f>
        <x:v>0.03472637591014127</x:v>
      </x:c>
      <x:c r="U362" s="7" t="n">
        <x:f>M362-S362-T362</x:f>
        <x:v>0</x:v>
      </x:c>
    </x:row>
    <x:row r="363" ht="27" customHeight="1">
      <x:c r="A363" s="2"/>
      <x:c r="B363" s="2" t="str">
        <x:v>Beauty | organic_volume_growth | PCENDC96</x:v>
      </x:c>
      <x:c r="C363" s="2" t="str">
        <x:v>2025-12-31</x:v>
      </x:c>
      <x:c r="D363" s="2" t="str">
        <x:v>Pre-earnings</x:v>
      </x:c>
      <x:c r="E363" s="2" t="str">
        <x:v>2026-01-22</x:v>
      </x:c>
      <x:c r="F363" s="2" t="str">
        <x:v>Flat level</x:v>
      </x:c>
      <x:c r="G363" s="2" t="n">
        <x:v>19</x:v>
      </x:c>
      <x:c r="H363" s="7" t="n">
        <x:v>-0.5463557353544389</x:v>
      </x:c>
      <x:c r="I363" s="7" t="n">
        <x:v>0.21659474465300949</x:v>
      </x:c>
      <x:c r="J363" s="7" t="n">
        <x:v>2.7760167521564627</x:v>
      </x:c>
      <x:c r="K363" s="7" t="n">
        <x:f>H363+I363*J363</x:f>
        <x:v>0.0549149042313668</x:v>
      </x:c>
      <x:c r="L363" s="7" t="n">
        <x:v>3</x:v>
      </x:c>
      <x:c r="M363" s="7" t="n">
        <x:f>K363-L363</x:f>
        <x:v>-2.945085095768633</x:v>
      </x:c>
      <x:c r="N363" s="7" t="n">
        <x:f>M363^2</x:f>
        <x:v>8.67352622131854</x:v>
      </x:c>
      <x:c r="O363" s="7" t="n">
        <x:v>4</x:v>
      </x:c>
      <x:c r="P363" s="7" t="n">
        <x:v>1.5</x:v>
      </x:c>
      <x:c r="Q363" s="7" t="n">
        <x:v>2.459032140318529</x:v>
      </x:c>
      <x:c r="R363" s="7" t="n">
        <x:f>H363+I363*Q363</x:f>
        <x:v>-0.013742296828603728</x:v>
      </x:c>
      <x:c r="S363" s="7" t="n">
        <x:f>R363-L363</x:f>
        <x:v>-3.0137422968286036</x:v>
      </x:c>
      <x:c r="T363" s="7" t="n">
        <x:f>K363-R363</x:f>
        <x:v>0.06865720105997053</x:v>
      </x:c>
      <x:c r="U363" s="7" t="n">
        <x:f>M363-S363-T363</x:f>
        <x:v>-1.1102230246251565e-16</x:v>
      </x:c>
    </x:row>
    <x:row r="364" ht="27" customHeight="1">
      <x:c r="A364" s="2"/>
      <x:c r="B364" s="2" t="str">
        <x:v>Fabric &amp; Home Care | organic_volume_growth | PCENDC96</x:v>
      </x:c>
      <x:c r="C364" s="2" t="str">
        <x:v>2025-12-31</x:v>
      </x:c>
      <x:c r="D364" s="2" t="str">
        <x:v>Pre-earnings</x:v>
      </x:c>
      <x:c r="E364" s="2" t="str">
        <x:v>2026-01-22</x:v>
      </x:c>
      <x:c r="F364" s="2" t="str">
        <x:v>Flat level</x:v>
      </x:c>
      <x:c r="G364" s="2" t="n">
        <x:v>8</x:v>
      </x:c>
      <x:c r="H364" s="7" t="n">
        <x:v>3.166549738853786</x:v>
      </x:c>
      <x:c r="I364" s="7" t="n">
        <x:v>-0.9077940338446284</x:v>
      </x:c>
      <x:c r="J364" s="7" t="n">
        <x:v>2.7760167521564627</x:v>
      </x:c>
      <x:c r="K364" s="7" t="n">
        <x:f>H364+I364*J364</x:f>
        <x:v>0.6464982933934067</x:v>
      </x:c>
      <x:c r="L364" s="7" t="n">
        <x:v>0</x:v>
      </x:c>
      <x:c r="M364" s="7" t="n">
        <x:f>K364-L364</x:f>
        <x:v>0.6464982933934067</x:v>
      </x:c>
      <x:c r="N364" s="7" t="n">
        <x:f>M364^2</x:f>
        <x:v>0.41796004336058734</x:v>
      </x:c>
      <x:c r="O364" s="7" t="n">
        <x:v>-2</x:v>
      </x:c>
      <x:c r="P364" s="7" t="n">
        <x:v>0</x:v>
      </x:c>
      <x:c r="Q364" s="7" t="n">
        <x:v>2.459032140318529</x:v>
      </x:c>
      <x:c r="R364" s="7" t="n">
        <x:f>H364+I364*Q364</x:f>
        <x:v>0.9342550328404382</x:v>
      </x:c>
      <x:c r="S364" s="7" t="n">
        <x:f>R364-L364</x:f>
        <x:v>0.9342550328404382</x:v>
      </x:c>
      <x:c r="T364" s="7" t="n">
        <x:f>K364-R364</x:f>
        <x:v>-0.2877567394470315</x:v>
      </x:c>
      <x:c r="U364" s="7" t="n">
        <x:f>M364-S364-T364</x:f>
        <x:v>0</x:v>
      </x:c>
    </x:row>
    <x:row r="365" ht="27" customHeight="1">
      <x:c r="A365" s="2"/>
      <x:c r="B365" s="2" t="str">
        <x:v>Baby, Feminine &amp; Family Care | organic_volume_growth | PCENDC96</x:v>
      </x:c>
      <x:c r="C365" s="2" t="str">
        <x:v>2025-12-31</x:v>
      </x:c>
      <x:c r="D365" s="2" t="str">
        <x:v>Pre-earnings</x:v>
      </x:c>
      <x:c r="E365" s="2" t="str">
        <x:v>2026-01-22</x:v>
      </x:c>
      <x:c r="F365" s="2" t="str">
        <x:v>Recent trend</x:v>
      </x:c>
      <x:c r="G365" s="2" t="n">
        <x:v>19</x:v>
      </x:c>
      <x:c r="H365" s="7" t="n">
        <x:v>-1.5927425892447882</x:v>
      </x:c>
      <x:c r="I365" s="7" t="n">
        <x:v>0.10955224516670203</x:v>
      </x:c>
      <x:c r="J365" s="7" t="n">
        <x:v>2.9378710160797628</x:v>
      </x:c>
      <x:c r="K365" s="7" t="n">
        <x:f>H365+I365*J365</x:f>
        <x:v>-1.27089222342307</x:v>
      </x:c>
      <x:c r="L365" s="7" t="n">
        <x:v>-5</x:v>
      </x:c>
      <x:c r="M365" s="7" t="n">
        <x:f>K365-L365</x:f>
        <x:v>3.72910777657693</x:v>
      </x:c>
      <x:c r="N365" s="7" t="n">
        <x:f>M365^2</x:f>
        <x:v>13.906244809326534</x:v>
      </x:c>
      <x:c r="O365" s="7" t="n">
        <x:v>0</x:v>
      </x:c>
      <x:c r="P365" s="7" t="n">
        <x:v>0.5</x:v>
      </x:c>
      <x:c r="Q365" s="7" t="n">
        <x:v>2.459032140318529</x:v>
      </x:c>
      <x:c r="R365" s="7" t="n">
        <x:f>H365+I365*Q365</x:f>
        <x:v>-1.3233500973358128</x:v>
      </x:c>
      <x:c r="S365" s="7" t="n">
        <x:f>R365-L365</x:f>
        <x:v>3.6766499026641872</x:v>
      </x:c>
      <x:c r="T365" s="7" t="n">
        <x:f>K365-R365</x:f>
        <x:v>0.052457873912742814</x:v>
      </x:c>
      <x:c r="U365" s="7" t="n">
        <x:f>M365-S365-T365</x:f>
        <x:v>-2.220446049250313e-16</x:v>
      </x:c>
    </x:row>
    <x:row r="366" ht="27" customHeight="1">
      <x:c r="A366" s="2"/>
      <x:c r="B366" s="2" t="str">
        <x:v>Beauty | organic_volume_growth | PCENDC96</x:v>
      </x:c>
      <x:c r="C366" s="2" t="str">
        <x:v>2025-12-31</x:v>
      </x:c>
      <x:c r="D366" s="2" t="str">
        <x:v>Pre-earnings</x:v>
      </x:c>
      <x:c r="E366" s="2" t="str">
        <x:v>2026-01-22</x:v>
      </x:c>
      <x:c r="F366" s="2" t="str">
        <x:v>Recent trend</x:v>
      </x:c>
      <x:c r="G366" s="2" t="n">
        <x:v>19</x:v>
      </x:c>
      <x:c r="H366" s="7" t="n">
        <x:v>-0.5463557353544389</x:v>
      </x:c>
      <x:c r="I366" s="7" t="n">
        <x:v>0.21659474465300949</x:v>
      </x:c>
      <x:c r="J366" s="7" t="n">
        <x:v>2.9378710160797628</x:v>
      </x:c>
      <x:c r="K366" s="7" t="n">
        <x:f>H366+I366*J366</x:f>
        <x:v>0.0899716871968348</x:v>
      </x:c>
      <x:c r="L366" s="7" t="n">
        <x:v>3</x:v>
      </x:c>
      <x:c r="M366" s="7" t="n">
        <x:f>K366-L366</x:f>
        <x:v>-2.910028312803165</x:v>
      </x:c>
      <x:c r="N366" s="7" t="n">
        <x:f>M366^2</x:f>
        <x:v>8.468264781316037</x:v>
      </x:c>
      <x:c r="O366" s="7" t="n">
        <x:v>4</x:v>
      </x:c>
      <x:c r="P366" s="7" t="n">
        <x:v>1.5</x:v>
      </x:c>
      <x:c r="Q366" s="7" t="n">
        <x:v>2.459032140318529</x:v>
      </x:c>
      <x:c r="R366" s="7" t="n">
        <x:f>H366+I366*Q366</x:f>
        <x:v>-0.013742296828603728</x:v>
      </x:c>
      <x:c r="S366" s="7" t="n">
        <x:f>R366-L366</x:f>
        <x:v>-3.0137422968286036</x:v>
      </x:c>
      <x:c r="T366" s="7" t="n">
        <x:f>K366-R366</x:f>
        <x:v>0.10371398402543852</x:v>
      </x:c>
      <x:c r="U366" s="7" t="n">
        <x:f>M366-S366-T366</x:f>
        <x:v>-1.1102230246251565e-16</x:v>
      </x:c>
    </x:row>
    <x:row r="367" ht="27" customHeight="1">
      <x:c r="A367" s="2"/>
      <x:c r="B367" s="2" t="str">
        <x:v>Fabric &amp; Home Care | organic_volume_growth | PCENDC96</x:v>
      </x:c>
      <x:c r="C367" s="2" t="str">
        <x:v>2025-12-31</x:v>
      </x:c>
      <x:c r="D367" s="2" t="str">
        <x:v>Pre-earnings</x:v>
      </x:c>
      <x:c r="E367" s="2" t="str">
        <x:v>2026-01-22</x:v>
      </x:c>
      <x:c r="F367" s="2" t="str">
        <x:v>Recent trend</x:v>
      </x:c>
      <x:c r="G367" s="2" t="n">
        <x:v>8</x:v>
      </x:c>
      <x:c r="H367" s="7" t="n">
        <x:v>3.166549738853786</x:v>
      </x:c>
      <x:c r="I367" s="7" t="n">
        <x:v>-0.9077940338446284</x:v>
      </x:c>
      <x:c r="J367" s="7" t="n">
        <x:v>2.9378710160797628</x:v>
      </x:c>
      <x:c r="K367" s="7" t="n">
        <x:f>H367+I367*J367</x:f>
        <x:v>0.4995679582515211</x:v>
      </x:c>
      <x:c r="L367" s="7" t="n">
        <x:v>0</x:v>
      </x:c>
      <x:c r="M367" s="7" t="n">
        <x:f>K367-L367</x:f>
        <x:v>0.4995679582515211</x:v>
      </x:c>
      <x:c r="N367" s="7" t="n">
        <x:f>M367^2</x:f>
        <x:v>0.24956814491159354</x:v>
      </x:c>
      <x:c r="O367" s="7" t="n">
        <x:v>-2</x:v>
      </x:c>
      <x:c r="P367" s="7" t="n">
        <x:v>0</x:v>
      </x:c>
      <x:c r="Q367" s="7" t="n">
        <x:v>2.459032140318529</x:v>
      </x:c>
      <x:c r="R367" s="7" t="n">
        <x:f>H367+I367*Q367</x:f>
        <x:v>0.9342550328404382</x:v>
      </x:c>
      <x:c r="S367" s="7" t="n">
        <x:f>R367-L367</x:f>
        <x:v>0.9342550328404382</x:v>
      </x:c>
      <x:c r="T367" s="7" t="n">
        <x:f>K367-R367</x:f>
        <x:v>-0.4346870745889171</x:v>
      </x:c>
      <x:c r="U367" s="7" t="n">
        <x:f>M367-S367-T367</x:f>
        <x:v>0</x:v>
      </x:c>
    </x:row>
    <x:row r="368" ht="27" customHeight="1">
      <x:c r="A368" s="2"/>
      <x:c r="B368" s="2" t="str">
        <x:v>Baby, Feminine &amp; Family Care | organic_volume_growth | PCENDC96</x:v>
      </x:c>
      <x:c r="C368" s="2" t="str">
        <x:v>2025-12-31</x:v>
      </x:c>
      <x:c r="D368" s="2" t="str">
        <x:v>Two months</x:v>
      </x:c>
      <x:c r="E368" s="2" t="str">
        <x:v>2026-01-22</x:v>
      </x:c>
      <x:c r="F368" s="2" t="str">
        <x:v>YoY carry</x:v>
      </x:c>
      <x:c r="G368" s="2" t="n">
        <x:v>19</x:v>
      </x:c>
      <x:c r="H368" s="7" t="n">
        <x:v>-1.5927425892447882</x:v>
      </x:c>
      <x:c r="I368" s="7" t="n">
        <x:v>0.10955224516670203</x:v>
      </x:c>
      <x:c r="J368" s="7" t="n">
        <x:v>2.918795720892664</x:v>
      </x:c>
      <x:c r="K368" s="7" t="n">
        <x:f>H368+I368*J368</x:f>
        <x:v>-1.2729819648380343</x:v>
      </x:c>
      <x:c r="L368" s="7" t="n">
        <x:v>-5</x:v>
      </x:c>
      <x:c r="M368" s="7" t="n">
        <x:f>K368-L368</x:f>
        <x:v>3.727018035161966</x:v>
      </x:c>
      <x:c r="N368" s="7" t="n">
        <x:f>M368^2</x:f>
        <x:v>13.890663434422562</x:v>
      </x:c>
      <x:c r="O368" s="7" t="n">
        <x:v>0</x:v>
      </x:c>
      <x:c r="P368" s="7" t="n">
        <x:v>0.5</x:v>
      </x:c>
      <x:c r="Q368" s="7" t="n">
        <x:v>2.459032140318529</x:v>
      </x:c>
      <x:c r="R368" s="7" t="n">
        <x:f>H368+I368*Q368</x:f>
        <x:v>-1.3233500973358128</x:v>
      </x:c>
      <x:c r="S368" s="7" t="n">
        <x:f>R368-L368</x:f>
        <x:v>3.6766499026641872</x:v>
      </x:c>
      <x:c r="T368" s="7" t="n">
        <x:f>K368-R368</x:f>
        <x:v>0.050368132497778495</x:v>
      </x:c>
      <x:c r="U368" s="7" t="n">
        <x:f>M368-S368-T368</x:f>
        <x:v>2.220446049250313e-16</x:v>
      </x:c>
    </x:row>
    <x:row r="369" ht="27" customHeight="1">
      <x:c r="A369" s="2"/>
      <x:c r="B369" s="2" t="str">
        <x:v>Beauty | organic_volume_growth | PCENDC96</x:v>
      </x:c>
      <x:c r="C369" s="2" t="str">
        <x:v>2025-12-31</x:v>
      </x:c>
      <x:c r="D369" s="2" t="str">
        <x:v>Two months</x:v>
      </x:c>
      <x:c r="E369" s="2" t="str">
        <x:v>2026-01-22</x:v>
      </x:c>
      <x:c r="F369" s="2" t="str">
        <x:v>YoY carry</x:v>
      </x:c>
      <x:c r="G369" s="2" t="n">
        <x:v>19</x:v>
      </x:c>
      <x:c r="H369" s="7" t="n">
        <x:v>-0.5463557353544389</x:v>
      </x:c>
      <x:c r="I369" s="7" t="n">
        <x:v>0.21659474465300949</x:v>
      </x:c>
      <x:c r="J369" s="7" t="n">
        <x:v>2.918795720892664</x:v>
      </x:c>
      <x:c r="K369" s="7" t="n">
        <x:f>H369+I369*J369</x:f>
        <x:v>0.08584007850660436</x:v>
      </x:c>
      <x:c r="L369" s="7" t="n">
        <x:v>3</x:v>
      </x:c>
      <x:c r="M369" s="7" t="n">
        <x:f>K369-L369</x:f>
        <x:v>-2.9141599214933955</x:v>
      </x:c>
      <x:c r="N369" s="7" t="n">
        <x:f>M369^2</x:f>
        <x:v>8.492328048038393</x:v>
      </x:c>
      <x:c r="O369" s="7" t="n">
        <x:v>4</x:v>
      </x:c>
      <x:c r="P369" s="7" t="n">
        <x:v>1.5</x:v>
      </x:c>
      <x:c r="Q369" s="7" t="n">
        <x:v>2.459032140318529</x:v>
      </x:c>
      <x:c r="R369" s="7" t="n">
        <x:f>H369+I369*Q369</x:f>
        <x:v>-0.013742296828603728</x:v>
      </x:c>
      <x:c r="S369" s="7" t="n">
        <x:f>R369-L369</x:f>
        <x:v>-3.0137422968286036</x:v>
      </x:c>
      <x:c r="T369" s="7" t="n">
        <x:f>K369-R369</x:f>
        <x:v>0.09958237533520808</x:v>
      </x:c>
      <x:c r="U369" s="7" t="n">
        <x:f>M369-S369-T369</x:f>
        <x:v>0</x:v>
      </x:c>
    </x:row>
    <x:row r="370" ht="27" customHeight="1">
      <x:c r="A370" s="2"/>
      <x:c r="B370" s="2" t="str">
        <x:v>Fabric &amp; Home Care | organic_volume_growth | PCENDC96</x:v>
      </x:c>
      <x:c r="C370" s="2" t="str">
        <x:v>2025-12-31</x:v>
      </x:c>
      <x:c r="D370" s="2" t="str">
        <x:v>Two months</x:v>
      </x:c>
      <x:c r="E370" s="2" t="str">
        <x:v>2026-01-22</x:v>
      </x:c>
      <x:c r="F370" s="2" t="str">
        <x:v>YoY carry</x:v>
      </x:c>
      <x:c r="G370" s="2" t="n">
        <x:v>8</x:v>
      </x:c>
      <x:c r="H370" s="7" t="n">
        <x:v>3.166549738853786</x:v>
      </x:c>
      <x:c r="I370" s="7" t="n">
        <x:v>-0.9077940338446284</x:v>
      </x:c>
      <x:c r="J370" s="7" t="n">
        <x:v>2.918795720892664</x:v>
      </x:c>
      <x:c r="K370" s="7" t="n">
        <x:f>H370+I370*J370</x:f>
        <x:v>0.5168843974161943</x:v>
      </x:c>
      <x:c r="L370" s="7" t="n">
        <x:v>0</x:v>
      </x:c>
      <x:c r="M370" s="7" t="n">
        <x:f>K370-L370</x:f>
        <x:v>0.5168843974161943</x:v>
      </x:c>
      <x:c r="N370" s="7" t="n">
        <x:f>M370^2</x:f>
        <x:v>0.2671694802923023</x:v>
      </x:c>
      <x:c r="O370" s="7" t="n">
        <x:v>-2</x:v>
      </x:c>
      <x:c r="P370" s="7" t="n">
        <x:v>0</x:v>
      </x:c>
      <x:c r="Q370" s="7" t="n">
        <x:v>2.459032140318529</x:v>
      </x:c>
      <x:c r="R370" s="7" t="n">
        <x:f>H370+I370*Q370</x:f>
        <x:v>0.9342550328404382</x:v>
      </x:c>
      <x:c r="S370" s="7" t="n">
        <x:f>R370-L370</x:f>
        <x:v>0.9342550328404382</x:v>
      </x:c>
      <x:c r="T370" s="7" t="n">
        <x:f>K370-R370</x:f>
        <x:v>-0.4173706354242439</x:v>
      </x:c>
      <x:c r="U370" s="7" t="n">
        <x:f>M370-S370-T370</x:f>
        <x:v>0</x:v>
      </x:c>
    </x:row>
    <x:row r="371" ht="27" customHeight="1">
      <x:c r="A371" s="2"/>
      <x:c r="B371" s="2" t="str">
        <x:v>Baby, Feminine &amp; Family Care | organic_volume_growth | PCENDC96</x:v>
      </x:c>
      <x:c r="C371" s="2" t="str">
        <x:v>2025-12-31</x:v>
      </x:c>
      <x:c r="D371" s="2" t="str">
        <x:v>Two months</x:v>
      </x:c>
      <x:c r="E371" s="2" t="str">
        <x:v>2026-01-22</x:v>
      </x:c>
      <x:c r="F371" s="2" t="str">
        <x:v>Flat level</x:v>
      </x:c>
      <x:c r="G371" s="2" t="n">
        <x:v>19</x:v>
      </x:c>
      <x:c r="H371" s="7" t="n">
        <x:v>-1.5927425892447882</x:v>
      </x:c>
      <x:c r="I371" s="7" t="n">
        <x:v>0.10955224516670203</x:v>
      </x:c>
      <x:c r="J371" s="7" t="n">
        <x:v>2.7760167521564627</x:v>
      </x:c>
      <x:c r="K371" s="7" t="n">
        <x:f>H371+I371*J371</x:f>
        <x:v>-1.2886237214256715</x:v>
      </x:c>
      <x:c r="L371" s="7" t="n">
        <x:v>-5</x:v>
      </x:c>
      <x:c r="M371" s="7" t="n">
        <x:f>K371-L371</x:f>
        <x:v>3.7113762785743285</x:v>
      </x:c>
      <x:c r="N371" s="7" t="n">
        <x:f>M371^2</x:f>
        <x:v>13.774313881164232</x:v>
      </x:c>
      <x:c r="O371" s="7" t="n">
        <x:v>0</x:v>
      </x:c>
      <x:c r="P371" s="7" t="n">
        <x:v>0.5</x:v>
      </x:c>
      <x:c r="Q371" s="7" t="n">
        <x:v>2.459032140318529</x:v>
      </x:c>
      <x:c r="R371" s="7" t="n">
        <x:f>H371+I371*Q371</x:f>
        <x:v>-1.3233500973358128</x:v>
      </x:c>
      <x:c r="S371" s="7" t="n">
        <x:f>R371-L371</x:f>
        <x:v>3.6766499026641872</x:v>
      </x:c>
      <x:c r="T371" s="7" t="n">
        <x:f>K371-R371</x:f>
        <x:v>0.03472637591014127</x:v>
      </x:c>
      <x:c r="U371" s="7" t="n">
        <x:f>M371-S371-T371</x:f>
        <x:v>0</x:v>
      </x:c>
    </x:row>
    <x:row r="372" ht="27" customHeight="1">
      <x:c r="A372" s="2"/>
      <x:c r="B372" s="2" t="str">
        <x:v>Beauty | organic_volume_growth | PCENDC96</x:v>
      </x:c>
      <x:c r="C372" s="2" t="str">
        <x:v>2025-12-31</x:v>
      </x:c>
      <x:c r="D372" s="2" t="str">
        <x:v>Two months</x:v>
      </x:c>
      <x:c r="E372" s="2" t="str">
        <x:v>2026-01-22</x:v>
      </x:c>
      <x:c r="F372" s="2" t="str">
        <x:v>Flat level</x:v>
      </x:c>
      <x:c r="G372" s="2" t="n">
        <x:v>19</x:v>
      </x:c>
      <x:c r="H372" s="7" t="n">
        <x:v>-0.5463557353544389</x:v>
      </x:c>
      <x:c r="I372" s="7" t="n">
        <x:v>0.21659474465300949</x:v>
      </x:c>
      <x:c r="J372" s="7" t="n">
        <x:v>2.7760167521564627</x:v>
      </x:c>
      <x:c r="K372" s="7" t="n">
        <x:f>H372+I372*J372</x:f>
        <x:v>0.0549149042313668</x:v>
      </x:c>
      <x:c r="L372" s="7" t="n">
        <x:v>3</x:v>
      </x:c>
      <x:c r="M372" s="7" t="n">
        <x:f>K372-L372</x:f>
        <x:v>-2.945085095768633</x:v>
      </x:c>
      <x:c r="N372" s="7" t="n">
        <x:f>M372^2</x:f>
        <x:v>8.67352622131854</x:v>
      </x:c>
      <x:c r="O372" s="7" t="n">
        <x:v>4</x:v>
      </x:c>
      <x:c r="P372" s="7" t="n">
        <x:v>1.5</x:v>
      </x:c>
      <x:c r="Q372" s="7" t="n">
        <x:v>2.459032140318529</x:v>
      </x:c>
      <x:c r="R372" s="7" t="n">
        <x:f>H372+I372*Q372</x:f>
        <x:v>-0.013742296828603728</x:v>
      </x:c>
      <x:c r="S372" s="7" t="n">
        <x:f>R372-L372</x:f>
        <x:v>-3.0137422968286036</x:v>
      </x:c>
      <x:c r="T372" s="7" t="n">
        <x:f>K372-R372</x:f>
        <x:v>0.06865720105997053</x:v>
      </x:c>
      <x:c r="U372" s="7" t="n">
        <x:f>M372-S372-T372</x:f>
        <x:v>-1.1102230246251565e-16</x:v>
      </x:c>
    </x:row>
    <x:row r="373" ht="27" customHeight="1">
      <x:c r="A373" s="2"/>
      <x:c r="B373" s="2" t="str">
        <x:v>Fabric &amp; Home Care | organic_volume_growth | PCENDC96</x:v>
      </x:c>
      <x:c r="C373" s="2" t="str">
        <x:v>2025-12-31</x:v>
      </x:c>
      <x:c r="D373" s="2" t="str">
        <x:v>Two months</x:v>
      </x:c>
      <x:c r="E373" s="2" t="str">
        <x:v>2026-01-22</x:v>
      </x:c>
      <x:c r="F373" s="2" t="str">
        <x:v>Flat level</x:v>
      </x:c>
      <x:c r="G373" s="2" t="n">
        <x:v>8</x:v>
      </x:c>
      <x:c r="H373" s="7" t="n">
        <x:v>3.166549738853786</x:v>
      </x:c>
      <x:c r="I373" s="7" t="n">
        <x:v>-0.9077940338446284</x:v>
      </x:c>
      <x:c r="J373" s="7" t="n">
        <x:v>2.7760167521564627</x:v>
      </x:c>
      <x:c r="K373" s="7" t="n">
        <x:f>H373+I373*J373</x:f>
        <x:v>0.6464982933934067</x:v>
      </x:c>
      <x:c r="L373" s="7" t="n">
        <x:v>0</x:v>
      </x:c>
      <x:c r="M373" s="7" t="n">
        <x:f>K373-L373</x:f>
        <x:v>0.6464982933934067</x:v>
      </x:c>
      <x:c r="N373" s="7" t="n">
        <x:f>M373^2</x:f>
        <x:v>0.41796004336058734</x:v>
      </x:c>
      <x:c r="O373" s="7" t="n">
        <x:v>-2</x:v>
      </x:c>
      <x:c r="P373" s="7" t="n">
        <x:v>0</x:v>
      </x:c>
      <x:c r="Q373" s="7" t="n">
        <x:v>2.459032140318529</x:v>
      </x:c>
      <x:c r="R373" s="7" t="n">
        <x:f>H373+I373*Q373</x:f>
        <x:v>0.9342550328404382</x:v>
      </x:c>
      <x:c r="S373" s="7" t="n">
        <x:f>R373-L373</x:f>
        <x:v>0.9342550328404382</x:v>
      </x:c>
      <x:c r="T373" s="7" t="n">
        <x:f>K373-R373</x:f>
        <x:v>-0.2877567394470315</x:v>
      </x:c>
      <x:c r="U373" s="7" t="n">
        <x:f>M373-S373-T373</x:f>
        <x:v>0</x:v>
      </x:c>
    </x:row>
    <x:row r="374" ht="27" customHeight="1">
      <x:c r="A374" s="2"/>
      <x:c r="B374" s="2" t="str">
        <x:v>Baby, Feminine &amp; Family Care | organic_volume_growth | PCENDC96</x:v>
      </x:c>
      <x:c r="C374" s="2" t="str">
        <x:v>2025-12-31</x:v>
      </x:c>
      <x:c r="D374" s="2" t="str">
        <x:v>Two months</x:v>
      </x:c>
      <x:c r="E374" s="2" t="str">
        <x:v>2026-01-22</x:v>
      </x:c>
      <x:c r="F374" s="2" t="str">
        <x:v>Recent trend</x:v>
      </x:c>
      <x:c r="G374" s="2" t="n">
        <x:v>19</x:v>
      </x:c>
      <x:c r="H374" s="7" t="n">
        <x:v>-1.5927425892447882</x:v>
      </x:c>
      <x:c r="I374" s="7" t="n">
        <x:v>0.10955224516670203</x:v>
      </x:c>
      <x:c r="J374" s="7" t="n">
        <x:v>2.9378710160797628</x:v>
      </x:c>
      <x:c r="K374" s="7" t="n">
        <x:f>H374+I374*J374</x:f>
        <x:v>-1.27089222342307</x:v>
      </x:c>
      <x:c r="L374" s="7" t="n">
        <x:v>-5</x:v>
      </x:c>
      <x:c r="M374" s="7" t="n">
        <x:f>K374-L374</x:f>
        <x:v>3.72910777657693</x:v>
      </x:c>
      <x:c r="N374" s="7" t="n">
        <x:f>M374^2</x:f>
        <x:v>13.906244809326534</x:v>
      </x:c>
      <x:c r="O374" s="7" t="n">
        <x:v>0</x:v>
      </x:c>
      <x:c r="P374" s="7" t="n">
        <x:v>0.5</x:v>
      </x:c>
      <x:c r="Q374" s="7" t="n">
        <x:v>2.459032140318529</x:v>
      </x:c>
      <x:c r="R374" s="7" t="n">
        <x:f>H374+I374*Q374</x:f>
        <x:v>-1.3233500973358128</x:v>
      </x:c>
      <x:c r="S374" s="7" t="n">
        <x:f>R374-L374</x:f>
        <x:v>3.6766499026641872</x:v>
      </x:c>
      <x:c r="T374" s="7" t="n">
        <x:f>K374-R374</x:f>
        <x:v>0.052457873912742814</x:v>
      </x:c>
      <x:c r="U374" s="7" t="n">
        <x:f>M374-S374-T374</x:f>
        <x:v>-2.220446049250313e-16</x:v>
      </x:c>
    </x:row>
    <x:row r="375" ht="27" customHeight="1">
      <x:c r="A375" s="2"/>
      <x:c r="B375" s="2" t="str">
        <x:v>Beauty | organic_volume_growth | PCENDC96</x:v>
      </x:c>
      <x:c r="C375" s="2" t="str">
        <x:v>2025-12-31</x:v>
      </x:c>
      <x:c r="D375" s="2" t="str">
        <x:v>Two months</x:v>
      </x:c>
      <x:c r="E375" s="2" t="str">
        <x:v>2026-01-22</x:v>
      </x:c>
      <x:c r="F375" s="2" t="str">
        <x:v>Recent trend</x:v>
      </x:c>
      <x:c r="G375" s="2" t="n">
        <x:v>19</x:v>
      </x:c>
      <x:c r="H375" s="7" t="n">
        <x:v>-0.5463557353544389</x:v>
      </x:c>
      <x:c r="I375" s="7" t="n">
        <x:v>0.21659474465300949</x:v>
      </x:c>
      <x:c r="J375" s="7" t="n">
        <x:v>2.9378710160797628</x:v>
      </x:c>
      <x:c r="K375" s="7" t="n">
        <x:f>H375+I375*J375</x:f>
        <x:v>0.0899716871968348</x:v>
      </x:c>
      <x:c r="L375" s="7" t="n">
        <x:v>3</x:v>
      </x:c>
      <x:c r="M375" s="7" t="n">
        <x:f>K375-L375</x:f>
        <x:v>-2.910028312803165</x:v>
      </x:c>
      <x:c r="N375" s="7" t="n">
        <x:f>M375^2</x:f>
        <x:v>8.468264781316037</x:v>
      </x:c>
      <x:c r="O375" s="7" t="n">
        <x:v>4</x:v>
      </x:c>
      <x:c r="P375" s="7" t="n">
        <x:v>1.5</x:v>
      </x:c>
      <x:c r="Q375" s="7" t="n">
        <x:v>2.459032140318529</x:v>
      </x:c>
      <x:c r="R375" s="7" t="n">
        <x:f>H375+I375*Q375</x:f>
        <x:v>-0.013742296828603728</x:v>
      </x:c>
      <x:c r="S375" s="7" t="n">
        <x:f>R375-L375</x:f>
        <x:v>-3.0137422968286036</x:v>
      </x:c>
      <x:c r="T375" s="7" t="n">
        <x:f>K375-R375</x:f>
        <x:v>0.10371398402543852</x:v>
      </x:c>
      <x:c r="U375" s="7" t="n">
        <x:f>M375-S375-T375</x:f>
        <x:v>-1.1102230246251565e-16</x:v>
      </x:c>
    </x:row>
    <x:row r="376" ht="27" customHeight="1">
      <x:c r="A376" s="2"/>
      <x:c r="B376" s="2" t="str">
        <x:v>Fabric &amp; Home Care | organic_volume_growth | PCENDC96</x:v>
      </x:c>
      <x:c r="C376" s="2" t="str">
        <x:v>2025-12-31</x:v>
      </x:c>
      <x:c r="D376" s="2" t="str">
        <x:v>Two months</x:v>
      </x:c>
      <x:c r="E376" s="2" t="str">
        <x:v>2026-01-22</x:v>
      </x:c>
      <x:c r="F376" s="2" t="str">
        <x:v>Recent trend</x:v>
      </x:c>
      <x:c r="G376" s="2" t="n">
        <x:v>8</x:v>
      </x:c>
      <x:c r="H376" s="7" t="n">
        <x:v>3.166549738853786</x:v>
      </x:c>
      <x:c r="I376" s="7" t="n">
        <x:v>-0.9077940338446284</x:v>
      </x:c>
      <x:c r="J376" s="7" t="n">
        <x:v>2.9378710160797628</x:v>
      </x:c>
      <x:c r="K376" s="7" t="n">
        <x:f>H376+I376*J376</x:f>
        <x:v>0.4995679582515211</x:v>
      </x:c>
      <x:c r="L376" s="7" t="n">
        <x:v>0</x:v>
      </x:c>
      <x:c r="M376" s="7" t="n">
        <x:f>K376-L376</x:f>
        <x:v>0.4995679582515211</x:v>
      </x:c>
      <x:c r="N376" s="7" t="n">
        <x:f>M376^2</x:f>
        <x:v>0.24956814491159354</x:v>
      </x:c>
      <x:c r="O376" s="7" t="n">
        <x:v>-2</x:v>
      </x:c>
      <x:c r="P376" s="7" t="n">
        <x:v>0</x:v>
      </x:c>
      <x:c r="Q376" s="7" t="n">
        <x:v>2.459032140318529</x:v>
      </x:c>
      <x:c r="R376" s="7" t="n">
        <x:f>H376+I376*Q376</x:f>
        <x:v>0.9342550328404382</x:v>
      </x:c>
      <x:c r="S376" s="7" t="n">
        <x:f>R376-L376</x:f>
        <x:v>0.9342550328404382</x:v>
      </x:c>
      <x:c r="T376" s="7" t="n">
        <x:f>K376-R376</x:f>
        <x:v>-0.4346870745889171</x:v>
      </x:c>
      <x:c r="U376" s="7" t="n">
        <x:f>M376-S376-T376</x:f>
        <x:v>0</x:v>
      </x:c>
    </x:row>
    <x:row r="377" ht="27" customHeight="1">
      <x:c r="A377" s="2"/>
      <x:c r="B377" s="2" t="str">
        <x:v>Baby, Feminine &amp; Family Care | organic_volume_growth | PCENDC96</x:v>
      </x:c>
      <x:c r="C377" s="2" t="str">
        <x:v>2026-03-31</x:v>
      </x:c>
      <x:c r="D377" s="2" t="str">
        <x:v>Origin</x:v>
      </x:c>
      <x:c r="E377" s="2" t="str">
        <x:v>2026-01-01</x:v>
      </x:c>
      <x:c r="F377" s="2" t="str">
        <x:v>YoY carry</x:v>
      </x:c>
      <x:c r="G377" s="2" t="n">
        <x:v>19</x:v>
      </x:c>
      <x:c r="H377" s="7" t="n">
        <x:v>-1.5931128704128805</x:v>
      </x:c>
      <x:c r="I377" s="7" t="n">
        <x:v>0.10964185151743827</x:v>
      </x:c>
      <x:c r="J377" s="7" t="n">
        <x:v>3.0175188319920387</x:v>
      </x:c>
      <x:c r="K377" s="7" t="n">
        <x:f>H377+I377*J377</x:f>
        <x:v>-1.2622665186845357</x:v>
      </x:c>
      <x:c r="L377" s="7" t="n">
        <x:v>3</x:v>
      </x:c>
      <x:c r="M377" s="7" t="n">
        <x:f>K377-L377</x:f>
        <x:v>-4.262266518684536</x:v>
      </x:c>
      <x:c r="N377" s="7" t="n">
        <x:f>M377^2</x:f>
        <x:v>18.166915876299193</x:v>
      </x:c>
      <x:c r="O377" s="7" t="n">
        <x:v>0</x:v>
      </x:c>
      <x:c r="P377" s="7" t="n">
        <x:v>0.5</x:v>
      </x:c>
      <x:c r="Q377" s="7" t="n">
        <x:v>1.4340718660131646</x:v>
      </x:c>
      <x:c r="R377" s="7" t="n">
        <x:f>H377+I377*Q377</x:f>
        <x:v>-1.4358785758141295</x:v>
      </x:c>
      <x:c r="S377" s="7" t="n">
        <x:f>R377-L377</x:f>
        <x:v>-4.4358785758141295</x:v>
      </x:c>
      <x:c r="T377" s="7" t="n">
        <x:f>K377-R377</x:f>
        <x:v>0.17361205712959382</x:v>
      </x:c>
      <x:c r="U377" s="7" t="n">
        <x:f>M377-S377-T377</x:f>
        <x:v>0</x:v>
      </x:c>
    </x:row>
    <x:row r="378" ht="27" customHeight="1">
      <x:c r="A378" s="2"/>
      <x:c r="B378" s="2" t="str">
        <x:v>Beauty | organic_volume_growth | PCENDC96</x:v>
      </x:c>
      <x:c r="C378" s="2" t="str">
        <x:v>2026-03-31</x:v>
      </x:c>
      <x:c r="D378" s="2" t="str">
        <x:v>Origin</x:v>
      </x:c>
      <x:c r="E378" s="2" t="str">
        <x:v>2026-01-01</x:v>
      </x:c>
      <x:c r="F378" s="2" t="str">
        <x:v>YoY carry</x:v>
      </x:c>
      <x:c r="G378" s="2" t="n">
        <x:v>19</x:v>
      </x:c>
      <x:c r="H378" s="7" t="n">
        <x:v>-0.5473859445954838</x:v>
      </x:c>
      <x:c r="I378" s="7" t="n">
        <x:v>0.21687097108206654</x:v>
      </x:c>
      <x:c r="J378" s="7" t="n">
        <x:v>3.0175188319920387</x:v>
      </x:c>
      <x:c r="K378" s="7" t="n">
        <x:f>H378+I378*J378</x:f>
        <x:v>0.10702629475705283</x:v>
      </x:c>
      <x:c r="L378" s="7" t="n">
        <x:v>5</x:v>
      </x:c>
      <x:c r="M378" s="7" t="n">
        <x:f>K378-L378</x:f>
        <x:v>-4.892973705242947</x:v>
      </x:c>
      <x:c r="N378" s="7" t="n">
        <x:f>M378^2</x:f>
        <x:v>23.941191680198894</x:v>
      </x:c>
      <x:c r="O378" s="7" t="n">
        <x:v>4</x:v>
      </x:c>
      <x:c r="P378" s="7" t="n">
        <x:v>1.5</x:v>
      </x:c>
      <x:c r="Q378" s="7" t="n">
        <x:v>1.4340718660131646</x:v>
      </x:c>
      <x:c r="R378" s="7" t="n">
        <x:f>H378+I378*Q378</x:f>
        <x:v>-0.2363773864117376</x:v>
      </x:c>
      <x:c r="S378" s="7" t="n">
        <x:f>R378-L378</x:f>
        <x:v>-5.236377386411737</x:v>
      </x:c>
      <x:c r="T378" s="7" t="n">
        <x:f>K378-R378</x:f>
        <x:v>0.34340368116879044</x:v>
      </x:c>
      <x:c r="U378" s="7" t="n">
        <x:f>M378-S378-T378</x:f>
        <x:v>-2.7755575615628914e-16</x:v>
      </x:c>
    </x:row>
    <x:row r="379" ht="27" customHeight="1">
      <x:c r="A379" s="2"/>
      <x:c r="B379" s="2" t="str">
        <x:v>Fabric &amp; Home Care | organic_volume_growth | PCENDC96</x:v>
      </x:c>
      <x:c r="C379" s="2" t="str">
        <x:v>2026-03-31</x:v>
      </x:c>
      <x:c r="D379" s="2" t="str">
        <x:v>Origin</x:v>
      </x:c>
      <x:c r="E379" s="2" t="str">
        <x:v>2026-01-01</x:v>
      </x:c>
      <x:c r="F379" s="2" t="str">
        <x:v>YoY carry</x:v>
      </x:c>
      <x:c r="G379" s="2" t="n">
        <x:v>8</x:v>
      </x:c>
      <x:c r="H379" s="7" t="n">
        <x:v>3.195655452228598</x:v>
      </x:c>
      <x:c r="I379" s="7" t="n">
        <x:v>-0.9179755675403887</x:v>
      </x:c>
      <x:c r="J379" s="7" t="n">
        <x:v>3.0175188319920387</x:v>
      </x:c>
      <x:c r="K379" s="7" t="n">
        <x:f>H379+I379*J379</x:f>
        <x:v>0.4256468898668957</x:v>
      </x:c>
      <x:c r="L379" s="7" t="n">
        <x:v>2</x:v>
      </x:c>
      <x:c r="M379" s="7" t="n">
        <x:f>K379-L379</x:f>
        <x:v>-1.5743531101331043</x:v>
      </x:c>
      <x:c r="N379" s="7" t="n">
        <x:f>M379^2</x:f>
        <x:v>2.4785877153857783</x:v>
      </x:c>
      <x:c r="O379" s="7" t="n">
        <x:v>-2</x:v>
      </x:c>
      <x:c r="P379" s="7" t="n">
        <x:v>0</x:v>
      </x:c>
      <x:c r="Q379" s="7" t="n">
        <x:v>1.4340718660131646</x:v>
      </x:c>
      <x:c r="R379" s="7" t="n">
        <x:f>H379+I379*Q379</x:f>
        <x:v>1.879212517131459</x:v>
      </x:c>
      <x:c r="S379" s="7" t="n">
        <x:f>R379-L379</x:f>
        <x:v>-0.12078748286854091</x:v>
      </x:c>
      <x:c r="T379" s="7" t="n">
        <x:f>K379-R379</x:f>
        <x:v>-1.4535656272645634</x:v>
      </x:c>
      <x:c r="U379" s="7" t="n">
        <x:f>M379-S379-T379</x:f>
        <x:v>0</x:v>
      </x:c>
    </x:row>
    <x:row r="380" ht="27" customHeight="1">
      <x:c r="A380" s="2"/>
      <x:c r="B380" s="2" t="str">
        <x:v>Baby, Feminine &amp; Family Care | organic_volume_growth | PCENDC96</x:v>
      </x:c>
      <x:c r="C380" s="2" t="str">
        <x:v>2026-03-31</x:v>
      </x:c>
      <x:c r="D380" s="2" t="str">
        <x:v>Origin</x:v>
      </x:c>
      <x:c r="E380" s="2" t="str">
        <x:v>2026-01-01</x:v>
      </x:c>
      <x:c r="F380" s="2" t="str">
        <x:v>Flat level</x:v>
      </x:c>
      <x:c r="G380" s="2" t="n">
        <x:v>19</x:v>
      </x:c>
      <x:c r="H380" s="7" t="n">
        <x:v>-1.5931128704128805</x:v>
      </x:c>
      <x:c r="I380" s="7" t="n">
        <x:v>0.10964185151743827</x:v>
      </x:c>
      <x:c r="J380" s="7" t="n">
        <x:v>1.4789761816045077</x:v>
      </x:c>
      <x:c r="K380" s="7" t="n">
        <x:f>H380+I380*J380</x:f>
        <x:v>-1.4309551835115712</x:v>
      </x:c>
      <x:c r="L380" s="7" t="n">
        <x:v>3</x:v>
      </x:c>
      <x:c r="M380" s="7" t="n">
        <x:f>K380-L380</x:f>
        <x:v>-4.430955183511571</x:v>
      </x:c>
      <x:c r="N380" s="7" t="n">
        <x:f>M380^2</x:f>
        <x:v>19.633363838288062</x:v>
      </x:c>
      <x:c r="O380" s="7" t="n">
        <x:v>0</x:v>
      </x:c>
      <x:c r="P380" s="7" t="n">
        <x:v>0.5</x:v>
      </x:c>
      <x:c r="Q380" s="7" t="n">
        <x:v>1.4340718660131646</x:v>
      </x:c>
      <x:c r="R380" s="7" t="n">
        <x:f>H380+I380*Q380</x:f>
        <x:v>-1.4358785758141295</x:v>
      </x:c>
      <x:c r="S380" s="7" t="n">
        <x:f>R380-L380</x:f>
        <x:v>-4.4358785758141295</x:v>
      </x:c>
      <x:c r="T380" s="7" t="n">
        <x:f>K380-R380</x:f>
        <x:v>0.004923392302558227</x:v>
      </x:c>
      <x:c r="U380" s="7" t="n">
        <x:f>M380-S380-T380</x:f>
        <x:v>0</x:v>
      </x:c>
    </x:row>
    <x:row r="381" ht="27" customHeight="1">
      <x:c r="A381" s="2"/>
      <x:c r="B381" s="2" t="str">
        <x:v>Beauty | organic_volume_growth | PCENDC96</x:v>
      </x:c>
      <x:c r="C381" s="2" t="str">
        <x:v>2026-03-31</x:v>
      </x:c>
      <x:c r="D381" s="2" t="str">
        <x:v>Origin</x:v>
      </x:c>
      <x:c r="E381" s="2" t="str">
        <x:v>2026-01-01</x:v>
      </x:c>
      <x:c r="F381" s="2" t="str">
        <x:v>Flat level</x:v>
      </x:c>
      <x:c r="G381" s="2" t="n">
        <x:v>19</x:v>
      </x:c>
      <x:c r="H381" s="7" t="n">
        <x:v>-0.5473859445954838</x:v>
      </x:c>
      <x:c r="I381" s="7" t="n">
        <x:v>0.21687097108206654</x:v>
      </x:c>
      <x:c r="J381" s="7" t="n">
        <x:v>1.4789761816045077</x:v>
      </x:c>
      <x:c r="K381" s="7" t="n">
        <x:f>H381+I381*J381</x:f>
        <x:v>-0.22663894388366745</x:v>
      </x:c>
      <x:c r="L381" s="7" t="n">
        <x:v>5</x:v>
      </x:c>
      <x:c r="M381" s="7" t="n">
        <x:f>K381-L381</x:f>
        <x:v>-5.226638943883668</x:v>
      </x:c>
      <x:c r="N381" s="7" t="n">
        <x:f>M381^2</x:f>
        <x:v>27.31775464972138</x:v>
      </x:c>
      <x:c r="O381" s="7" t="n">
        <x:v>4</x:v>
      </x:c>
      <x:c r="P381" s="7" t="n">
        <x:v>1.5</x:v>
      </x:c>
      <x:c r="Q381" s="7" t="n">
        <x:v>1.4340718660131646</x:v>
      </x:c>
      <x:c r="R381" s="7" t="n">
        <x:f>H381+I381*Q381</x:f>
        <x:v>-0.2363773864117376</x:v>
      </x:c>
      <x:c r="S381" s="7" t="n">
        <x:f>R381-L381</x:f>
        <x:v>-5.236377386411737</x:v>
      </x:c>
      <x:c r="T381" s="7" t="n">
        <x:f>K381-R381</x:f>
        <x:v>0.009738442528070157</x:v>
      </x:c>
      <x:c r="U381" s="7" t="n">
        <x:f>M381-S381-T381</x:f>
        <x:v>-3.885780586188048e-16</x:v>
      </x:c>
    </x:row>
    <x:row r="382" ht="27" customHeight="1">
      <x:c r="A382" s="2"/>
      <x:c r="B382" s="2" t="str">
        <x:v>Fabric &amp; Home Care | organic_volume_growth | PCENDC96</x:v>
      </x:c>
      <x:c r="C382" s="2" t="str">
        <x:v>2026-03-31</x:v>
      </x:c>
      <x:c r="D382" s="2" t="str">
        <x:v>Origin</x:v>
      </x:c>
      <x:c r="E382" s="2" t="str">
        <x:v>2026-01-01</x:v>
      </x:c>
      <x:c r="F382" s="2" t="str">
        <x:v>Flat level</x:v>
      </x:c>
      <x:c r="G382" s="2" t="n">
        <x:v>8</x:v>
      </x:c>
      <x:c r="H382" s="7" t="n">
        <x:v>3.195655452228598</x:v>
      </x:c>
      <x:c r="I382" s="7" t="n">
        <x:v>-0.9179755675403887</x:v>
      </x:c>
      <x:c r="J382" s="7" t="n">
        <x:v>1.4789761816045077</x:v>
      </x:c>
      <x:c r="K382" s="7" t="n">
        <x:f>H382+I382*J382</x:f>
        <x:v>1.837991452541483</x:v>
      </x:c>
      <x:c r="L382" s="7" t="n">
        <x:v>2</x:v>
      </x:c>
      <x:c r="M382" s="7" t="n">
        <x:f>K382-L382</x:f>
        <x:v>-0.1620085474585169</x:v>
      </x:c>
      <x:c r="N382" s="7" t="n">
        <x:f>M382^2</x:f>
        <x:v>0.02624676944961852</x:v>
      </x:c>
      <x:c r="O382" s="7" t="n">
        <x:v>-2</x:v>
      </x:c>
      <x:c r="P382" s="7" t="n">
        <x:v>0</x:v>
      </x:c>
      <x:c r="Q382" s="7" t="n">
        <x:v>1.4340718660131646</x:v>
      </x:c>
      <x:c r="R382" s="7" t="n">
        <x:f>H382+I382*Q382</x:f>
        <x:v>1.879212517131459</x:v>
      </x:c>
      <x:c r="S382" s="7" t="n">
        <x:f>R382-L382</x:f>
        <x:v>-0.12078748286854091</x:v>
      </x:c>
      <x:c r="T382" s="7" t="n">
        <x:f>K382-R382</x:f>
        <x:v>-0.041221064589975986</x:v>
      </x:c>
      <x:c r="U382" s="7" t="n">
        <x:f>M382-S382-T382</x:f>
        <x:v>0</x:v>
      </x:c>
    </x:row>
    <x:row r="383" ht="27" customHeight="1">
      <x:c r="A383" s="2"/>
      <x:c r="B383" s="2" t="str">
        <x:v>Baby, Feminine &amp; Family Care | organic_volume_growth | PCENDC96</x:v>
      </x:c>
      <x:c r="C383" s="2" t="str">
        <x:v>2026-03-31</x:v>
      </x:c>
      <x:c r="D383" s="2" t="str">
        <x:v>Origin</x:v>
      </x:c>
      <x:c r="E383" s="2" t="str">
        <x:v>2026-01-01</x:v>
      </x:c>
      <x:c r="F383" s="2" t="str">
        <x:v>Recent trend</x:v>
      </x:c>
      <x:c r="G383" s="2" t="n">
        <x:v>19</x:v>
      </x:c>
      <x:c r="H383" s="7" t="n">
        <x:v>-1.5931128704128805</x:v>
      </x:c>
      <x:c r="I383" s="7" t="n">
        <x:v>0.10964185151743827</x:v>
      </x:c>
      <x:c r="J383" s="7" t="n">
        <x:v>1.9948981054200399</x:v>
      </x:c>
      <x:c r="K383" s="7" t="n">
        <x:f>H383+I383*J383</x:f>
        <x:v>-1.3743885485459977</x:v>
      </x:c>
      <x:c r="L383" s="7" t="n">
        <x:v>3</x:v>
      </x:c>
      <x:c r="M383" s="7" t="n">
        <x:f>K383-L383</x:f>
        <x:v>-4.374388548545998</x:v>
      </x:c>
      <x:c r="N383" s="7" t="n">
        <x:f>M383^2</x:f>
        <x:v>19.13527517365036</x:v>
      </x:c>
      <x:c r="O383" s="7" t="n">
        <x:v>0</x:v>
      </x:c>
      <x:c r="P383" s="7" t="n">
        <x:v>0.5</x:v>
      </x:c>
      <x:c r="Q383" s="7" t="n">
        <x:v>1.4340718660131646</x:v>
      </x:c>
      <x:c r="R383" s="7" t="n">
        <x:f>H383+I383*Q383</x:f>
        <x:v>-1.4358785758141295</x:v>
      </x:c>
      <x:c r="S383" s="7" t="n">
        <x:f>R383-L383</x:f>
        <x:v>-4.4358785758141295</x:v>
      </x:c>
      <x:c r="T383" s="7" t="n">
        <x:f>K383-R383</x:f>
        <x:v>0.0614900272681318</x:v>
      </x:c>
      <x:c r="U383" s="7" t="n">
        <x:f>M383-S383-T383</x:f>
        <x:v>0</x:v>
      </x:c>
    </x:row>
    <x:row r="384" ht="27" customHeight="1">
      <x:c r="A384" s="2"/>
      <x:c r="B384" s="2" t="str">
        <x:v>Beauty | organic_volume_growth | PCENDC96</x:v>
      </x:c>
      <x:c r="C384" s="2" t="str">
        <x:v>2026-03-31</x:v>
      </x:c>
      <x:c r="D384" s="2" t="str">
        <x:v>Origin</x:v>
      </x:c>
      <x:c r="E384" s="2" t="str">
        <x:v>2026-01-01</x:v>
      </x:c>
      <x:c r="F384" s="2" t="str">
        <x:v>Recent trend</x:v>
      </x:c>
      <x:c r="G384" s="2" t="n">
        <x:v>19</x:v>
      </x:c>
      <x:c r="H384" s="7" t="n">
        <x:v>-0.5473859445954838</x:v>
      </x:c>
      <x:c r="I384" s="7" t="n">
        <x:v>0.21687097108206654</x:v>
      </x:c>
      <x:c r="J384" s="7" t="n">
        <x:v>1.9948981054200399</x:v>
      </x:c>
      <x:c r="K384" s="7" t="n">
        <x:f>H384+I384*J384</x:f>
        <x:v>-0.11475045526326505</x:v>
      </x:c>
      <x:c r="L384" s="7" t="n">
        <x:v>5</x:v>
      </x:c>
      <x:c r="M384" s="7" t="n">
        <x:f>K384-L384</x:f>
        <x:v>-5.114750455263265</x:v>
      </x:c>
      <x:c r="N384" s="7" t="n">
        <x:f>M384^2</x:f>
        <x:v>26.16067221961578</x:v>
      </x:c>
      <x:c r="O384" s="7" t="n">
        <x:v>4</x:v>
      </x:c>
      <x:c r="P384" s="7" t="n">
        <x:v>1.5</x:v>
      </x:c>
      <x:c r="Q384" s="7" t="n">
        <x:v>1.4340718660131646</x:v>
      </x:c>
      <x:c r="R384" s="7" t="n">
        <x:f>H384+I384*Q384</x:f>
        <x:v>-0.2363773864117376</x:v>
      </x:c>
      <x:c r="S384" s="7" t="n">
        <x:f>R384-L384</x:f>
        <x:v>-5.236377386411737</x:v>
      </x:c>
      <x:c r="T384" s="7" t="n">
        <x:f>K384-R384</x:f>
        <x:v>0.12162693114847256</x:v>
      </x:c>
      <x:c r="U384" s="7" t="n">
        <x:f>M384-S384-T384</x:f>
        <x:v>-4.440892098500626e-16</x:v>
      </x:c>
    </x:row>
    <x:row r="385" ht="27" customHeight="1">
      <x:c r="A385" s="2"/>
      <x:c r="B385" s="2" t="str">
        <x:v>Fabric &amp; Home Care | organic_volume_growth | PCENDC96</x:v>
      </x:c>
      <x:c r="C385" s="2" t="str">
        <x:v>2026-03-31</x:v>
      </x:c>
      <x:c r="D385" s="2" t="str">
        <x:v>Origin</x:v>
      </x:c>
      <x:c r="E385" s="2" t="str">
        <x:v>2026-01-01</x:v>
      </x:c>
      <x:c r="F385" s="2" t="str">
        <x:v>Recent trend</x:v>
      </x:c>
      <x:c r="G385" s="2" t="n">
        <x:v>8</x:v>
      </x:c>
      <x:c r="H385" s="7" t="n">
        <x:v>3.195655452228598</x:v>
      </x:c>
      <x:c r="I385" s="7" t="n">
        <x:v>-0.9179755675403887</x:v>
      </x:c>
      <x:c r="J385" s="7" t="n">
        <x:v>1.9948981054200399</x:v>
      </x:c>
      <x:c r="K385" s="7" t="n">
        <x:f>H385+I385*J385</x:f>
        <x:v>1.3643877317203907</x:v>
      </x:c>
      <x:c r="L385" s="7" t="n">
        <x:v>2</x:v>
      </x:c>
      <x:c r="M385" s="7" t="n">
        <x:f>K385-L385</x:f>
        <x:v>-0.6356122682796093</x:v>
      </x:c>
      <x:c r="N385" s="7" t="n">
        <x:f>M385^2</x:f>
        <x:v>0.40400295558754995</x:v>
      </x:c>
      <x:c r="O385" s="7" t="n">
        <x:v>-2</x:v>
      </x:c>
      <x:c r="P385" s="7" t="n">
        <x:v>0</x:v>
      </x:c>
      <x:c r="Q385" s="7" t="n">
        <x:v>1.4340718660131646</x:v>
      </x:c>
      <x:c r="R385" s="7" t="n">
        <x:f>H385+I385*Q385</x:f>
        <x:v>1.879212517131459</x:v>
      </x:c>
      <x:c r="S385" s="7" t="n">
        <x:f>R385-L385</x:f>
        <x:v>-0.12078748286854091</x:v>
      </x:c>
      <x:c r="T385" s="7" t="n">
        <x:f>K385-R385</x:f>
        <x:v>-0.5148247854110684</x:v>
      </x:c>
      <x:c r="U385" s="7" t="n">
        <x:f>M385-S385-T385</x:f>
        <x:v>0</x:v>
      </x:c>
    </x:row>
    <x:row r="386" ht="27" customHeight="1">
      <x:c r="A386" s="2"/>
      <x:c r="B386" s="2" t="str">
        <x:v>Baby, Feminine &amp; Family Care | organic_volume_growth | PCENDC96</x:v>
      </x:c>
      <x:c r="C386" s="2" t="str">
        <x:v>2026-03-31</x:v>
      </x:c>
      <x:c r="D386" s="2" t="str">
        <x:v>One month</x:v>
      </x:c>
      <x:c r="E386" s="2" t="str">
        <x:v>2026-03-13</x:v>
      </x:c>
      <x:c r="F386" s="2" t="str">
        <x:v>YoY carry</x:v>
      </x:c>
      <x:c r="G386" s="2" t="n">
        <x:v>16</x:v>
      </x:c>
      <x:c r="H386" s="7" t="n">
        <x:v>-2.6798746297492615</x:v>
      </x:c>
      <x:c r="I386" s="7" t="n">
        <x:v>0.765712231842195</x:v>
      </x:c>
      <x:c r="J386" s="7" t="n">
        <x:v>2.0377604639839397</x:v>
      </x:c>
      <x:c r="K386" s="7" t="n">
        <x:f>H386+I386*J386</x:f>
        <x:v>-1.1195365169123324</x:v>
      </x:c>
      <x:c r="L386" s="7" t="n">
        <x:v>3</x:v>
      </x:c>
      <x:c r="M386" s="7" t="n">
        <x:f>K386-L386</x:f>
        <x:v>-4.119536516912333</x:v>
      </x:c>
      <x:c r="N386" s="7" t="n">
        <x:f>M386^2</x:f>
        <x:v>16.970581114174195</x:v>
      </x:c>
      <x:c r="O386" s="7" t="n">
        <x:v>-5</x:v>
      </x:c>
      <x:c r="P386" s="7" t="n">
        <x:v>-1.75</x:v>
      </x:c>
      <x:c r="Q386" s="7" t="n">
        <x:v>1.4340718660131646</x:v>
      </x:c>
      <x:c r="R386" s="7" t="n">
        <x:f>H386+I386*Q386</x:f>
        <x:v>-1.58178826060222</x:v>
      </x:c>
      <x:c r="S386" s="7" t="n">
        <x:f>R386-L386</x:f>
        <x:v>-4.58178826060222</x:v>
      </x:c>
      <x:c r="T386" s="7" t="n">
        <x:f>K386-R386</x:f>
        <x:v>0.46225174368988764</x:v>
      </x:c>
      <x:c r="U386" s="7" t="n">
        <x:f>M386-S386-T386</x:f>
        <x:v>0</x:v>
      </x:c>
    </x:row>
    <x:row r="387" ht="27" customHeight="1">
      <x:c r="A387" s="2"/>
      <x:c r="B387" s="2" t="str">
        <x:v>Beauty | organic_volume_growth | PCENDC96</x:v>
      </x:c>
      <x:c r="C387" s="2" t="str">
        <x:v>2026-03-31</x:v>
      </x:c>
      <x:c r="D387" s="2" t="str">
        <x:v>One month</x:v>
      </x:c>
      <x:c r="E387" s="2" t="str">
        <x:v>2026-03-13</x:v>
      </x:c>
      <x:c r="F387" s="2" t="str">
        <x:v>YoY carry</x:v>
      </x:c>
      <x:c r="G387" s="2" t="n">
        <x:v>16</x:v>
      </x:c>
      <x:c r="H387" s="7" t="n">
        <x:v>-0.9504523118378174</x:v>
      </x:c>
      <x:c r="I387" s="7" t="n">
        <x:v>0.6573833828530388</x:v>
      </x:c>
      <x:c r="J387" s="7" t="n">
        <x:v>2.0377604639839397</x:v>
      </x:c>
      <x:c r="K387" s="7" t="n">
        <x:f>H387+I387*J387</x:f>
        <x:v>0.38913755542012285</x:v>
      </x:c>
      <x:c r="L387" s="7" t="n">
        <x:v>5</x:v>
      </x:c>
      <x:c r="M387" s="7" t="n">
        <x:f>K387-L387</x:f>
        <x:v>-4.610862444579877</x:v>
      </x:c>
      <x:c r="N387" s="7" t="n">
        <x:f>M387^2</x:f>
        <x:v>21.260052482837118</x:v>
      </x:c>
      <x:c r="O387" s="7" t="n">
        <x:v>3</x:v>
      </x:c>
      <x:c r="P387" s="7" t="n">
        <x:v>2.25</x:v>
      </x:c>
      <x:c r="Q387" s="7" t="n">
        <x:v>1.4340718660131646</x:v>
      </x:c>
      <x:c r="R387" s="7" t="n">
        <x:f>H387+I387*Q387</x:f>
        <x:v>-0.007717297303713511</x:v>
      </x:c>
      <x:c r="S387" s="7" t="n">
        <x:f>R387-L387</x:f>
        <x:v>-5.007717297303714</x:v>
      </x:c>
      <x:c r="T387" s="7" t="n">
        <x:f>K387-R387</x:f>
        <x:v>0.39685485272383636</x:v>
      </x:c>
      <x:c r="U387" s="7" t="n">
        <x:f>M387-S387-T387</x:f>
        <x:v>3.3306690738754696e-16</x:v>
      </x:c>
    </x:row>
    <x:row r="388" ht="27" customHeight="1">
      <x:c r="A388" s="2"/>
      <x:c r="B388" s="2" t="str">
        <x:v>Fabric &amp; Home Care | organic_volume_growth | PCENDC96</x:v>
      </x:c>
      <x:c r="C388" s="2" t="str">
        <x:v>2026-03-31</x:v>
      </x:c>
      <x:c r="D388" s="2" t="str">
        <x:v>One month</x:v>
      </x:c>
      <x:c r="E388" s="2" t="str">
        <x:v>2026-03-13</x:v>
      </x:c>
      <x:c r="F388" s="2" t="str">
        <x:v>YoY carry</x:v>
      </x:c>
      <x:c r="G388" s="2" t="n">
        <x:v>8</x:v>
      </x:c>
      <x:c r="H388" s="7" t="n">
        <x:v>2.68211146841145</x:v>
      </x:c>
      <x:c r="I388" s="7" t="n">
        <x:v>-0.7741267437616038</x:v>
      </x:c>
      <x:c r="J388" s="7" t="n">
        <x:v>2.0377604639839397</x:v>
      </x:c>
      <x:c r="K388" s="7" t="n">
        <x:f>H388+I388*J388</x:f>
        <x:v>1.1046265958614276</x:v>
      </x:c>
      <x:c r="L388" s="7" t="n">
        <x:v>2</x:v>
      </x:c>
      <x:c r="M388" s="7" t="n">
        <x:f>K388-L388</x:f>
        <x:v>-0.8953734041385724</x:v>
      </x:c>
      <x:c r="N388" s="7" t="n">
        <x:f>M388^2</x:f>
        <x:v>0.8016935328386953</x:v>
      </x:c>
      <x:c r="O388" s="7" t="n">
        <x:v>0</x:v>
      </x:c>
      <x:c r="P388" s="7" t="n">
        <x:v>-0.5</x:v>
      </x:c>
      <x:c r="Q388" s="7" t="n">
        <x:v>1.4340718660131646</x:v>
      </x:c>
      <x:c r="R388" s="7" t="n">
        <x:f>H388+I388*Q388</x:f>
        <x:v>1.5719580844545518</x:v>
      </x:c>
      <x:c r="S388" s="7" t="n">
        <x:f>R388-L388</x:f>
        <x:v>-0.42804191554544824</x:v>
      </x:c>
      <x:c r="T388" s="7" t="n">
        <x:f>K388-R388</x:f>
        <x:v>-0.4673314885931241</x:v>
      </x:c>
      <x:c r="U388" s="7" t="n">
        <x:f>M388-S388-T388</x:f>
        <x:v>0</x:v>
      </x:c>
    </x:row>
    <x:row r="389" ht="27" customHeight="1">
      <x:c r="A389" s="2"/>
      <x:c r="B389" s="2" t="str">
        <x:v>Baby, Feminine &amp; Family Care | organic_volume_growth | PCENDC96</x:v>
      </x:c>
      <x:c r="C389" s="2" t="str">
        <x:v>2026-03-31</x:v>
      </x:c>
      <x:c r="D389" s="2" t="str">
        <x:v>One month</x:v>
      </x:c>
      <x:c r="E389" s="2" t="str">
        <x:v>2026-03-13</x:v>
      </x:c>
      <x:c r="F389" s="2" t="str">
        <x:v>Flat level</x:v>
      </x:c>
      <x:c r="G389" s="2" t="n">
        <x:v>16</x:v>
      </x:c>
      <x:c r="H389" s="7" t="n">
        <x:v>-2.6798746297492615</x:v>
      </x:c>
      <x:c r="I389" s="7" t="n">
        <x:v>0.765712231842195</x:v>
      </x:c>
      <x:c r="J389" s="7" t="n">
        <x:v>1.5878930321878038</x:v>
      </x:c>
      <x:c r="K389" s="7" t="n">
        <x:f>H389+I389*J389</x:f>
        <x:v>-1.464005512146068</x:v>
      </x:c>
      <x:c r="L389" s="7" t="n">
        <x:v>3</x:v>
      </x:c>
      <x:c r="M389" s="7" t="n">
        <x:f>K389-L389</x:f>
        <x:v>-4.464005512146068</x:v>
      </x:c>
      <x:c r="N389" s="7" t="n">
        <x:f>M389^2</x:f>
        <x:v>19.927345212470478</x:v>
      </x:c>
      <x:c r="O389" s="7" t="n">
        <x:v>-5</x:v>
      </x:c>
      <x:c r="P389" s="7" t="n">
        <x:v>-1.75</x:v>
      </x:c>
      <x:c r="Q389" s="7" t="n">
        <x:v>1.4340718660131646</x:v>
      </x:c>
      <x:c r="R389" s="7" t="n">
        <x:f>H389+I389*Q389</x:f>
        <x:v>-1.58178826060222</x:v>
      </x:c>
      <x:c r="S389" s="7" t="n">
        <x:f>R389-L389</x:f>
        <x:v>-4.58178826060222</x:v>
      </x:c>
      <x:c r="T389" s="7" t="n">
        <x:f>K389-R389</x:f>
        <x:v>0.117782748456152</x:v>
      </x:c>
      <x:c r="U389" s="7" t="n">
        <x:f>M389-S389-T389</x:f>
        <x:v>2.220446049250313e-16</x:v>
      </x:c>
    </x:row>
    <x:row r="390" ht="27" customHeight="1">
      <x:c r="A390" s="2"/>
      <x:c r="B390" s="2" t="str">
        <x:v>Beauty | organic_volume_growth | PCENDC96</x:v>
      </x:c>
      <x:c r="C390" s="2" t="str">
        <x:v>2026-03-31</x:v>
      </x:c>
      <x:c r="D390" s="2" t="str">
        <x:v>One month</x:v>
      </x:c>
      <x:c r="E390" s="2" t="str">
        <x:v>2026-03-13</x:v>
      </x:c>
      <x:c r="F390" s="2" t="str">
        <x:v>Flat level</x:v>
      </x:c>
      <x:c r="G390" s="2" t="n">
        <x:v>16</x:v>
      </x:c>
      <x:c r="H390" s="7" t="n">
        <x:v>-0.9504523118378174</x:v>
      </x:c>
      <x:c r="I390" s="7" t="n">
        <x:v>0.6573833828530388</x:v>
      </x:c>
      <x:c r="J390" s="7" t="n">
        <x:v>1.5878930321878038</x:v>
      </x:c>
      <x:c r="K390" s="7" t="n">
        <x:f>H390+I390*J390</x:f>
        <x:v>0.0934021812705701</x:v>
      </x:c>
      <x:c r="L390" s="7" t="n">
        <x:v>5</x:v>
      </x:c>
      <x:c r="M390" s="7" t="n">
        <x:f>K390-L390</x:f>
        <x:v>-4.90659781872943</x:v>
      </x:c>
      <x:c r="N390" s="7" t="n">
        <x:f>M390^2</x:f>
        <x:v>24.0747021547604</x:v>
      </x:c>
      <x:c r="O390" s="7" t="n">
        <x:v>3</x:v>
      </x:c>
      <x:c r="P390" s="7" t="n">
        <x:v>2.25</x:v>
      </x:c>
      <x:c r="Q390" s="7" t="n">
        <x:v>1.4340718660131646</x:v>
      </x:c>
      <x:c r="R390" s="7" t="n">
        <x:f>H390+I390*Q390</x:f>
        <x:v>-0.007717297303713511</x:v>
      </x:c>
      <x:c r="S390" s="7" t="n">
        <x:f>R390-L390</x:f>
        <x:v>-5.007717297303714</x:v>
      </x:c>
      <x:c r="T390" s="7" t="n">
        <x:f>K390-R390</x:f>
        <x:v>0.1011194785742836</x:v>
      </x:c>
      <x:c r="U390" s="7" t="n">
        <x:f>M390-S390-T390</x:f>
        <x:v>3.3306690738754696e-16</x:v>
      </x:c>
    </x:row>
    <x:row r="391" ht="27" customHeight="1">
      <x:c r="A391" s="2"/>
      <x:c r="B391" s="2" t="str">
        <x:v>Fabric &amp; Home Care | organic_volume_growth | PCENDC96</x:v>
      </x:c>
      <x:c r="C391" s="2" t="str">
        <x:v>2026-03-31</x:v>
      </x:c>
      <x:c r="D391" s="2" t="str">
        <x:v>One month</x:v>
      </x:c>
      <x:c r="E391" s="2" t="str">
        <x:v>2026-03-13</x:v>
      </x:c>
      <x:c r="F391" s="2" t="str">
        <x:v>Flat level</x:v>
      </x:c>
      <x:c r="G391" s="2" t="n">
        <x:v>8</x:v>
      </x:c>
      <x:c r="H391" s="7" t="n">
        <x:v>2.68211146841145</x:v>
      </x:c>
      <x:c r="I391" s="7" t="n">
        <x:v>-0.7741267437616038</x:v>
      </x:c>
      <x:c r="J391" s="7" t="n">
        <x:v>1.5878930321878038</x:v>
      </x:c>
      <x:c r="K391" s="7" t="n">
        <x:f>H391+I391*J391</x:f>
        <x:v>1.452881005962166</x:v>
      </x:c>
      <x:c r="L391" s="7" t="n">
        <x:v>2</x:v>
      </x:c>
      <x:c r="M391" s="7" t="n">
        <x:f>K391-L391</x:f>
        <x:v>-0.547118994037834</x:v>
      </x:c>
      <x:c r="N391" s="7" t="n">
        <x:f>M391^2</x:f>
        <x:v>0.2993391936369715</x:v>
      </x:c>
      <x:c r="O391" s="7" t="n">
        <x:v>0</x:v>
      </x:c>
      <x:c r="P391" s="7" t="n">
        <x:v>-0.5</x:v>
      </x:c>
      <x:c r="Q391" s="7" t="n">
        <x:v>1.4340718660131646</x:v>
      </x:c>
      <x:c r="R391" s="7" t="n">
        <x:f>H391+I391*Q391</x:f>
        <x:v>1.5719580844545518</x:v>
      </x:c>
      <x:c r="S391" s="7" t="n">
        <x:f>R391-L391</x:f>
        <x:v>-0.42804191554544824</x:v>
      </x:c>
      <x:c r="T391" s="7" t="n">
        <x:f>K391-R391</x:f>
        <x:v>-0.1190770784923858</x:v>
      </x:c>
      <x:c r="U391" s="7" t="n">
        <x:f>M391-S391-T391</x:f>
        <x:v>0</x:v>
      </x:c>
    </x:row>
    <x:row r="392" ht="27" customHeight="1">
      <x:c r="A392" s="2"/>
      <x:c r="B392" s="2" t="str">
        <x:v>Baby, Feminine &amp; Family Care | organic_volume_growth | PCENDC96</x:v>
      </x:c>
      <x:c r="C392" s="2" t="str">
        <x:v>2026-03-31</x:v>
      </x:c>
      <x:c r="D392" s="2" t="str">
        <x:v>One month</x:v>
      </x:c>
      <x:c r="E392" s="2" t="str">
        <x:v>2026-03-13</x:v>
      </x:c>
      <x:c r="F392" s="2" t="str">
        <x:v>Recent trend</x:v>
      </x:c>
      <x:c r="G392" s="2" t="n">
        <x:v>16</x:v>
      </x:c>
      <x:c r="H392" s="7" t="n">
        <x:v>-2.6798746297492615</x:v>
      </x:c>
      <x:c r="I392" s="7" t="n">
        <x:v>0.765712231842195</x:v>
      </x:c>
      <x:c r="J392" s="7" t="n">
        <x:v>1.520536558800778</x:v>
      </x:c>
      <x:c r="K392" s="7" t="n">
        <x:f>H392+I392*J392</x:f>
        <x:v>-1.515581187712267</x:v>
      </x:c>
      <x:c r="L392" s="7" t="n">
        <x:v>3</x:v>
      </x:c>
      <x:c r="M392" s="7" t="n">
        <x:f>K392-L392</x:f>
        <x:v>-4.515581187712267</x:v>
      </x:c>
      <x:c r="N392" s="7" t="n">
        <x:f>M392^2</x:f>
        <x:v>20.39047346282093</x:v>
      </x:c>
      <x:c r="O392" s="7" t="n">
        <x:v>-5</x:v>
      </x:c>
      <x:c r="P392" s="7" t="n">
        <x:v>-1.75</x:v>
      </x:c>
      <x:c r="Q392" s="7" t="n">
        <x:v>1.4340718660131646</x:v>
      </x:c>
      <x:c r="R392" s="7" t="n">
        <x:f>H392+I392*Q392</x:f>
        <x:v>-1.58178826060222</x:v>
      </x:c>
      <x:c r="S392" s="7" t="n">
        <x:f>R392-L392</x:f>
        <x:v>-4.58178826060222</x:v>
      </x:c>
      <x:c r="T392" s="7" t="n">
        <x:f>K392-R392</x:f>
        <x:v>0.06620707288995309</x:v>
      </x:c>
      <x:c r="U392" s="7" t="n">
        <x:f>M392-S392-T392</x:f>
        <x:v>0</x:v>
      </x:c>
    </x:row>
    <x:row r="393" ht="27" customHeight="1">
      <x:c r="A393" s="2"/>
      <x:c r="B393" s="2" t="str">
        <x:v>Beauty | organic_volume_growth | PCENDC96</x:v>
      </x:c>
      <x:c r="C393" s="2" t="str">
        <x:v>2026-03-31</x:v>
      </x:c>
      <x:c r="D393" s="2" t="str">
        <x:v>One month</x:v>
      </x:c>
      <x:c r="E393" s="2" t="str">
        <x:v>2026-03-13</x:v>
      </x:c>
      <x:c r="F393" s="2" t="str">
        <x:v>Recent trend</x:v>
      </x:c>
      <x:c r="G393" s="2" t="n">
        <x:v>16</x:v>
      </x:c>
      <x:c r="H393" s="7" t="n">
        <x:v>-0.9504523118378174</x:v>
      </x:c>
      <x:c r="I393" s="7" t="n">
        <x:v>0.6573833828530388</x:v>
      </x:c>
      <x:c r="J393" s="7" t="n">
        <x:v>1.520536558800778</x:v>
      </x:c>
      <x:c r="K393" s="7" t="n">
        <x:f>H393+I393*J393</x:f>
        <x:v>0.049123154938356506</x:v>
      </x:c>
      <x:c r="L393" s="7" t="n">
        <x:v>5</x:v>
      </x:c>
      <x:c r="M393" s="7" t="n">
        <x:f>K393-L393</x:f>
        <x:v>-4.950876845061644</x:v>
      </x:c>
      <x:c r="N393" s="7" t="n">
        <x:f>M393^2</x:f>
        <x:v>24.511181534967537</x:v>
      </x:c>
      <x:c r="O393" s="7" t="n">
        <x:v>3</x:v>
      </x:c>
      <x:c r="P393" s="7" t="n">
        <x:v>2.25</x:v>
      </x:c>
      <x:c r="Q393" s="7" t="n">
        <x:v>1.4340718660131646</x:v>
      </x:c>
      <x:c r="R393" s="7" t="n">
        <x:f>H393+I393*Q393</x:f>
        <x:v>-0.007717297303713511</x:v>
      </x:c>
      <x:c r="S393" s="7" t="n">
        <x:f>R393-L393</x:f>
        <x:v>-5.007717297303714</x:v>
      </x:c>
      <x:c r="T393" s="7" t="n">
        <x:f>K393-R393</x:f>
        <x:v>0.056840452242070016</x:v>
      </x:c>
      <x:c r="U393" s="7" t="n">
        <x:f>M393-S393-T393</x:f>
        <x:v>-2.220446049250313e-16</x:v>
      </x:c>
    </x:row>
    <x:row r="394" ht="27" customHeight="1">
      <x:c r="A394" s="2"/>
      <x:c r="B394" s="2" t="str">
        <x:v>Fabric &amp; Home Care | organic_volume_growth | PCENDC96</x:v>
      </x:c>
      <x:c r="C394" s="2" t="str">
        <x:v>2026-03-31</x:v>
      </x:c>
      <x:c r="D394" s="2" t="str">
        <x:v>One month</x:v>
      </x:c>
      <x:c r="E394" s="2" t="str">
        <x:v>2026-03-13</x:v>
      </x:c>
      <x:c r="F394" s="2" t="str">
        <x:v>Recent trend</x:v>
      </x:c>
      <x:c r="G394" s="2" t="n">
        <x:v>8</x:v>
      </x:c>
      <x:c r="H394" s="7" t="n">
        <x:v>2.68211146841145</x:v>
      </x:c>
      <x:c r="I394" s="7" t="n">
        <x:v>-0.7741267437616038</x:v>
      </x:c>
      <x:c r="J394" s="7" t="n">
        <x:v>1.520536558800778</x:v>
      </x:c>
      <x:c r="K394" s="7" t="n">
        <x:f>H394+I394*J394</x:f>
        <x:v>1.5050234533765292</x:v>
      </x:c>
      <x:c r="L394" s="7" t="n">
        <x:v>2</x:v>
      </x:c>
      <x:c r="M394" s="7" t="n">
        <x:f>K394-L394</x:f>
        <x:v>-0.4949765466234708</x:v>
      </x:c>
      <x:c r="N394" s="7" t="n">
        <x:f>M394^2</x:f>
        <x:v>0.24500178170729695</x:v>
      </x:c>
      <x:c r="O394" s="7" t="n">
        <x:v>0</x:v>
      </x:c>
      <x:c r="P394" s="7" t="n">
        <x:v>-0.5</x:v>
      </x:c>
      <x:c r="Q394" s="7" t="n">
        <x:v>1.4340718660131646</x:v>
      </x:c>
      <x:c r="R394" s="7" t="n">
        <x:f>H394+I394*Q394</x:f>
        <x:v>1.5719580844545518</x:v>
      </x:c>
      <x:c r="S394" s="7" t="n">
        <x:f>R394-L394</x:f>
        <x:v>-0.42804191554544824</x:v>
      </x:c>
      <x:c r="T394" s="7" t="n">
        <x:f>K394-R394</x:f>
        <x:v>-0.06693463107802256</x:v>
      </x:c>
      <x:c r="U394" s="7" t="n">
        <x:f>M394-S394-T394</x:f>
        <x:v>0</x:v>
      </x:c>
    </x:row>
    <x:row r="395" ht="27" customHeight="1">
      <x:c r="A395" s="2"/>
      <x:c r="B395" s="2" t="str">
        <x:v>Baby, Feminine &amp; Family Care | organic_volume_growth | PCENDC96</x:v>
      </x:c>
      <x:c r="C395" s="2" t="str">
        <x:v>2026-03-31</x:v>
      </x:c>
      <x:c r="D395" s="2" t="str">
        <x:v>Two months</x:v>
      </x:c>
      <x:c r="E395" s="2" t="str">
        <x:v>2026-04-09</x:v>
      </x:c>
      <x:c r="F395" s="2" t="str">
        <x:v>YoY carry</x:v>
      </x:c>
      <x:c r="G395" s="2" t="n">
        <x:v>16</x:v>
      </x:c>
      <x:c r="H395" s="7" t="n">
        <x:v>-2.684001104034804</x:v>
      </x:c>
      <x:c r="I395" s="7" t="n">
        <x:v>0.7696496580293124</x:v>
      </x:c>
      <x:c r="J395" s="7" t="n">
        <x:v>1.2714440995043708</x:v>
      </x:c>
      <x:c r="K395" s="7" t="n">
        <x:f>H395+I395*J395</x:f>
        <x:v>-1.7054345876478783</x:v>
      </x:c>
      <x:c r="L395" s="7" t="n">
        <x:v>3</x:v>
      </x:c>
      <x:c r="M395" s="7" t="n">
        <x:f>K395-L395</x:f>
        <x:v>-4.705434587647878</x:v>
      </x:c>
      <x:c r="N395" s="7" t="n">
        <x:f>M395^2</x:f>
        <x:v>22.141114658632958</x:v>
      </x:c>
      <x:c r="O395" s="7" t="n">
        <x:v>-5</x:v>
      </x:c>
      <x:c r="P395" s="7" t="n">
        <x:v>-1.75</x:v>
      </x:c>
      <x:c r="Q395" s="7" t="n">
        <x:v>1.294581864388955</x:v>
      </x:c>
      <x:c r="R395" s="7" t="n">
        <x:f>H395+I395*Q395</x:f>
        <x:v>-1.6876266148168952</x:v>
      </x:c>
      <x:c r="S395" s="7" t="n">
        <x:f>R395-L395</x:f>
        <x:v>-4.687626614816895</x:v>
      </x:c>
      <x:c r="T395" s="7" t="n">
        <x:f>K395-R395</x:f>
        <x:v>-0.01780797283098301</x:v>
      </x:c>
      <x:c r="U395" s="7" t="n">
        <x:f>M395-S395-T395</x:f>
        <x:v>-2.220446049250313e-16</x:v>
      </x:c>
    </x:row>
    <x:row r="396" ht="27" customHeight="1">
      <x:c r="A396" s="2"/>
      <x:c r="B396" s="2" t="str">
        <x:v>Beauty | organic_volume_growth | PCENDC96</x:v>
      </x:c>
      <x:c r="C396" s="2" t="str">
        <x:v>2026-03-31</x:v>
      </x:c>
      <x:c r="D396" s="2" t="str">
        <x:v>Two months</x:v>
      </x:c>
      <x:c r="E396" s="2" t="str">
        <x:v>2026-04-09</x:v>
      </x:c>
      <x:c r="F396" s="2" t="str">
        <x:v>YoY carry</x:v>
      </x:c>
      <x:c r="G396" s="2" t="n">
        <x:v>16</x:v>
      </x:c>
      <x:c r="H396" s="7" t="n">
        <x:v>-0.9459287435257839</x:v>
      </x:c>
      <x:c r="I396" s="7" t="n">
        <x:v>0.6555203664562916</x:v>
      </x:c>
      <x:c r="J396" s="7" t="n">
        <x:v>1.2714440995043708</x:v>
      </x:c>
      <x:c r="K396" s="7" t="n">
        <x:f>H396+I396*J396</x:f>
        <x:v>-0.1124712414899891</x:v>
      </x:c>
      <x:c r="L396" s="7" t="n">
        <x:v>5</x:v>
      </x:c>
      <x:c r="M396" s="7" t="n">
        <x:f>K396-L396</x:f>
        <x:v>-5.112471241489989</x:v>
      </x:c>
      <x:c r="N396" s="7" t="n">
        <x:f>M396^2</x:f>
        <x:v>26.13736219506219</x:v>
      </x:c>
      <x:c r="O396" s="7" t="n">
        <x:v>3</x:v>
      </x:c>
      <x:c r="P396" s="7" t="n">
        <x:v>2.25</x:v>
      </x:c>
      <x:c r="Q396" s="7" t="n">
        <x:v>1.294581864388955</x:v>
      </x:c>
      <x:c r="R396" s="7" t="n">
        <x:f>H396+I396*Q396</x:f>
        <x:v>-0.09730396537386687</x:v>
      </x:c>
      <x:c r="S396" s="7" t="n">
        <x:f>R396-L396</x:f>
        <x:v>-5.097303965373867</x:v>
      </x:c>
      <x:c r="T396" s="7" t="n">
        <x:f>K396-R396</x:f>
        <x:v>-0.01516727611612223</x:v>
      </x:c>
      <x:c r="U396" s="7" t="n">
        <x:f>M396-S396-T396</x:f>
        <x:v>3.3306690738754696e-16</x:v>
      </x:c>
    </x:row>
    <x:row r="397" ht="27" customHeight="1">
      <x:c r="A397" s="2"/>
      <x:c r="B397" s="2" t="str">
        <x:v>Fabric &amp; Home Care | organic_volume_growth | PCENDC96</x:v>
      </x:c>
      <x:c r="C397" s="2" t="str">
        <x:v>2026-03-31</x:v>
      </x:c>
      <x:c r="D397" s="2" t="str">
        <x:v>Two months</x:v>
      </x:c>
      <x:c r="E397" s="2" t="str">
        <x:v>2026-04-09</x:v>
      </x:c>
      <x:c r="F397" s="2" t="str">
        <x:v>YoY carry</x:v>
      </x:c>
      <x:c r="G397" s="2" t="n">
        <x:v>8</x:v>
      </x:c>
      <x:c r="H397" s="7" t="n">
        <x:v>2.6384346754690453</x:v>
      </x:c>
      <x:c r="I397" s="7" t="n">
        <x:v>-0.7591310455544314</x:v>
      </x:c>
      <x:c r="J397" s="7" t="n">
        <x:v>1.2714440995043708</x:v>
      </x:c>
      <x:c r="K397" s="7" t="n">
        <x:f>H397+I397*J397</x:f>
        <x:v>1.6732419868482797</x:v>
      </x:c>
      <x:c r="L397" s="7" t="n">
        <x:v>2</x:v>
      </x:c>
      <x:c r="M397" s="7" t="n">
        <x:f>K397-L397</x:f>
        <x:v>-0.32675801315172026</x:v>
      </x:c>
      <x:c r="N397" s="7" t="n">
        <x:f>M397^2</x:f>
        <x:v>0.10677079915885979</x:v>
      </x:c>
      <x:c r="O397" s="7" t="n">
        <x:v>0</x:v>
      </x:c>
      <x:c r="P397" s="7" t="n">
        <x:v>-0.5</x:v>
      </x:c>
      <x:c r="Q397" s="7" t="n">
        <x:v>1.294581864388955</x:v>
      </x:c>
      <x:c r="R397" s="7" t="n">
        <x:f>H397+I397*Q397</x:f>
        <x:v>1.6556773911996525</x:v>
      </x:c>
      <x:c r="S397" s="7" t="n">
        <x:f>R397-L397</x:f>
        <x:v>-0.3443226088003475</x:v>
      </x:c>
      <x:c r="T397" s="7" t="n">
        <x:f>K397-R397</x:f>
        <x:v>0.017564595648627224</x:v>
      </x:c>
      <x:c r="U397" s="7" t="n">
        <x:f>M397-S397-T397</x:f>
        <x:v>0</x:v>
      </x:c>
    </x:row>
    <x:row r="398" ht="27" customHeight="1">
      <x:c r="A398" s="2"/>
      <x:c r="B398" s="2" t="str">
        <x:v>Baby, Feminine &amp; Family Care | organic_volume_growth | PCENDC96</x:v>
      </x:c>
      <x:c r="C398" s="2" t="str">
        <x:v>2026-03-31</x:v>
      </x:c>
      <x:c r="D398" s="2" t="str">
        <x:v>Two months</x:v>
      </x:c>
      <x:c r="E398" s="2" t="str">
        <x:v>2026-04-09</x:v>
      </x:c>
      <x:c r="F398" s="2" t="str">
        <x:v>Flat level</x:v>
      </x:c>
      <x:c r="G398" s="2" t="n">
        <x:v>16</x:v>
      </x:c>
      <x:c r="H398" s="7" t="n">
        <x:v>-2.684001104034804</x:v>
      </x:c>
      <x:c r="I398" s="7" t="n">
        <x:v>0.7696496580293124</x:v>
      </x:c>
      <x:c r="J398" s="7" t="n">
        <x:v>1.0108248062904224</x:v>
      </x:c>
      <x:c r="K398" s="7" t="n">
        <x:f>H398+I398*J398</x:f>
        <x:v>-1.9060201375458345</x:v>
      </x:c>
      <x:c r="L398" s="7" t="n">
        <x:v>3</x:v>
      </x:c>
      <x:c r="M398" s="7" t="n">
        <x:f>K398-L398</x:f>
        <x:v>-4.906020137545834</x:v>
      </x:c>
      <x:c r="N398" s="7" t="n">
        <x:f>M398^2</x:f>
        <x:v>24.069033590005244</x:v>
      </x:c>
      <x:c r="O398" s="7" t="n">
        <x:v>-5</x:v>
      </x:c>
      <x:c r="P398" s="7" t="n">
        <x:v>-1.75</x:v>
      </x:c>
      <x:c r="Q398" s="7" t="n">
        <x:v>1.294581864388955</x:v>
      </x:c>
      <x:c r="R398" s="7" t="n">
        <x:f>H398+I398*Q398</x:f>
        <x:v>-1.6876266148168952</x:v>
      </x:c>
      <x:c r="S398" s="7" t="n">
        <x:f>R398-L398</x:f>
        <x:v>-4.687626614816895</x:v>
      </x:c>
      <x:c r="T398" s="7" t="n">
        <x:f>K398-R398</x:f>
        <x:v>-0.2183935227289393</x:v>
      </x:c>
      <x:c r="U398" s="7" t="n">
        <x:f>M398-S398-T398</x:f>
        <x:v>2.220446049250313e-16</x:v>
      </x:c>
    </x:row>
    <x:row r="399" ht="27" customHeight="1">
      <x:c r="A399" s="2"/>
      <x:c r="B399" s="2" t="str">
        <x:v>Beauty | organic_volume_growth | PCENDC96</x:v>
      </x:c>
      <x:c r="C399" s="2" t="str">
        <x:v>2026-03-31</x:v>
      </x:c>
      <x:c r="D399" s="2" t="str">
        <x:v>Two months</x:v>
      </x:c>
      <x:c r="E399" s="2" t="str">
        <x:v>2026-04-09</x:v>
      </x:c>
      <x:c r="F399" s="2" t="str">
        <x:v>Flat level</x:v>
      </x:c>
      <x:c r="G399" s="2" t="n">
        <x:v>16</x:v>
      </x:c>
      <x:c r="H399" s="7" t="n">
        <x:v>-0.9459287435257839</x:v>
      </x:c>
      <x:c r="I399" s="7" t="n">
        <x:v>0.6555203664562916</x:v>
      </x:c>
      <x:c r="J399" s="7" t="n">
        <x:v>1.0108248062904224</x:v>
      </x:c>
      <x:c r="K399" s="7" t="n">
        <x:f>H399+I399*J399</x:f>
        <x:v>-0.2833124960831762</x:v>
      </x:c>
      <x:c r="L399" s="7" t="n">
        <x:v>5</x:v>
      </x:c>
      <x:c r="M399" s="7" t="n">
        <x:f>K399-L399</x:f>
        <x:v>-5.283312496083176</x:v>
      </x:c>
      <x:c r="N399" s="7" t="n">
        <x:f>M399^2</x:f>
        <x:v>27.913390931268637</x:v>
      </x:c>
      <x:c r="O399" s="7" t="n">
        <x:v>3</x:v>
      </x:c>
      <x:c r="P399" s="7" t="n">
        <x:v>2.25</x:v>
      </x:c>
      <x:c r="Q399" s="7" t="n">
        <x:v>1.294581864388955</x:v>
      </x:c>
      <x:c r="R399" s="7" t="n">
        <x:f>H399+I399*Q399</x:f>
        <x:v>-0.09730396537386687</x:v>
      </x:c>
      <x:c r="S399" s="7" t="n">
        <x:f>R399-L399</x:f>
        <x:v>-5.097303965373867</x:v>
      </x:c>
      <x:c r="T399" s="7" t="n">
        <x:f>K399-R399</x:f>
        <x:v>-0.18600853070930934</x:v>
      </x:c>
      <x:c r="U399" s="7" t="n">
        <x:f>M399-S399-T399</x:f>
        <x:v>6.661338147750939e-16</x:v>
      </x:c>
    </x:row>
    <x:row r="400" ht="27" customHeight="1">
      <x:c r="A400" s="2"/>
      <x:c r="B400" s="2" t="str">
        <x:v>Fabric &amp; Home Care | organic_volume_growth | PCENDC96</x:v>
      </x:c>
      <x:c r="C400" s="2" t="str">
        <x:v>2026-03-31</x:v>
      </x:c>
      <x:c r="D400" s="2" t="str">
        <x:v>Two months</x:v>
      </x:c>
      <x:c r="E400" s="2" t="str">
        <x:v>2026-04-09</x:v>
      </x:c>
      <x:c r="F400" s="2" t="str">
        <x:v>Flat level</x:v>
      </x:c>
      <x:c r="G400" s="2" t="n">
        <x:v>8</x:v>
      </x:c>
      <x:c r="H400" s="7" t="n">
        <x:v>2.6384346754690453</x:v>
      </x:c>
      <x:c r="I400" s="7" t="n">
        <x:v>-0.7591310455544314</x:v>
      </x:c>
      <x:c r="J400" s="7" t="n">
        <x:v>1.0108248062904224</x:v>
      </x:c>
      <x:c r="K400" s="7" t="n">
        <x:f>H400+I400*J400</x:f>
        <x:v>1.8710861833974413</x:v>
      </x:c>
      <x:c r="L400" s="7" t="n">
        <x:v>2</x:v>
      </x:c>
      <x:c r="M400" s="7" t="n">
        <x:f>K400-L400</x:f>
        <x:v>-0.12891381660255874</x:v>
      </x:c>
      <x:c r="N400" s="7" t="n">
        <x:f>M400^2</x:f>
        <x:v>0.016618772111038148</x:v>
      </x:c>
      <x:c r="O400" s="7" t="n">
        <x:v>0</x:v>
      </x:c>
      <x:c r="P400" s="7" t="n">
        <x:v>-0.5</x:v>
      </x:c>
      <x:c r="Q400" s="7" t="n">
        <x:v>1.294581864388955</x:v>
      </x:c>
      <x:c r="R400" s="7" t="n">
        <x:f>H400+I400*Q400</x:f>
        <x:v>1.6556773911996525</x:v>
      </x:c>
      <x:c r="S400" s="7" t="n">
        <x:f>R400-L400</x:f>
        <x:v>-0.3443226088003475</x:v>
      </x:c>
      <x:c r="T400" s="7" t="n">
        <x:f>K400-R400</x:f>
        <x:v>0.21540879219778875</x:v>
      </x:c>
      <x:c r="U400" s="7" t="n">
        <x:f>M400-S400-T400</x:f>
        <x:v>0</x:v>
      </x:c>
    </x:row>
    <x:row r="401" ht="27" customHeight="1">
      <x:c r="A401" s="2"/>
      <x:c r="B401" s="2" t="str">
        <x:v>Baby, Feminine &amp; Family Care | organic_volume_growth | PCENDC96</x:v>
      </x:c>
      <x:c r="C401" s="2" t="str">
        <x:v>2026-03-31</x:v>
      </x:c>
      <x:c r="D401" s="2" t="str">
        <x:v>Two months</x:v>
      </x:c>
      <x:c r="E401" s="2" t="str">
        <x:v>2026-04-09</x:v>
      </x:c>
      <x:c r="F401" s="2" t="str">
        <x:v>Recent trend</x:v>
      </x:c>
      <x:c r="G401" s="2" t="n">
        <x:v>16</x:v>
      </x:c>
      <x:c r="H401" s="7" t="n">
        <x:v>-2.684001104034804</x:v>
      </x:c>
      <x:c r="I401" s="7" t="n">
        <x:v>0.7696496580293124</x:v>
      </x:c>
      <x:c r="J401" s="7" t="n">
        <x:v>0.9167168257425917</x:v>
      </x:c>
      <x:c r="K401" s="7" t="n">
        <x:f>H401+I401*J401</x:f>
        <x:v>-1.9784503125923019</x:v>
      </x:c>
      <x:c r="L401" s="7" t="n">
        <x:v>3</x:v>
      </x:c>
      <x:c r="M401" s="7" t="n">
        <x:f>K401-L401</x:f>
        <x:v>-4.978450312592302</x:v>
      </x:c>
      <x:c r="N401" s="7" t="n">
        <x:f>M401^2</x:f>
        <x:v>24.784967514950388</x:v>
      </x:c>
      <x:c r="O401" s="7" t="n">
        <x:v>-5</x:v>
      </x:c>
      <x:c r="P401" s="7" t="n">
        <x:v>-1.75</x:v>
      </x:c>
      <x:c r="Q401" s="7" t="n">
        <x:v>1.294581864388955</x:v>
      </x:c>
      <x:c r="R401" s="7" t="n">
        <x:f>H401+I401*Q401</x:f>
        <x:v>-1.6876266148168952</x:v>
      </x:c>
      <x:c r="S401" s="7" t="n">
        <x:f>R401-L401</x:f>
        <x:v>-4.687626614816895</x:v>
      </x:c>
      <x:c r="T401" s="7" t="n">
        <x:f>K401-R401</x:f>
        <x:v>-0.2908236977754066</x:v>
      </x:c>
      <x:c r="U401" s="7" t="n">
        <x:f>M401-S401-T401</x:f>
        <x:v>-2.220446049250313e-16</x:v>
      </x:c>
    </x:row>
    <x:row r="402" ht="27" customHeight="1">
      <x:c r="A402" s="2"/>
      <x:c r="B402" s="2" t="str">
        <x:v>Beauty | organic_volume_growth | PCENDC96</x:v>
      </x:c>
      <x:c r="C402" s="2" t="str">
        <x:v>2026-03-31</x:v>
      </x:c>
      <x:c r="D402" s="2" t="str">
        <x:v>Two months</x:v>
      </x:c>
      <x:c r="E402" s="2" t="str">
        <x:v>2026-04-09</x:v>
      </x:c>
      <x:c r="F402" s="2" t="str">
        <x:v>Recent trend</x:v>
      </x:c>
      <x:c r="G402" s="2" t="n">
        <x:v>16</x:v>
      </x:c>
      <x:c r="H402" s="7" t="n">
        <x:v>-0.9459287435257839</x:v>
      </x:c>
      <x:c r="I402" s="7" t="n">
        <x:v>0.6555203664562916</x:v>
      </x:c>
      <x:c r="J402" s="7" t="n">
        <x:v>0.9167168257425917</x:v>
      </x:c>
      <x:c r="K402" s="7" t="n">
        <x:f>H402+I402*J402</x:f>
        <x:v>-0.34500219397835175</x:v>
      </x:c>
      <x:c r="L402" s="7" t="n">
        <x:v>5</x:v>
      </x:c>
      <x:c r="M402" s="7" t="n">
        <x:f>K402-L402</x:f>
        <x:v>-5.345002193978352</x:v>
      </x:c>
      <x:c r="N402" s="7" t="n">
        <x:f>M402^2</x:f>
        <x:v>28.569048453633393</x:v>
      </x:c>
      <x:c r="O402" s="7" t="n">
        <x:v>3</x:v>
      </x:c>
      <x:c r="P402" s="7" t="n">
        <x:v>2.25</x:v>
      </x:c>
      <x:c r="Q402" s="7" t="n">
        <x:v>1.294581864388955</x:v>
      </x:c>
      <x:c r="R402" s="7" t="n">
        <x:f>H402+I402*Q402</x:f>
        <x:v>-0.09730396537386687</x:v>
      </x:c>
      <x:c r="S402" s="7" t="n">
        <x:f>R402-L402</x:f>
        <x:v>-5.097303965373867</x:v>
      </x:c>
      <x:c r="T402" s="7" t="n">
        <x:f>K402-R402</x:f>
        <x:v>-0.24769822860448487</x:v>
      </x:c>
      <x:c r="U402" s="7" t="n">
        <x:f>M402-S402-T402</x:f>
        <x:v>4.440892098500626e-16</x:v>
      </x:c>
    </x:row>
    <x:row r="403" ht="27" customHeight="1">
      <x:c r="A403" s="2"/>
      <x:c r="B403" s="2" t="str">
        <x:v>Fabric &amp; Home Care | organic_volume_growth | PCENDC96</x:v>
      </x:c>
      <x:c r="C403" s="2" t="str">
        <x:v>2026-03-31</x:v>
      </x:c>
      <x:c r="D403" s="2" t="str">
        <x:v>Two months</x:v>
      </x:c>
      <x:c r="E403" s="2" t="str">
        <x:v>2026-04-09</x:v>
      </x:c>
      <x:c r="F403" s="2" t="str">
        <x:v>Recent trend</x:v>
      </x:c>
      <x:c r="G403" s="2" t="n">
        <x:v>8</x:v>
      </x:c>
      <x:c r="H403" s="7" t="n">
        <x:v>2.6384346754690453</x:v>
      </x:c>
      <x:c r="I403" s="7" t="n">
        <x:v>-0.7591310455544314</x:v>
      </x:c>
      <x:c r="J403" s="7" t="n">
        <x:v>0.9167168257425917</x:v>
      </x:c>
      <x:c r="K403" s="7" t="n">
        <x:f>H403+I403*J403</x:f>
        <x:v>1.9425264730657321</x:v>
      </x:c>
      <x:c r="L403" s="7" t="n">
        <x:v>2</x:v>
      </x:c>
      <x:c r="M403" s="7" t="n">
        <x:f>K403-L403</x:f>
        <x:v>-0.05747352693426788</x:v>
      </x:c>
      <x:c r="N403" s="7" t="n">
        <x:f>M403^2</x:f>
        <x:v>0.003303206298264016</x:v>
      </x:c>
      <x:c r="O403" s="7" t="n">
        <x:v>0</x:v>
      </x:c>
      <x:c r="P403" s="7" t="n">
        <x:v>-0.5</x:v>
      </x:c>
      <x:c r="Q403" s="7" t="n">
        <x:v>1.294581864388955</x:v>
      </x:c>
      <x:c r="R403" s="7" t="n">
        <x:f>H403+I403*Q403</x:f>
        <x:v>1.6556773911996525</x:v>
      </x:c>
      <x:c r="S403" s="7" t="n">
        <x:f>R403-L403</x:f>
        <x:v>-0.3443226088003475</x:v>
      </x:c>
      <x:c r="T403" s="7" t="n">
        <x:f>K403-R403</x:f>
        <x:v>0.2868490818660796</x:v>
      </x:c>
      <x:c r="U403" s="7" t="n">
        <x:f>M403-S403-T403</x:f>
        <x:v>0</x:v>
      </x:c>
    </x:row>
    <x:row r="404" ht="27" customHeight="1">
      <x:c r="A404" s="2"/>
      <x:c r="B404" s="2" t="str">
        <x:v>Baby, Feminine &amp; Family Care | organic_volume_growth | PCENDC96</x:v>
      </x:c>
      <x:c r="C404" s="2" t="str">
        <x:v>2026-03-31</x:v>
      </x:c>
      <x:c r="D404" s="2" t="str">
        <x:v>Pre-earnings</x:v>
      </x:c>
      <x:c r="E404" s="2" t="str">
        <x:v>2026-04-23</x:v>
      </x:c>
      <x:c r="F404" s="2" t="str">
        <x:v>YoY carry</x:v>
      </x:c>
      <x:c r="G404" s="2" t="n">
        <x:v>20</x:v>
      </x:c>
      <x:c r="H404" s="7" t="n">
        <x:v>-1.8106477340706817</x:v>
      </x:c>
      <x:c r="I404" s="7" t="n">
        <x:v>0.12161704139556496</x:v>
      </x:c>
      <x:c r="J404" s="7" t="n">
        <x:v>1.2714440995043708</x:v>
      </x:c>
      <x:c r="K404" s="7" t="n">
        <x:f>H404+I404*J404</x:f>
        <x:v>-1.6560184643891118</x:v>
      </x:c>
      <x:c r="L404" s="7" t="n">
        <x:v>3</x:v>
      </x:c>
      <x:c r="M404" s="7" t="n">
        <x:f>K404-L404</x:f>
        <x:v>-4.656018464389112</x:v>
      </x:c>
      <x:c r="N404" s="7" t="n">
        <x:f>M404^2</x:f>
        <x:v>21.67850794073234</x:v>
      </x:c>
      <x:c r="O404" s="7" t="n">
        <x:v>-5</x:v>
      </x:c>
      <x:c r="P404" s="7" t="n">
        <x:v>-1.75</x:v>
      </x:c>
      <x:c r="Q404" s="7" t="n">
        <x:v>1.294581864388955</x:v>
      </x:c>
      <x:c r="R404" s="7" t="n">
        <x:f>H404+I404*Q404</x:f>
        <x:v>-1.6532045178793424</x:v>
      </x:c>
      <x:c r="S404" s="7" t="n">
        <x:f>R404-L404</x:f>
        <x:v>-4.653204517879343</x:v>
      </x:c>
      <x:c r="T404" s="7" t="n">
        <x:f>K404-R404</x:f>
        <x:v>-0.002813946509769405</x:v>
      </x:c>
      <x:c r="U404" s="7" t="n">
        <x:f>M404-S404-T404</x:f>
        <x:v>4.440892098500626e-16</x:v>
      </x:c>
    </x:row>
    <x:row r="405" ht="27" customHeight="1">
      <x:c r="A405" s="2"/>
      <x:c r="B405" s="2" t="str">
        <x:v>Beauty | organic_volume_growth | PCENDC96</x:v>
      </x:c>
      <x:c r="C405" s="2" t="str">
        <x:v>2026-03-31</x:v>
      </x:c>
      <x:c r="D405" s="2" t="str">
        <x:v>Pre-earnings</x:v>
      </x:c>
      <x:c r="E405" s="2" t="str">
        <x:v>2026-04-23</x:v>
      </x:c>
      <x:c r="F405" s="2" t="str">
        <x:v>YoY carry</x:v>
      </x:c>
      <x:c r="G405" s="2" t="n">
        <x:v>20</x:v>
      </x:c>
      <x:c r="H405" s="7" t="n">
        <x:v>-0.3620349191083958</x:v>
      </x:c>
      <x:c r="I405" s="7" t="n">
        <x:v>0.20638941842942254</x:v>
      </x:c>
      <x:c r="J405" s="7" t="n">
        <x:v>1.2714440995043708</x:v>
      </x:c>
      <x:c r="K405" s="7" t="n">
        <x:f>H405+I405*J405</x:f>
        <x:v>-0.09962231084616785</x:v>
      </x:c>
      <x:c r="L405" s="7" t="n">
        <x:v>5</x:v>
      </x:c>
      <x:c r="M405" s="7" t="n">
        <x:f>K405-L405</x:f>
        <x:v>-5.099622310846168</x:v>
      </x:c>
      <x:c r="N405" s="7" t="n">
        <x:f>M405^2</x:f>
        <x:v>26.006147713280008</x:v>
      </x:c>
      <x:c r="O405" s="7" t="n">
        <x:v>3</x:v>
      </x:c>
      <x:c r="P405" s="7" t="n">
        <x:v>2.25</x:v>
      </x:c>
      <x:c r="Q405" s="7" t="n">
        <x:v>1.294581864388955</x:v>
      </x:c>
      <x:c r="R405" s="7" t="n">
        <x:f>H405+I405*Q405</x:f>
        <x:v>-0.09484692100788178</x:v>
      </x:c>
      <x:c r="S405" s="7" t="n">
        <x:f>R405-L405</x:f>
        <x:v>-5.094846921007882</x:v>
      </x:c>
      <x:c r="T405" s="7" t="n">
        <x:f>K405-R405</x:f>
        <x:v>-0.0047753898382860704</x:v>
      </x:c>
      <x:c r="U405" s="7" t="n">
        <x:f>M405-S405-T405</x:f>
        <x:v>4.440892098500626e-16</x:v>
      </x:c>
    </x:row>
    <x:row r="406" ht="27" customHeight="1">
      <x:c r="A406" s="2"/>
      <x:c r="B406" s="2" t="str">
        <x:v>Fabric &amp; Home Care | organic_volume_growth | PCENDC96</x:v>
      </x:c>
      <x:c r="C406" s="2" t="str">
        <x:v>2026-03-31</x:v>
      </x:c>
      <x:c r="D406" s="2" t="str">
        <x:v>Pre-earnings</x:v>
      </x:c>
      <x:c r="E406" s="2" t="str">
        <x:v>2026-04-23</x:v>
      </x:c>
      <x:c r="F406" s="2" t="str">
        <x:v>YoY carry</x:v>
      </x:c>
      <x:c r="G406" s="2" t="n">
        <x:v>8</x:v>
      </x:c>
      <x:c r="H406" s="7" t="n">
        <x:v>2.6384346754690453</x:v>
      </x:c>
      <x:c r="I406" s="7" t="n">
        <x:v>-0.7591310455544314</x:v>
      </x:c>
      <x:c r="J406" s="7" t="n">
        <x:v>1.2714440995043708</x:v>
      </x:c>
      <x:c r="K406" s="7" t="n">
        <x:f>H406+I406*J406</x:f>
        <x:v>1.6732419868482797</x:v>
      </x:c>
      <x:c r="L406" s="7" t="n">
        <x:v>2</x:v>
      </x:c>
      <x:c r="M406" s="7" t="n">
        <x:f>K406-L406</x:f>
        <x:v>-0.32675801315172026</x:v>
      </x:c>
      <x:c r="N406" s="7" t="n">
        <x:f>M406^2</x:f>
        <x:v>0.10677079915885979</x:v>
      </x:c>
      <x:c r="O406" s="7" t="n">
        <x:v>0</x:v>
      </x:c>
      <x:c r="P406" s="7" t="n">
        <x:v>-0.5</x:v>
      </x:c>
      <x:c r="Q406" s="7" t="n">
        <x:v>1.294581864388955</x:v>
      </x:c>
      <x:c r="R406" s="7" t="n">
        <x:f>H406+I406*Q406</x:f>
        <x:v>1.6556773911996525</x:v>
      </x:c>
      <x:c r="S406" s="7" t="n">
        <x:f>R406-L406</x:f>
        <x:v>-0.3443226088003475</x:v>
      </x:c>
      <x:c r="T406" s="7" t="n">
        <x:f>K406-R406</x:f>
        <x:v>0.017564595648627224</x:v>
      </x:c>
      <x:c r="U406" s="7" t="n">
        <x:f>M406-S406-T406</x:f>
        <x:v>0</x:v>
      </x:c>
    </x:row>
    <x:row r="407" ht="27" customHeight="1">
      <x:c r="A407" s="2"/>
      <x:c r="B407" s="2" t="str">
        <x:v>Baby, Feminine &amp; Family Care | organic_volume_growth | PCENDC96</x:v>
      </x:c>
      <x:c r="C407" s="2" t="str">
        <x:v>2026-03-31</x:v>
      </x:c>
      <x:c r="D407" s="2" t="str">
        <x:v>Pre-earnings</x:v>
      </x:c>
      <x:c r="E407" s="2" t="str">
        <x:v>2026-04-23</x:v>
      </x:c>
      <x:c r="F407" s="2" t="str">
        <x:v>Flat level</x:v>
      </x:c>
      <x:c r="G407" s="2" t="n">
        <x:v>20</x:v>
      </x:c>
      <x:c r="H407" s="7" t="n">
        <x:v>-1.8106477340706817</x:v>
      </x:c>
      <x:c r="I407" s="7" t="n">
        <x:v>0.12161704139556496</x:v>
      </x:c>
      <x:c r="J407" s="7" t="n">
        <x:v>1.0108248062904224</x:v>
      </x:c>
      <x:c r="K407" s="7" t="n">
        <x:f>H407+I407*J407</x:f>
        <x:v>-1.6877142117603954</x:v>
      </x:c>
      <x:c r="L407" s="7" t="n">
        <x:v>3</x:v>
      </x:c>
      <x:c r="M407" s="7" t="n">
        <x:f>K407-L407</x:f>
        <x:v>-4.687714211760396</x:v>
      </x:c>
      <x:c r="N407" s="7" t="n">
        <x:f>M407^2</x:f>
        <x:v>21.974664531140387</x:v>
      </x:c>
      <x:c r="O407" s="7" t="n">
        <x:v>-5</x:v>
      </x:c>
      <x:c r="P407" s="7" t="n">
        <x:v>-1.75</x:v>
      </x:c>
      <x:c r="Q407" s="7" t="n">
        <x:v>1.294581864388955</x:v>
      </x:c>
      <x:c r="R407" s="7" t="n">
        <x:f>H407+I407*Q407</x:f>
        <x:v>-1.6532045178793424</x:v>
      </x:c>
      <x:c r="S407" s="7" t="n">
        <x:f>R407-L407</x:f>
        <x:v>-4.653204517879343</x:v>
      </x:c>
      <x:c r="T407" s="7" t="n">
        <x:f>K407-R407</x:f>
        <x:v>-0.03450969388105296</x:v>
      </x:c>
      <x:c r="U407" s="7" t="n">
        <x:f>M407-S407-T407</x:f>
        <x:v>0</x:v>
      </x:c>
    </x:row>
    <x:row r="408" ht="27" customHeight="1">
      <x:c r="A408" s="2"/>
      <x:c r="B408" s="2" t="str">
        <x:v>Beauty | organic_volume_growth | PCENDC96</x:v>
      </x:c>
      <x:c r="C408" s="2" t="str">
        <x:v>2026-03-31</x:v>
      </x:c>
      <x:c r="D408" s="2" t="str">
        <x:v>Pre-earnings</x:v>
      </x:c>
      <x:c r="E408" s="2" t="str">
        <x:v>2026-04-23</x:v>
      </x:c>
      <x:c r="F408" s="2" t="str">
        <x:v>Flat level</x:v>
      </x:c>
      <x:c r="G408" s="2" t="n">
        <x:v>20</x:v>
      </x:c>
      <x:c r="H408" s="7" t="n">
        <x:v>-0.3620349191083958</x:v>
      </x:c>
      <x:c r="I408" s="7" t="n">
        <x:v>0.20638941842942254</x:v>
      </x:c>
      <x:c r="J408" s="7" t="n">
        <x:v>1.0108248062904224</x:v>
      </x:c>
      <x:c r="K408" s="7" t="n">
        <x:f>H408+I408*J408</x:f>
        <x:v>-0.15341137520408182</x:v>
      </x:c>
      <x:c r="L408" s="7" t="n">
        <x:v>5</x:v>
      </x:c>
      <x:c r="M408" s="7" t="n">
        <x:f>K408-L408</x:f>
        <x:v>-5.153411375204082</x:v>
      </x:c>
      <x:c r="N408" s="7" t="n">
        <x:f>M408^2</x:f>
        <x:v>26.55764880208283</x:v>
      </x:c>
      <x:c r="O408" s="7" t="n">
        <x:v>3</x:v>
      </x:c>
      <x:c r="P408" s="7" t="n">
        <x:v>2.25</x:v>
      </x:c>
      <x:c r="Q408" s="7" t="n">
        <x:v>1.294581864388955</x:v>
      </x:c>
      <x:c r="R408" s="7" t="n">
        <x:f>H408+I408*Q408</x:f>
        <x:v>-0.09484692100788178</x:v>
      </x:c>
      <x:c r="S408" s="7" t="n">
        <x:f>R408-L408</x:f>
        <x:v>-5.094846921007882</x:v>
      </x:c>
      <x:c r="T408" s="7" t="n">
        <x:f>K408-R408</x:f>
        <x:v>-0.058564454196200044</x:v>
      </x:c>
      <x:c r="U408" s="7" t="n">
        <x:f>M408-S408-T408</x:f>
        <x:v>-2.220446049250313e-16</x:v>
      </x:c>
    </x:row>
    <x:row r="409" ht="27" customHeight="1">
      <x:c r="A409" s="2"/>
      <x:c r="B409" s="2" t="str">
        <x:v>Fabric &amp; Home Care | organic_volume_growth | PCENDC96</x:v>
      </x:c>
      <x:c r="C409" s="2" t="str">
        <x:v>2026-03-31</x:v>
      </x:c>
      <x:c r="D409" s="2" t="str">
        <x:v>Pre-earnings</x:v>
      </x:c>
      <x:c r="E409" s="2" t="str">
        <x:v>2026-04-23</x:v>
      </x:c>
      <x:c r="F409" s="2" t="str">
        <x:v>Flat level</x:v>
      </x:c>
      <x:c r="G409" s="2" t="n">
        <x:v>8</x:v>
      </x:c>
      <x:c r="H409" s="7" t="n">
        <x:v>2.6384346754690453</x:v>
      </x:c>
      <x:c r="I409" s="7" t="n">
        <x:v>-0.7591310455544314</x:v>
      </x:c>
      <x:c r="J409" s="7" t="n">
        <x:v>1.0108248062904224</x:v>
      </x:c>
      <x:c r="K409" s="7" t="n">
        <x:f>H409+I409*J409</x:f>
        <x:v>1.8710861833974413</x:v>
      </x:c>
      <x:c r="L409" s="7" t="n">
        <x:v>2</x:v>
      </x:c>
      <x:c r="M409" s="7" t="n">
        <x:f>K409-L409</x:f>
        <x:v>-0.12891381660255874</x:v>
      </x:c>
      <x:c r="N409" s="7" t="n">
        <x:f>M409^2</x:f>
        <x:v>0.016618772111038148</x:v>
      </x:c>
      <x:c r="O409" s="7" t="n">
        <x:v>0</x:v>
      </x:c>
      <x:c r="P409" s="7" t="n">
        <x:v>-0.5</x:v>
      </x:c>
      <x:c r="Q409" s="7" t="n">
        <x:v>1.294581864388955</x:v>
      </x:c>
      <x:c r="R409" s="7" t="n">
        <x:f>H409+I409*Q409</x:f>
        <x:v>1.6556773911996525</x:v>
      </x:c>
      <x:c r="S409" s="7" t="n">
        <x:f>R409-L409</x:f>
        <x:v>-0.3443226088003475</x:v>
      </x:c>
      <x:c r="T409" s="7" t="n">
        <x:f>K409-R409</x:f>
        <x:v>0.21540879219778875</x:v>
      </x:c>
      <x:c r="U409" s="7" t="n">
        <x:f>M409-S409-T409</x:f>
        <x:v>0</x:v>
      </x:c>
    </x:row>
    <x:row r="410" ht="27" customHeight="1">
      <x:c r="A410" s="2"/>
      <x:c r="B410" s="2" t="str">
        <x:v>Baby, Feminine &amp; Family Care | organic_volume_growth | PCENDC96</x:v>
      </x:c>
      <x:c r="C410" s="2" t="str">
        <x:v>2026-03-31</x:v>
      </x:c>
      <x:c r="D410" s="2" t="str">
        <x:v>Pre-earnings</x:v>
      </x:c>
      <x:c r="E410" s="2" t="str">
        <x:v>2026-04-23</x:v>
      </x:c>
      <x:c r="F410" s="2" t="str">
        <x:v>Recent trend</x:v>
      </x:c>
      <x:c r="G410" s="2" t="n">
        <x:v>20</x:v>
      </x:c>
      <x:c r="H410" s="7" t="n">
        <x:v>-1.8106477340706817</x:v>
      </x:c>
      <x:c r="I410" s="7" t="n">
        <x:v>0.12161704139556496</x:v>
      </x:c>
      <x:c r="J410" s="7" t="n">
        <x:v>0.9167168257425917</x:v>
      </x:c>
      <x:c r="K410" s="7" t="n">
        <x:f>H410+I410*J410</x:f>
        <x:v>-1.699159345926334</x:v>
      </x:c>
      <x:c r="L410" s="7" t="n">
        <x:v>3</x:v>
      </x:c>
      <x:c r="M410" s="7" t="n">
        <x:f>K410-L410</x:f>
        <x:v>-4.6991593459263346</x:v>
      </x:c>
      <x:c r="N410" s="7" t="n">
        <x:f>M410^2</x:f>
        <x:v>22.082098558406816</x:v>
      </x:c>
      <x:c r="O410" s="7" t="n">
        <x:v>-5</x:v>
      </x:c>
      <x:c r="P410" s="7" t="n">
        <x:v>-1.75</x:v>
      </x:c>
      <x:c r="Q410" s="7" t="n">
        <x:v>1.294581864388955</x:v>
      </x:c>
      <x:c r="R410" s="7" t="n">
        <x:f>H410+I410*Q410</x:f>
        <x:v>-1.6532045178793424</x:v>
      </x:c>
      <x:c r="S410" s="7" t="n">
        <x:f>R410-L410</x:f>
        <x:v>-4.653204517879343</x:v>
      </x:c>
      <x:c r="T410" s="7" t="n">
        <x:f>K410-R410</x:f>
        <x:v>-0.04595482804699169</x:v>
      </x:c>
      <x:c r="U410" s="7" t="n">
        <x:f>M410-S410-T410</x:f>
        <x:v>-2.220446049250313e-16</x:v>
      </x:c>
    </x:row>
    <x:row r="411" ht="27" customHeight="1">
      <x:c r="A411" s="2"/>
      <x:c r="B411" s="2" t="str">
        <x:v>Beauty | organic_volume_growth | PCENDC96</x:v>
      </x:c>
      <x:c r="C411" s="2" t="str">
        <x:v>2026-03-31</x:v>
      </x:c>
      <x:c r="D411" s="2" t="str">
        <x:v>Pre-earnings</x:v>
      </x:c>
      <x:c r="E411" s="2" t="str">
        <x:v>2026-04-23</x:v>
      </x:c>
      <x:c r="F411" s="2" t="str">
        <x:v>Recent trend</x:v>
      </x:c>
      <x:c r="G411" s="2" t="n">
        <x:v>20</x:v>
      </x:c>
      <x:c r="H411" s="7" t="n">
        <x:v>-0.3620349191083958</x:v>
      </x:c>
      <x:c r="I411" s="7" t="n">
        <x:v>0.20638941842942254</x:v>
      </x:c>
      <x:c r="J411" s="7" t="n">
        <x:v>0.9167168257425917</x:v>
      </x:c>
      <x:c r="K411" s="7" t="n">
        <x:f>H411+I411*J411</x:f>
        <x:v>-0.172834266578916</x:v>
      </x:c>
      <x:c r="L411" s="7" t="n">
        <x:v>5</x:v>
      </x:c>
      <x:c r="M411" s="7" t="n">
        <x:f>K411-L411</x:f>
        <x:v>-5.172834266578916</x:v>
      </x:c>
      <x:c r="N411" s="7" t="n">
        <x:f>M411^2</x:f>
        <x:v>26.758214349493034</x:v>
      </x:c>
      <x:c r="O411" s="7" t="n">
        <x:v>3</x:v>
      </x:c>
      <x:c r="P411" s="7" t="n">
        <x:v>2.25</x:v>
      </x:c>
      <x:c r="Q411" s="7" t="n">
        <x:v>1.294581864388955</x:v>
      </x:c>
      <x:c r="R411" s="7" t="n">
        <x:f>H411+I411*Q411</x:f>
        <x:v>-0.09484692100788178</x:v>
      </x:c>
      <x:c r="S411" s="7" t="n">
        <x:f>R411-L411</x:f>
        <x:v>-5.094846921007882</x:v>
      </x:c>
      <x:c r="T411" s="7" t="n">
        <x:f>K411-R411</x:f>
        <x:v>-0.07798734557103423</x:v>
      </x:c>
      <x:c r="U411" s="7" t="n">
        <x:f>M411-S411-T411</x:f>
        <x:v>-2.7755575615628914e-17</x:v>
      </x:c>
    </x:row>
    <x:row r="412" ht="27" customHeight="1">
      <x:c r="A412" s="2"/>
      <x:c r="B412" s="2" t="str">
        <x:v>Fabric &amp; Home Care | organic_volume_growth | PCENDC96</x:v>
      </x:c>
      <x:c r="C412" s="2" t="str">
        <x:v>2026-03-31</x:v>
      </x:c>
      <x:c r="D412" s="2" t="str">
        <x:v>Pre-earnings</x:v>
      </x:c>
      <x:c r="E412" s="2" t="str">
        <x:v>2026-04-23</x:v>
      </x:c>
      <x:c r="F412" s="2" t="str">
        <x:v>Recent trend</x:v>
      </x:c>
      <x:c r="G412" s="2" t="n">
        <x:v>8</x:v>
      </x:c>
      <x:c r="H412" s="7" t="n">
        <x:v>2.6384346754690453</x:v>
      </x:c>
      <x:c r="I412" s="7" t="n">
        <x:v>-0.7591310455544314</x:v>
      </x:c>
      <x:c r="J412" s="7" t="n">
        <x:v>0.9167168257425917</x:v>
      </x:c>
      <x:c r="K412" s="7" t="n">
        <x:f>H412+I412*J412</x:f>
        <x:v>1.9425264730657321</x:v>
      </x:c>
      <x:c r="L412" s="7" t="n">
        <x:v>2</x:v>
      </x:c>
      <x:c r="M412" s="7" t="n">
        <x:f>K412-L412</x:f>
        <x:v>-0.05747352693426788</x:v>
      </x:c>
      <x:c r="N412" s="7" t="n">
        <x:f>M412^2</x:f>
        <x:v>0.003303206298264016</x:v>
      </x:c>
      <x:c r="O412" s="7" t="n">
        <x:v>0</x:v>
      </x:c>
      <x:c r="P412" s="7" t="n">
        <x:v>-0.5</x:v>
      </x:c>
      <x:c r="Q412" s="7" t="n">
        <x:v>1.294581864388955</x:v>
      </x:c>
      <x:c r="R412" s="7" t="n">
        <x:f>H412+I412*Q412</x:f>
        <x:v>1.6556773911996525</x:v>
      </x:c>
      <x:c r="S412" s="7" t="n">
        <x:f>R412-L412</x:f>
        <x:v>-0.3443226088003475</x:v>
      </x:c>
      <x:c r="T412" s="7" t="n">
        <x:f>K412-R412</x:f>
        <x:v>0.2868490818660796</x:v>
      </x:c>
      <x:c r="U412" s="7" t="n">
        <x:f>M412-S412-T412</x:f>
        <x:v>0</x:v>
      </x:c>
    </x:row>
    <x:row r="413" ht="27" customHeight="1">
      <x:c r="A413" s="2"/>
      <x:c r="B413" s="2" t="str">
        <x:v>Beauty | organic_sales_growth | RSHPCS</x:v>
      </x:c>
      <x:c r="C413" s="2" t="str">
        <x:v>2024-09-30</x:v>
      </x:c>
      <x:c r="D413" s="2" t="str">
        <x:v>Origin</x:v>
      </x:c>
      <x:c r="E413" s="2" t="str">
        <x:v>2024-07-01</x:v>
      </x:c>
      <x:c r="F413" s="2" t="str">
        <x:v>YoY carry</x:v>
      </x:c>
      <x:c r="G413" s="2" t="n">
        <x:v>13</x:v>
      </x:c>
      <x:c r="H413" s="7" t="n">
        <x:v>3.0928816148137774</x:v>
      </x:c>
      <x:c r="I413" s="7" t="n">
        <x:v>0.15246246550170753</x:v>
      </x:c>
      <x:c r="J413" s="7" t="n">
        <x:v>0.2843167026613802</x:v>
      </x:c>
      <x:c r="K413" s="7" t="n">
        <x:f>H413+I413*J413</x:f>
        <x:v>3.1362292402848473</x:v>
      </x:c>
      <x:c r="L413" s="7" t="n">
        <x:v>-2</x:v>
      </x:c>
      <x:c r="M413" s="7" t="n">
        <x:f>K413-L413</x:f>
        <x:v>5.136229240284847</x:v>
      </x:c>
      <x:c r="N413" s="7" t="n">
        <x:f>M413^2</x:f>
        <x:v>26.38085080875706</x:v>
      </x:c>
      <x:c r="O413" s="7" t="n">
        <x:v>3</x:v>
      </x:c>
      <x:c r="P413" s="7" t="n">
        <x:v>5</x:v>
      </x:c>
      <x:c r="Q413" s="7" t="n">
        <x:v>3.412725976566078</x:v>
      </x:c>
      <x:c r="R413" s="7" t="n">
        <x:f>H413+I413*Q413</x:f>
        <x:v>3.613194231282764</x:v>
      </x:c>
      <x:c r="S413" s="7" t="n">
        <x:f>R413-L413</x:f>
        <x:v>5.613194231282764</x:v>
      </x:c>
      <x:c r="T413" s="7" t="n">
        <x:f>K413-R413</x:f>
        <x:v>-0.4769649909979168</x:v>
      </x:c>
      <x:c r="U413" s="7" t="n">
        <x:f>M413-S413-T413</x:f>
        <x:v>4.440892098500626e-16</x:v>
      </x:c>
    </x:row>
    <x:row r="414" ht="27" customHeight="1">
      <x:c r="A414" s="2"/>
      <x:c r="B414" s="2" t="str">
        <x:v>Beauty | organic_sales_growth | RSHPCS</x:v>
      </x:c>
      <x:c r="C414" s="2" t="str">
        <x:v>2024-09-30</x:v>
      </x:c>
      <x:c r="D414" s="2" t="str">
        <x:v>Origin</x:v>
      </x:c>
      <x:c r="E414" s="2" t="str">
        <x:v>2024-07-01</x:v>
      </x:c>
      <x:c r="F414" s="2" t="str">
        <x:v>Flat level</x:v>
      </x:c>
      <x:c r="G414" s="2" t="n">
        <x:v>13</x:v>
      </x:c>
      <x:c r="H414" s="7" t="n">
        <x:v>3.0928816148137774</x:v>
      </x:c>
      <x:c r="I414" s="7" t="n">
        <x:v>0.15246246550170753</x:v>
      </x:c>
      <x:c r="J414" s="7" t="n">
        <x:v>-0.9057341839252775</x:v>
      </x:c>
      <x:c r="K414" s="7" t="n">
        <x:f>H414+I414*J414</x:f>
        <x:v>2.9547911480433524</x:v>
      </x:c>
      <x:c r="L414" s="7" t="n">
        <x:v>-2</x:v>
      </x:c>
      <x:c r="M414" s="7" t="n">
        <x:f>K414-L414</x:f>
        <x:v>4.954791148043352</x:v>
      </x:c>
      <x:c r="N414" s="7" t="n">
        <x:f>M414^2</x:f>
        <x:v>24.549955320728756</x:v>
      </x:c>
      <x:c r="O414" s="7" t="n">
        <x:v>3</x:v>
      </x:c>
      <x:c r="P414" s="7" t="n">
        <x:v>5</x:v>
      </x:c>
      <x:c r="Q414" s="7" t="n">
        <x:v>3.412725976566078</x:v>
      </x:c>
      <x:c r="R414" s="7" t="n">
        <x:f>H414+I414*Q414</x:f>
        <x:v>3.613194231282764</x:v>
      </x:c>
      <x:c r="S414" s="7" t="n">
        <x:f>R414-L414</x:f>
        <x:v>5.613194231282764</x:v>
      </x:c>
      <x:c r="T414" s="7" t="n">
        <x:f>K414-R414</x:f>
        <x:v>-0.6584030832394117</x:v>
      </x:c>
      <x:c r="U414" s="7" t="n">
        <x:f>M414-S414-T414</x:f>
        <x:v>0</x:v>
      </x:c>
    </x:row>
    <x:row r="415" ht="27" customHeight="1">
      <x:c r="A415" s="2"/>
      <x:c r="B415" s="2" t="str">
        <x:v>Beauty | organic_sales_growth | RSHPCS</x:v>
      </x:c>
      <x:c r="C415" s="2" t="str">
        <x:v>2024-09-30</x:v>
      </x:c>
      <x:c r="D415" s="2" t="str">
        <x:v>Origin</x:v>
      </x:c>
      <x:c r="E415" s="2" t="str">
        <x:v>2024-07-01</x:v>
      </x:c>
      <x:c r="F415" s="2" t="str">
        <x:v>Recent trend</x:v>
      </x:c>
      <x:c r="G415" s="2" t="n">
        <x:v>13</x:v>
      </x:c>
      <x:c r="H415" s="7" t="n">
        <x:v>3.0928816148137774</x:v>
      </x:c>
      <x:c r="I415" s="7" t="n">
        <x:v>0.15246246550170753</x:v>
      </x:c>
      <x:c r="J415" s="7" t="n">
        <x:v>-1.1566161551538223</x:v>
      </x:c>
      <x:c r="K415" s="7" t="n">
        <x:f>H415+I415*J415</x:f>
        <x:v>2.91654106415992</x:v>
      </x:c>
      <x:c r="L415" s="7" t="n">
        <x:v>-2</x:v>
      </x:c>
      <x:c r="M415" s="7" t="n">
        <x:f>K415-L415</x:f>
        <x:v>4.9165410641599205</x:v>
      </x:c>
      <x:c r="N415" s="7" t="n">
        <x:f>M415^2</x:f>
        <x:v>24.172376035570764</x:v>
      </x:c>
      <x:c r="O415" s="7" t="n">
        <x:v>3</x:v>
      </x:c>
      <x:c r="P415" s="7" t="n">
        <x:v>5</x:v>
      </x:c>
      <x:c r="Q415" s="7" t="n">
        <x:v>3.412725976566078</x:v>
      </x:c>
      <x:c r="R415" s="7" t="n">
        <x:f>H415+I415*Q415</x:f>
        <x:v>3.613194231282764</x:v>
      </x:c>
      <x:c r="S415" s="7" t="n">
        <x:f>R415-L415</x:f>
        <x:v>5.613194231282764</x:v>
      </x:c>
      <x:c r="T415" s="7" t="n">
        <x:f>K415-R415</x:f>
        <x:v>-0.696653167122844</x:v>
      </x:c>
      <x:c r="U415" s="7" t="n">
        <x:f>M415-S415-T415</x:f>
        <x:v>8.881784197001252e-16</x:v>
      </x:c>
    </x:row>
    <x:row r="416" ht="27" customHeight="1">
      <x:c r="A416" s="2"/>
      <x:c r="B416" s="2" t="str">
        <x:v>Beauty | organic_sales_growth | RSHPCS</x:v>
      </x:c>
      <x:c r="C416" s="2" t="str">
        <x:v>2024-09-30</x:v>
      </x:c>
      <x:c r="D416" s="2" t="str">
        <x:v>One month</x:v>
      </x:c>
      <x:c r="E416" s="2" t="str">
        <x:v>2024-08-15</x:v>
      </x:c>
      <x:c r="F416" s="2" t="str">
        <x:v>YoY carry</x:v>
      </x:c>
      <x:c r="G416" s="2" t="n">
        <x:v>10</x:v>
      </x:c>
      <x:c r="H416" s="7" t="n">
        <x:v>1.7043114305123566</x:v>
      </x:c>
      <x:c r="I416" s="7" t="n">
        <x:v>0.4312640425658003</x:v>
      </x:c>
      <x:c r="J416" s="7" t="n">
        <x:v>2.3472851910034898</x:v>
      </x:c>
      <x:c r="K416" s="7" t="n">
        <x:f>H416+I416*J416</x:f>
        <x:v>2.7166111310393584</x:v>
      </x:c>
      <x:c r="L416" s="7" t="n">
        <x:v>-2</x:v>
      </x:c>
      <x:c r="M416" s="7" t="n">
        <x:f>K416-L416</x:f>
        <x:v>4.716611131039358</x:v>
      </x:c>
      <x:c r="N416" s="7" t="n">
        <x:f>M416^2</x:f>
        <x:v>22.246420561444374</x:v>
      </x:c>
      <x:c r="O416" s="7" t="n">
        <x:v>3</x:v>
      </x:c>
      <x:c r="P416" s="7" t="n">
        <x:v>3</x:v>
      </x:c>
      <x:c r="Q416" s="7" t="n">
        <x:v>3.5186913322720503</x:v>
      </x:c>
      <x:c r="R416" s="7" t="n">
        <x:f>H416+I416*Q416</x:f>
        <x:v>3.2217964790092424</x:v>
      </x:c>
      <x:c r="S416" s="7" t="n">
        <x:f>R416-L416</x:f>
        <x:v>5.221796479009242</x:v>
      </x:c>
      <x:c r="T416" s="7" t="n">
        <x:f>K416-R416</x:f>
        <x:v>-0.505185347969884</x:v>
      </x:c>
      <x:c r="U416" s="7" t="n">
        <x:f>M416-S416-T416</x:f>
        <x:v>0</x:v>
      </x:c>
    </x:row>
    <x:row r="417" ht="27" customHeight="1">
      <x:c r="A417" s="2"/>
      <x:c r="B417" s="2" t="str">
        <x:v>Beauty | organic_sales_growth | RSHPCS</x:v>
      </x:c>
      <x:c r="C417" s="2" t="str">
        <x:v>2024-09-30</x:v>
      </x:c>
      <x:c r="D417" s="2" t="str">
        <x:v>One month</x:v>
      </x:c>
      <x:c r="E417" s="2" t="str">
        <x:v>2024-08-15</x:v>
      </x:c>
      <x:c r="F417" s="2" t="str">
        <x:v>Flat level</x:v>
      </x:c>
      <x:c r="G417" s="2" t="n">
        <x:v>10</x:v>
      </x:c>
      <x:c r="H417" s="7" t="n">
        <x:v>1.7043114305123566</x:v>
      </x:c>
      <x:c r="I417" s="7" t="n">
        <x:v>0.4312640425658003</x:v>
      </x:c>
      <x:c r="J417" s="7" t="n">
        <x:v>1.863643849151897</x:v>
      </x:c>
      <x:c r="K417" s="7" t="n">
        <x:f>H417+I417*J417</x:f>
        <x:v>2.5080340108004924</x:v>
      </x:c>
      <x:c r="L417" s="7" t="n">
        <x:v>-2</x:v>
      </x:c>
      <x:c r="M417" s="7" t="n">
        <x:f>K417-L417</x:f>
        <x:v>4.508034010800492</x:v>
      </x:c>
      <x:c r="N417" s="7" t="n">
        <x:f>M417^2</x:f>
        <x:v>20.322370642533972</x:v>
      </x:c>
      <x:c r="O417" s="7" t="n">
        <x:v>3</x:v>
      </x:c>
      <x:c r="P417" s="7" t="n">
        <x:v>3</x:v>
      </x:c>
      <x:c r="Q417" s="7" t="n">
        <x:v>3.5186913322720503</x:v>
      </x:c>
      <x:c r="R417" s="7" t="n">
        <x:f>H417+I417*Q417</x:f>
        <x:v>3.2217964790092424</x:v>
      </x:c>
      <x:c r="S417" s="7" t="n">
        <x:f>R417-L417</x:f>
        <x:v>5.221796479009242</x:v>
      </x:c>
      <x:c r="T417" s="7" t="n">
        <x:f>K417-R417</x:f>
        <x:v>-0.71376246820875</x:v>
      </x:c>
      <x:c r="U417" s="7" t="n">
        <x:f>M417-S417-T417</x:f>
        <x:v>0</x:v>
      </x:c>
    </x:row>
    <x:row r="418" ht="27" customHeight="1">
      <x:c r="A418" s="2"/>
      <x:c r="B418" s="2" t="str">
        <x:v>Beauty | organic_sales_growth | RSHPCS</x:v>
      </x:c>
      <x:c r="C418" s="2" t="str">
        <x:v>2024-09-30</x:v>
      </x:c>
      <x:c r="D418" s="2" t="str">
        <x:v>One month</x:v>
      </x:c>
      <x:c r="E418" s="2" t="str">
        <x:v>2024-08-15</x:v>
      </x:c>
      <x:c r="F418" s="2" t="str">
        <x:v>Recent trend</x:v>
      </x:c>
      <x:c r="G418" s="2" t="n">
        <x:v>10</x:v>
      </x:c>
      <x:c r="H418" s="7" t="n">
        <x:v>1.7043114305123566</x:v>
      </x:c>
      <x:c r="I418" s="7" t="n">
        <x:v>0.4312640425658003</x:v>
      </x:c>
      <x:c r="J418" s="7" t="n">
        <x:v>2.4729648130866755</x:v>
      </x:c>
      <x:c r="K418" s="7" t="n">
        <x:f>H418+I418*J418</x:f>
        <x:v>2.7708122329270948</x:v>
      </x:c>
      <x:c r="L418" s="7" t="n">
        <x:v>-2</x:v>
      </x:c>
      <x:c r="M418" s="7" t="n">
        <x:f>K418-L418</x:f>
        <x:v>4.770812232927095</x:v>
      </x:c>
      <x:c r="N418" s="7" t="n">
        <x:f>M418^2</x:f>
        <x:v>22.760649361846813</x:v>
      </x:c>
      <x:c r="O418" s="7" t="n">
        <x:v>3</x:v>
      </x:c>
      <x:c r="P418" s="7" t="n">
        <x:v>3</x:v>
      </x:c>
      <x:c r="Q418" s="7" t="n">
        <x:v>3.5186913322720503</x:v>
      </x:c>
      <x:c r="R418" s="7" t="n">
        <x:f>H418+I418*Q418</x:f>
        <x:v>3.2217964790092424</x:v>
      </x:c>
      <x:c r="S418" s="7" t="n">
        <x:f>R418-L418</x:f>
        <x:v>5.221796479009242</x:v>
      </x:c>
      <x:c r="T418" s="7" t="n">
        <x:f>K418-R418</x:f>
        <x:v>-0.4509842460821476</x:v>
      </x:c>
      <x:c r="U418" s="7" t="n">
        <x:f>M418-S418-T418</x:f>
        <x:v>0</x:v>
      </x:c>
    </x:row>
    <x:row r="419" ht="27" customHeight="1">
      <x:c r="A419" s="2"/>
      <x:c r="B419" s="2" t="str">
        <x:v>Beauty | organic_sales_growth | RSHPCS</x:v>
      </x:c>
      <x:c r="C419" s="2" t="str">
        <x:v>2024-09-30</x:v>
      </x:c>
      <x:c r="D419" s="2" t="str">
        <x:v>Two months</x:v>
      </x:c>
      <x:c r="E419" s="2" t="str">
        <x:v>2024-09-17</x:v>
      </x:c>
      <x:c r="F419" s="2" t="str">
        <x:v>YoY carry</x:v>
      </x:c>
      <x:c r="G419" s="2" t="n">
        <x:v>10</x:v>
      </x:c>
      <x:c r="H419" s="7" t="n">
        <x:v>1.684901369103843</x:v>
      </x:c>
      <x:c r="I419" s="7" t="n">
        <x:v>0.4356634222131164</x:v>
      </x:c>
      <x:c r="J419" s="7" t="n">
        <x:v>3.827561416717651</x:v>
      </x:c>
      <x:c r="K419" s="7" t="n">
        <x:f>H419+I419*J419</x:f>
        <x:v>3.3524298746419388</x:v>
      </x:c>
      <x:c r="L419" s="7" t="n">
        <x:v>-2</x:v>
      </x:c>
      <x:c r="M419" s="7" t="n">
        <x:f>K419-L419</x:f>
        <x:v>5.352429874641938</x:v>
      </x:c>
      <x:c r="N419" s="7" t="n">
        <x:f>M419^2</x:f>
        <x:v>28.648505562959514</x:v>
      </x:c>
      <x:c r="O419" s="7" t="n">
        <x:v>3</x:v>
      </x:c>
      <x:c r="P419" s="7" t="n">
        <x:v>3</x:v>
      </x:c>
      <x:c r="Q419" s="7" t="n">
        <x:v>4.085410557184743</x:v>
      </x:c>
      <x:c r="R419" s="7" t="n">
        <x:f>H419+I419*Q419</x:f>
        <x:v>3.464765313592543</x:v>
      </x:c>
      <x:c r="S419" s="7" t="n">
        <x:f>R419-L419</x:f>
        <x:v>5.464765313592543</x:v>
      </x:c>
      <x:c r="T419" s="7" t="n">
        <x:f>K419-R419</x:f>
        <x:v>-0.11233543895060416</x:v>
      </x:c>
      <x:c r="U419" s="7" t="n">
        <x:f>M419-S419-T419</x:f>
        <x:v>-4.440892098500626e-16</x:v>
      </x:c>
    </x:row>
    <x:row r="420" ht="27" customHeight="1">
      <x:c r="A420" s="2"/>
      <x:c r="B420" s="2" t="str">
        <x:v>Beauty | organic_sales_growth | RSHPCS</x:v>
      </x:c>
      <x:c r="C420" s="2" t="str">
        <x:v>2024-09-30</x:v>
      </x:c>
      <x:c r="D420" s="2" t="str">
        <x:v>Two months</x:v>
      </x:c>
      <x:c r="E420" s="2" t="str">
        <x:v>2024-09-17</x:v>
      </x:c>
      <x:c r="F420" s="2" t="str">
        <x:v>Flat level</x:v>
      </x:c>
      <x:c r="G420" s="2" t="n">
        <x:v>10</x:v>
      </x:c>
      <x:c r="H420" s="7" t="n">
        <x:v>1.684901369103843</x:v>
      </x:c>
      <x:c r="I420" s="7" t="n">
        <x:v>0.4356634222131164</x:v>
      </x:c>
      <x:c r="J420" s="7" t="n">
        <x:v>3.6812683284457526</x:v>
      </x:c>
      <x:c r="K420" s="7" t="n">
        <x:f>H420+I420*J420</x:f>
        <x:v>3.288695327159278</x:v>
      </x:c>
      <x:c r="L420" s="7" t="n">
        <x:v>-2</x:v>
      </x:c>
      <x:c r="M420" s="7" t="n">
        <x:f>K420-L420</x:f>
        <x:v>5.288695327159278</x:v>
      </x:c>
      <x:c r="N420" s="7" t="n">
        <x:f>M420^2</x:f>
        <x:v>27.970298263516383</x:v>
      </x:c>
      <x:c r="O420" s="7" t="n">
        <x:v>3</x:v>
      </x:c>
      <x:c r="P420" s="7" t="n">
        <x:v>3</x:v>
      </x:c>
      <x:c r="Q420" s="7" t="n">
        <x:v>4.085410557184743</x:v>
      </x:c>
      <x:c r="R420" s="7" t="n">
        <x:f>H420+I420*Q420</x:f>
        <x:v>3.464765313592543</x:v>
      </x:c>
      <x:c r="S420" s="7" t="n">
        <x:f>R420-L420</x:f>
        <x:v>5.464765313592543</x:v>
      </x:c>
      <x:c r="T420" s="7" t="n">
        <x:f>K420-R420</x:f>
        <x:v>-0.17606998643326488</x:v>
      </x:c>
      <x:c r="U420" s="7" t="n">
        <x:f>M420-S420-T420</x:f>
        <x:v>0</x:v>
      </x:c>
    </x:row>
    <x:row r="421" ht="27" customHeight="1">
      <x:c r="A421" s="2"/>
      <x:c r="B421" s="2" t="str">
        <x:v>Beauty | organic_sales_growth | RSHPCS</x:v>
      </x:c>
      <x:c r="C421" s="2" t="str">
        <x:v>2024-09-30</x:v>
      </x:c>
      <x:c r="D421" s="2" t="str">
        <x:v>Two months</x:v>
      </x:c>
      <x:c r="E421" s="2" t="str">
        <x:v>2024-09-17</x:v>
      </x:c>
      <x:c r="F421" s="2" t="str">
        <x:v>Recent trend</x:v>
      </x:c>
      <x:c r="G421" s="2" t="n">
        <x:v>10</x:v>
      </x:c>
      <x:c r="H421" s="7" t="n">
        <x:v>1.684901369103843</x:v>
      </x:c>
      <x:c r="I421" s="7" t="n">
        <x:v>0.4356634222131164</x:v>
      </x:c>
      <x:c r="J421" s="7" t="n">
        <x:v>4.087243401759522</x:v>
      </x:c>
      <x:c r="K421" s="7" t="n">
        <x:f>H421+I421*J421</x:f>
        <x:v>3.4655638169323755</x:v>
      </x:c>
      <x:c r="L421" s="7" t="n">
        <x:v>-2</x:v>
      </x:c>
      <x:c r="M421" s="7" t="n">
        <x:f>K421-L421</x:f>
        <x:v>5.4655638169323755</x:v>
      </x:c>
      <x:c r="N421" s="7" t="n">
        <x:f>M421^2</x:f>
        <x:v>29.872387836960396</x:v>
      </x:c>
      <x:c r="O421" s="7" t="n">
        <x:v>3</x:v>
      </x:c>
      <x:c r="P421" s="7" t="n">
        <x:v>3</x:v>
      </x:c>
      <x:c r="Q421" s="7" t="n">
        <x:v>4.085410557184743</x:v>
      </x:c>
      <x:c r="R421" s="7" t="n">
        <x:f>H421+I421*Q421</x:f>
        <x:v>3.464765313592543</x:v>
      </x:c>
      <x:c r="S421" s="7" t="n">
        <x:f>R421-L421</x:f>
        <x:v>5.464765313592543</x:v>
      </x:c>
      <x:c r="T421" s="7" t="n">
        <x:f>K421-R421</x:f>
        <x:v>0.000798503339832557</x:v>
      </x:c>
      <x:c r="U421" s="7" t="n">
        <x:f>M421-S421-T421</x:f>
        <x:v>0</x:v>
      </x:c>
    </x:row>
    <x:row r="422" ht="27" customHeight="1">
      <x:c r="A422" s="2"/>
      <x:c r="B422" s="2" t="str">
        <x:v>Beauty | organic_sales_growth | RSHPCS</x:v>
      </x:c>
      <x:c r="C422" s="2" t="str">
        <x:v>2024-09-30</x:v>
      </x:c>
      <x:c r="D422" s="2" t="str">
        <x:v>Pre-earnings</x:v>
      </x:c>
      <x:c r="E422" s="2" t="str">
        <x:v>2024-10-17</x:v>
      </x:c>
      <x:c r="F422" s="2" t="str">
        <x:v>YoY carry</x:v>
      </x:c>
      <x:c r="G422" s="2" t="n">
        <x:v>14</x:v>
      </x:c>
      <x:c r="H422" s="7" t="n">
        <x:v>3.044840497374328</x:v>
      </x:c>
      <x:c r="I422" s="7" t="n">
        <x:v>0.1580468385365643</x:v>
      </x:c>
      <x:c r="J422" s="7" t="n">
        <x:v>4.273198477134077</x:v>
      </x:c>
      <x:c r="K422" s="7" t="n">
        <x:f>H422+I422*J422</x:f>
        <x:v>3.72020600712463</x:v>
      </x:c>
      <x:c r="L422" s="7" t="n">
        <x:v>-2</x:v>
      </x:c>
      <x:c r="M422" s="7" t="n">
        <x:f>K422-L422</x:f>
        <x:v>5.72020600712463</x:v>
      </x:c>
      <x:c r="N422" s="7" t="n">
        <x:f>M422^2</x:f>
        <x:v>32.7207567639447</x:v>
      </x:c>
      <x:c r="O422" s="7" t="n">
        <x:v>3</x:v>
      </x:c>
      <x:c r="P422" s="7" t="n">
        <x:v>3</x:v>
      </x:c>
      <x:c r="Q422" s="7" t="n">
        <x:v>4.273198477134077</x:v>
      </x:c>
      <x:c r="R422" s="7" t="n">
        <x:f>H422+I422*Q422</x:f>
        <x:v>3.72020600712463</x:v>
      </x:c>
      <x:c r="S422" s="7" t="n">
        <x:f>R422-L422</x:f>
        <x:v>5.72020600712463</x:v>
      </x:c>
      <x:c r="T422" s="7" t="n">
        <x:f>K422-R422</x:f>
        <x:v>0</x:v>
      </x:c>
      <x:c r="U422" s="7" t="n">
        <x:f>M422-S422-T422</x:f>
        <x:v>0</x:v>
      </x:c>
    </x:row>
    <x:row r="423" ht="27" customHeight="1">
      <x:c r="A423" s="2"/>
      <x:c r="B423" s="2" t="str">
        <x:v>Beauty | organic_sales_growth | RSHPCS</x:v>
      </x:c>
      <x:c r="C423" s="2" t="str">
        <x:v>2024-09-30</x:v>
      </x:c>
      <x:c r="D423" s="2" t="str">
        <x:v>Pre-earnings</x:v>
      </x:c>
      <x:c r="E423" s="2" t="str">
        <x:v>2024-10-17</x:v>
      </x:c>
      <x:c r="F423" s="2" t="str">
        <x:v>Flat level</x:v>
      </x:c>
      <x:c r="G423" s="2" t="n">
        <x:v>14</x:v>
      </x:c>
      <x:c r="H423" s="7" t="n">
        <x:v>3.044840497374328</x:v>
      </x:c>
      <x:c r="I423" s="7" t="n">
        <x:v>0.1580468385365643</x:v>
      </x:c>
      <x:c r="J423" s="7" t="n">
        <x:v>4.273198477134077</x:v>
      </x:c>
      <x:c r="K423" s="7" t="n">
        <x:f>H423+I423*J423</x:f>
        <x:v>3.72020600712463</x:v>
      </x:c>
      <x:c r="L423" s="7" t="n">
        <x:v>-2</x:v>
      </x:c>
      <x:c r="M423" s="7" t="n">
        <x:f>K423-L423</x:f>
        <x:v>5.72020600712463</x:v>
      </x:c>
      <x:c r="N423" s="7" t="n">
        <x:f>M423^2</x:f>
        <x:v>32.7207567639447</x:v>
      </x:c>
      <x:c r="O423" s="7" t="n">
        <x:v>3</x:v>
      </x:c>
      <x:c r="P423" s="7" t="n">
        <x:v>3</x:v>
      </x:c>
      <x:c r="Q423" s="7" t="n">
        <x:v>4.273198477134077</x:v>
      </x:c>
      <x:c r="R423" s="7" t="n">
        <x:f>H423+I423*Q423</x:f>
        <x:v>3.72020600712463</x:v>
      </x:c>
      <x:c r="S423" s="7" t="n">
        <x:f>R423-L423</x:f>
        <x:v>5.72020600712463</x:v>
      </x:c>
      <x:c r="T423" s="7" t="n">
        <x:f>K423-R423</x:f>
        <x:v>0</x:v>
      </x:c>
      <x:c r="U423" s="7" t="n">
        <x:f>M423-S423-T423</x:f>
        <x:v>0</x:v>
      </x:c>
    </x:row>
    <x:row r="424" ht="27" customHeight="1">
      <x:c r="A424" s="2"/>
      <x:c r="B424" s="2" t="str">
        <x:v>Beauty | organic_sales_growth | RSHPCS</x:v>
      </x:c>
      <x:c r="C424" s="2" t="str">
        <x:v>2024-09-30</x:v>
      </x:c>
      <x:c r="D424" s="2" t="str">
        <x:v>Pre-earnings</x:v>
      </x:c>
      <x:c r="E424" s="2" t="str">
        <x:v>2024-10-17</x:v>
      </x:c>
      <x:c r="F424" s="2" t="str">
        <x:v>Recent trend</x:v>
      </x:c>
      <x:c r="G424" s="2" t="n">
        <x:v>14</x:v>
      </x:c>
      <x:c r="H424" s="7" t="n">
        <x:v>3.044840497374328</x:v>
      </x:c>
      <x:c r="I424" s="7" t="n">
        <x:v>0.1580468385365643</x:v>
      </x:c>
      <x:c r="J424" s="7" t="n">
        <x:v>4.273198477134077</x:v>
      </x:c>
      <x:c r="K424" s="7" t="n">
        <x:f>H424+I424*J424</x:f>
        <x:v>3.72020600712463</x:v>
      </x:c>
      <x:c r="L424" s="7" t="n">
        <x:v>-2</x:v>
      </x:c>
      <x:c r="M424" s="7" t="n">
        <x:f>K424-L424</x:f>
        <x:v>5.72020600712463</x:v>
      </x:c>
      <x:c r="N424" s="7" t="n">
        <x:f>M424^2</x:f>
        <x:v>32.7207567639447</x:v>
      </x:c>
      <x:c r="O424" s="7" t="n">
        <x:v>3</x:v>
      </x:c>
      <x:c r="P424" s="7" t="n">
        <x:v>3</x:v>
      </x:c>
      <x:c r="Q424" s="7" t="n">
        <x:v>4.273198477134077</x:v>
      </x:c>
      <x:c r="R424" s="7" t="n">
        <x:f>H424+I424*Q424</x:f>
        <x:v>3.72020600712463</x:v>
      </x:c>
      <x:c r="S424" s="7" t="n">
        <x:f>R424-L424</x:f>
        <x:v>5.72020600712463</x:v>
      </x:c>
      <x:c r="T424" s="7" t="n">
        <x:f>K424-R424</x:f>
        <x:v>0</x:v>
      </x:c>
      <x:c r="U424" s="7" t="n">
        <x:f>M424-S424-T424</x:f>
        <x:v>0</x:v>
      </x:c>
    </x:row>
    <x:row r="425" ht="27" customHeight="1">
      <x:c r="A425" s="2"/>
      <x:c r="B425" s="2" t="str">
        <x:v>Beauty | organic_sales_growth | RSHPCS</x:v>
      </x:c>
      <x:c r="C425" s="2" t="str">
        <x:v>2024-12-31</x:v>
      </x:c>
      <x:c r="D425" s="2" t="str">
        <x:v>Origin</x:v>
      </x:c>
      <x:c r="E425" s="2" t="str">
        <x:v>2024-10-01</x:v>
      </x:c>
      <x:c r="F425" s="2" t="str">
        <x:v>YoY carry</x:v>
      </x:c>
      <x:c r="G425" s="2" t="n">
        <x:v>14</x:v>
      </x:c>
      <x:c r="H425" s="7" t="n">
        <x:v>3.0411878225134874</x:v>
      </x:c>
      <x:c r="I425" s="7" t="n">
        <x:v>0.15841282704797968</x:v>
      </x:c>
      <x:c r="J425" s="7" t="n">
        <x:v>3.269310346680143</x:v>
      </x:c>
      <x:c r="K425" s="7" t="n">
        <x:f>H425+I425*J425</x:f>
        <x:v>3.5590885170282993</x:v>
      </x:c>
      <x:c r="L425" s="7" t="n">
        <x:v>2</x:v>
      </x:c>
      <x:c r="M425" s="7" t="n">
        <x:f>K425-L425</x:f>
        <x:v>1.5590885170282993</x:v>
      </x:c>
      <x:c r="N425" s="7" t="n">
        <x:f>M425^2</x:f>
        <x:v>2.4307570039295014</x:v>
      </x:c>
      <x:c r="O425" s="7" t="n">
        <x:v>3</x:v>
      </x:c>
      <x:c r="P425" s="7" t="n">
        <x:v>3</x:v>
      </x:c>
      <x:c r="Q425" s="7" t="n">
        <x:v>2.201839783302484</x:v>
      </x:c>
      <x:c r="R425" s="7" t="n">
        <x:f>H425+I425*Q425</x:f>
        <x:v>3.389987487293145</x:v>
      </x:c>
      <x:c r="S425" s="7" t="n">
        <x:f>R425-L425</x:f>
        <x:v>1.389987487293145</x:v>
      </x:c>
      <x:c r="T425" s="7" t="n">
        <x:f>K425-R425</x:f>
        <x:v>0.16910102973515428</x:v>
      </x:c>
      <x:c r="U425" s="7" t="n">
        <x:f>M425-S425-T425</x:f>
        <x:v>0</x:v>
      </x:c>
    </x:row>
    <x:row r="426" ht="27" customHeight="1">
      <x:c r="A426" s="2"/>
      <x:c r="B426" s="2" t="str">
        <x:v>Beauty | organic_sales_growth | RSHPCS</x:v>
      </x:c>
      <x:c r="C426" s="2" t="str">
        <x:v>2024-12-31</x:v>
      </x:c>
      <x:c r="D426" s="2" t="str">
        <x:v>Origin</x:v>
      </x:c>
      <x:c r="E426" s="2" t="str">
        <x:v>2024-10-01</x:v>
      </x:c>
      <x:c r="F426" s="2" t="str">
        <x:v>Flat level</x:v>
      </x:c>
      <x:c r="G426" s="2" t="n">
        <x:v>14</x:v>
      </x:c>
      <x:c r="H426" s="7" t="n">
        <x:v>3.0411878225134874</x:v>
      </x:c>
      <x:c r="I426" s="7" t="n">
        <x:v>0.15841282704797968</x:v>
      </x:c>
      <x:c r="J426" s="7" t="n">
        <x:v>1.3677689275082505</x:v>
      </x:c>
      <x:c r="K426" s="7" t="n">
        <x:f>H426+I426*J426</x:f>
        <x:v>3.2578599650684525</x:v>
      </x:c>
      <x:c r="L426" s="7" t="n">
        <x:v>2</x:v>
      </x:c>
      <x:c r="M426" s="7" t="n">
        <x:f>K426-L426</x:f>
        <x:v>1.2578599650684525</x:v>
      </x:c>
      <x:c r="N426" s="7" t="n">
        <x:f>M426^2</x:f>
        <x:v>1.5822116917220086</x:v>
      </x:c>
      <x:c r="O426" s="7" t="n">
        <x:v>3</x:v>
      </x:c>
      <x:c r="P426" s="7" t="n">
        <x:v>3</x:v>
      </x:c>
      <x:c r="Q426" s="7" t="n">
        <x:v>2.201839783302484</x:v>
      </x:c>
      <x:c r="R426" s="7" t="n">
        <x:f>H426+I426*Q426</x:f>
        <x:v>3.389987487293145</x:v>
      </x:c>
      <x:c r="S426" s="7" t="n">
        <x:f>R426-L426</x:f>
        <x:v>1.389987487293145</x:v>
      </x:c>
      <x:c r="T426" s="7" t="n">
        <x:f>K426-R426</x:f>
        <x:v>-0.13212752222469248</x:v>
      </x:c>
      <x:c r="U426" s="7" t="n">
        <x:f>M426-S426-T426</x:f>
        <x:v>0</x:v>
      </x:c>
    </x:row>
    <x:row r="427" ht="27" customHeight="1">
      <x:c r="A427" s="2"/>
      <x:c r="B427" s="2" t="str">
        <x:v>Beauty | organic_sales_growth | RSHPCS</x:v>
      </x:c>
      <x:c r="C427" s="2" t="str">
        <x:v>2024-12-31</x:v>
      </x:c>
      <x:c r="D427" s="2" t="str">
        <x:v>Origin</x:v>
      </x:c>
      <x:c r="E427" s="2" t="str">
        <x:v>2024-10-01</x:v>
      </x:c>
      <x:c r="F427" s="2" t="str">
        <x:v>Recent trend</x:v>
      </x:c>
      <x:c r="G427" s="2" t="n">
        <x:v>14</x:v>
      </x:c>
      <x:c r="H427" s="7" t="n">
        <x:v>3.0411878225134874</x:v>
      </x:c>
      <x:c r="I427" s="7" t="n">
        <x:v>0.15841282704797968</x:v>
      </x:c>
      <x:c r="J427" s="7" t="n">
        <x:v>4.932013838603266</x:v>
      </x:c>
      <x:c r="K427" s="7" t="n">
        <x:f>H427+I427*J427</x:f>
        <x:v>3.822482077726389</x:v>
      </x:c>
      <x:c r="L427" s="7" t="n">
        <x:v>2</x:v>
      </x:c>
      <x:c r="M427" s="7" t="n">
        <x:f>K427-L427</x:f>
        <x:v>1.8224820777263888</x:v>
      </x:c>
      <x:c r="N427" s="7" t="n">
        <x:f>M427^2</x:f>
        <x:v>3.321440923633895</x:v>
      </x:c>
      <x:c r="O427" s="7" t="n">
        <x:v>3</x:v>
      </x:c>
      <x:c r="P427" s="7" t="n">
        <x:v>3</x:v>
      </x:c>
      <x:c r="Q427" s="7" t="n">
        <x:v>2.201839783302484</x:v>
      </x:c>
      <x:c r="R427" s="7" t="n">
        <x:f>H427+I427*Q427</x:f>
        <x:v>3.389987487293145</x:v>
      </x:c>
      <x:c r="S427" s="7" t="n">
        <x:f>R427-L427</x:f>
        <x:v>1.389987487293145</x:v>
      </x:c>
      <x:c r="T427" s="7" t="n">
        <x:f>K427-R427</x:f>
        <x:v>0.4324945904332438</x:v>
      </x:c>
      <x:c r="U427" s="7" t="n">
        <x:f>M427-S427-T427</x:f>
        <x:v>0</x:v>
      </x:c>
    </x:row>
    <x:row r="428" ht="27" customHeight="1">
      <x:c r="A428" s="2"/>
      <x:c r="B428" s="2" t="str">
        <x:v>Beauty | organic_sales_growth | RSHPCS</x:v>
      </x:c>
      <x:c r="C428" s="2" t="str">
        <x:v>2024-12-31</x:v>
      </x:c>
      <x:c r="D428" s="2" t="str">
        <x:v>One month</x:v>
      </x:c>
      <x:c r="E428" s="2" t="str">
        <x:v>2024-11-15</x:v>
      </x:c>
      <x:c r="F428" s="2" t="str">
        <x:v>YoY carry</x:v>
      </x:c>
      <x:c r="G428" s="2" t="n">
        <x:v>11</x:v>
      </x:c>
      <x:c r="H428" s="7" t="n">
        <x:v>0.8892262668317752</x:v>
      </x:c>
      <x:c r="I428" s="7" t="n">
        <x:v>0.49056444885143835</x:v>
      </x:c>
      <x:c r="J428" s="7" t="n">
        <x:v>2.827132020564882</x:v>
      </x:c>
      <x:c r="K428" s="7" t="n">
        <x:f>H428+I428*J428</x:f>
        <x:v>2.2761167283304395</x:v>
      </x:c>
      <x:c r="L428" s="7" t="n">
        <x:v>2</x:v>
      </x:c>
      <x:c r="M428" s="7" t="n">
        <x:f>K428-L428</x:f>
        <x:v>0.27611672833043954</x:v>
      </x:c>
      <x:c r="N428" s="7" t="n">
        <x:f>M428^2</x:f>
        <x:v>0.07624044766390575</x:v>
      </x:c>
      <x:c r="O428" s="7" t="n">
        <x:v>-2</x:v>
      </x:c>
      <x:c r="P428" s="7" t="n">
        <x:v>1.25</x:v>
      </x:c>
      <x:c r="Q428" s="7" t="n">
        <x:v>2.2356560309057194</x:v>
      </x:c>
      <x:c r="R428" s="7" t="n">
        <x:f>H428+I428*Q428</x:f>
        <x:v>1.9859596354544335</x:v>
      </x:c>
      <x:c r="S428" s="7" t="n">
        <x:f>R428-L428</x:f>
        <x:v>-0.014040364545566453</x:v>
      </x:c>
      <x:c r="T428" s="7" t="n">
        <x:f>K428-R428</x:f>
        <x:v>0.290157092876006</x:v>
      </x:c>
      <x:c r="U428" s="7" t="n">
        <x:f>M428-S428-T428</x:f>
        <x:v>0</x:v>
      </x:c>
    </x:row>
    <x:row r="429" ht="27" customHeight="1">
      <x:c r="A429" s="2"/>
      <x:c r="B429" s="2" t="str">
        <x:v>Beauty | organic_sales_growth | RSHPCS</x:v>
      </x:c>
      <x:c r="C429" s="2" t="str">
        <x:v>2024-12-31</x:v>
      </x:c>
      <x:c r="D429" s="2" t="str">
        <x:v>One month</x:v>
      </x:c>
      <x:c r="E429" s="2" t="str">
        <x:v>2024-11-15</x:v>
      </x:c>
      <x:c r="F429" s="2" t="str">
        <x:v>Flat level</x:v>
      </x:c>
      <x:c r="G429" s="2" t="n">
        <x:v>11</x:v>
      </x:c>
      <x:c r="H429" s="7" t="n">
        <x:v>0.8892262668317752</x:v>
      </x:c>
      <x:c r="I429" s="7" t="n">
        <x:v>0.49056444885143835</x:v>
      </x:c>
      <x:c r="J429" s="7" t="n">
        <x:v>2.4261339247388714</x:v>
      </x:c>
      <x:c r="K429" s="7" t="n">
        <x:f>H429+I429*J429</x:f>
        <x:v>2.079401318461077</x:v>
      </x:c>
      <x:c r="L429" s="7" t="n">
        <x:v>2</x:v>
      </x:c>
      <x:c r="M429" s="7" t="n">
        <x:f>K429-L429</x:f>
        <x:v>0.0794013184610769</x:v>
      </x:c>
      <x:c r="N429" s="7" t="n">
        <x:f>M429^2</x:f>
        <x:v>0.0063045693733573506</x:v>
      </x:c>
      <x:c r="O429" s="7" t="n">
        <x:v>-2</x:v>
      </x:c>
      <x:c r="P429" s="7" t="n">
        <x:v>1.25</x:v>
      </x:c>
      <x:c r="Q429" s="7" t="n">
        <x:v>2.2356560309057194</x:v>
      </x:c>
      <x:c r="R429" s="7" t="n">
        <x:f>H429+I429*Q429</x:f>
        <x:v>1.9859596354544335</x:v>
      </x:c>
      <x:c r="S429" s="7" t="n">
        <x:f>R429-L429</x:f>
        <x:v>-0.014040364545566453</x:v>
      </x:c>
      <x:c r="T429" s="7" t="n">
        <x:f>K429-R429</x:f>
        <x:v>0.09344168300664335</x:v>
      </x:c>
      <x:c r="U429" s="7" t="n">
        <x:f>M429-S429-T429</x:f>
        <x:v>0</x:v>
      </x:c>
    </x:row>
    <x:row r="430" ht="27" customHeight="1">
      <x:c r="A430" s="2"/>
      <x:c r="B430" s="2" t="str">
        <x:v>Beauty | organic_sales_growth | RSHPCS</x:v>
      </x:c>
      <x:c r="C430" s="2" t="str">
        <x:v>2024-12-31</x:v>
      </x:c>
      <x:c r="D430" s="2" t="str">
        <x:v>One month</x:v>
      </x:c>
      <x:c r="E430" s="2" t="str">
        <x:v>2024-11-15</x:v>
      </x:c>
      <x:c r="F430" s="2" t="str">
        <x:v>Recent trend</x:v>
      </x:c>
      <x:c r="G430" s="2" t="n">
        <x:v>11</x:v>
      </x:c>
      <x:c r="H430" s="7" t="n">
        <x:v>0.8892262668317752</x:v>
      </x:c>
      <x:c r="I430" s="7" t="n">
        <x:v>0.49056444885143835</x:v>
      </x:c>
      <x:c r="J430" s="7" t="n">
        <x:v>3.0123229360423442</x:v>
      </x:c>
      <x:c r="K430" s="7" t="n">
        <x:f>H430+I430*J430</x:f>
        <x:v>2.3669648077139342</x:v>
      </x:c>
      <x:c r="L430" s="7" t="n">
        <x:v>2</x:v>
      </x:c>
      <x:c r="M430" s="7" t="n">
        <x:f>K430-L430</x:f>
        <x:v>0.36696480771393425</x:v>
      </x:c>
      <x:c r="N430" s="7" t="n">
        <x:f>M430^2</x:f>
        <x:v>0.13466317010052473</x:v>
      </x:c>
      <x:c r="O430" s="7" t="n">
        <x:v>-2</x:v>
      </x:c>
      <x:c r="P430" s="7" t="n">
        <x:v>1.25</x:v>
      </x:c>
      <x:c r="Q430" s="7" t="n">
        <x:v>2.2356560309057194</x:v>
      </x:c>
      <x:c r="R430" s="7" t="n">
        <x:f>H430+I430*Q430</x:f>
        <x:v>1.9859596354544335</x:v>
      </x:c>
      <x:c r="S430" s="7" t="n">
        <x:f>R430-L430</x:f>
        <x:v>-0.014040364545566453</x:v>
      </x:c>
      <x:c r="T430" s="7" t="n">
        <x:f>K430-R430</x:f>
        <x:v>0.3810051722595007</x:v>
      </x:c>
      <x:c r="U430" s="7" t="n">
        <x:f>M430-S430-T430</x:f>
        <x:v>0</x:v>
      </x:c>
    </x:row>
    <x:row r="431" ht="27" customHeight="1">
      <x:c r="A431" s="2"/>
      <x:c r="B431" s="2" t="str">
        <x:v>Beauty | organic_sales_growth | RSHPCS</x:v>
      </x:c>
      <x:c r="C431" s="2" t="str">
        <x:v>2024-12-31</x:v>
      </x:c>
      <x:c r="D431" s="2" t="str">
        <x:v>Two months</x:v>
      </x:c>
      <x:c r="E431" s="2" t="str">
        <x:v>2024-12-17</x:v>
      </x:c>
      <x:c r="F431" s="2" t="str">
        <x:v>YoY carry</x:v>
      </x:c>
      <x:c r="G431" s="2" t="n">
        <x:v>11</x:v>
      </x:c>
      <x:c r="H431" s="7" t="n">
        <x:v>0.8443426378207364</x:v>
      </x:c>
      <x:c r="I431" s="7" t="n">
        <x:v>0.5002415345829347</x:v>
      </x:c>
      <x:c r="J431" s="7" t="n">
        <x:v>2.055617095783213</x:v>
      </x:c>
      <x:c r="K431" s="7" t="n">
        <x:f>H431+I431*J431</x:f>
        <x:v>1.8726476883302465</x:v>
      </x:c>
      <x:c r="L431" s="7" t="n">
        <x:v>2</x:v>
      </x:c>
      <x:c r="M431" s="7" t="n">
        <x:f>K431-L431</x:f>
        <x:v>-0.12735231166975347</x:v>
      </x:c>
      <x:c r="N431" s="7" t="n">
        <x:f>M431^2</x:f>
        <x:v>0.016218611287630025</x:v>
      </x:c>
      <x:c r="O431" s="7" t="n">
        <x:v>-2</x:v>
      </x:c>
      <x:c r="P431" s="7" t="n">
        <x:v>1.25</x:v>
      </x:c>
      <x:c r="Q431" s="7" t="n">
        <x:v>2.2326821716525336</x:v>
      </x:c>
      <x:c r="R431" s="7" t="n">
        <x:f>H431+I431*Q431</x:f>
        <x:v>1.9612229936041592</x:v>
      </x:c>
      <x:c r="S431" s="7" t="n">
        <x:f>R431-L431</x:f>
        <x:v>-0.03877700639584081</x:v>
      </x:c>
      <x:c r="T431" s="7" t="n">
        <x:f>K431-R431</x:f>
        <x:v>-0.08857530527391266</x:v>
      </x:c>
      <x:c r="U431" s="7" t="n">
        <x:f>M431-S431-T431</x:f>
        <x:v>0</x:v>
      </x:c>
    </x:row>
    <x:row r="432" ht="27" customHeight="1">
      <x:c r="A432" s="2"/>
      <x:c r="B432" s="2" t="str">
        <x:v>Beauty | organic_sales_growth | RSHPCS</x:v>
      </x:c>
      <x:c r="C432" s="2" t="str">
        <x:v>2024-12-31</x:v>
      </x:c>
      <x:c r="D432" s="2" t="str">
        <x:v>Two months</x:v>
      </x:c>
      <x:c r="E432" s="2" t="str">
        <x:v>2024-12-17</x:v>
      </x:c>
      <x:c r="F432" s="2" t="str">
        <x:v>Flat level</x:v>
      </x:c>
      <x:c r="G432" s="2" t="n">
        <x:v>11</x:v>
      </x:c>
      <x:c r="H432" s="7" t="n">
        <x:v>0.8443426378207364</x:v>
      </x:c>
      <x:c r="I432" s="7" t="n">
        <x:v>0.5002415345829347</x:v>
      </x:c>
      <x:c r="J432" s="7" t="n">
        <x:v>2.251474286123356</x:v>
      </x:c>
      <x:c r="K432" s="7" t="n">
        <x:f>H432+I432*J432</x:f>
        <x:v>1.9706235897851014</x:v>
      </x:c>
      <x:c r="L432" s="7" t="n">
        <x:v>2</x:v>
      </x:c>
      <x:c r="M432" s="7" t="n">
        <x:f>K432-L432</x:f>
        <x:v>-0.029376410214898563</x:v>
      </x:c>
      <x:c r="N432" s="7" t="n">
        <x:f>M432^2</x:f>
        <x:v>0.0008629734771139966</x:v>
      </x:c>
      <x:c r="O432" s="7" t="n">
        <x:v>-2</x:v>
      </x:c>
      <x:c r="P432" s="7" t="n">
        <x:v>1.25</x:v>
      </x:c>
      <x:c r="Q432" s="7" t="n">
        <x:v>2.2326821716525336</x:v>
      </x:c>
      <x:c r="R432" s="7" t="n">
        <x:f>H432+I432*Q432</x:f>
        <x:v>1.9612229936041592</x:v>
      </x:c>
      <x:c r="S432" s="7" t="n">
        <x:f>R432-L432</x:f>
        <x:v>-0.03877700639584081</x:v>
      </x:c>
      <x:c r="T432" s="7" t="n">
        <x:f>K432-R432</x:f>
        <x:v>0.009400596180942244</x:v>
      </x:c>
      <x:c r="U432" s="7" t="n">
        <x:f>M432-S432-T432</x:f>
        <x:v>0</x:v>
      </x:c>
    </x:row>
    <x:row r="433" ht="27" customHeight="1">
      <x:c r="A433" s="2"/>
      <x:c r="B433" s="2" t="str">
        <x:v>Beauty | organic_sales_growth | RSHPCS</x:v>
      </x:c>
      <x:c r="C433" s="2" t="str">
        <x:v>2024-12-31</x:v>
      </x:c>
      <x:c r="D433" s="2" t="str">
        <x:v>Two months</x:v>
      </x:c>
      <x:c r="E433" s="2" t="str">
        <x:v>2024-12-17</x:v>
      </x:c>
      <x:c r="F433" s="2" t="str">
        <x:v>Recent trend</x:v>
      </x:c>
      <x:c r="G433" s="2" t="n">
        <x:v>11</x:v>
      </x:c>
      <x:c r="H433" s="7" t="n">
        <x:v>0.8443426378207364</x:v>
      </x:c>
      <x:c r="I433" s="7" t="n">
        <x:v>0.5002415345829347</x:v>
      </x:c>
      <x:c r="J433" s="7" t="n">
        <x:v>2.0465507521320037</x:v>
      </x:c>
      <x:c r="K433" s="7" t="n">
        <x:f>H433+I433*J433</x:f>
        <x:v>1.868112326669109</x:v>
      </x:c>
      <x:c r="L433" s="7" t="n">
        <x:v>2</x:v>
      </x:c>
      <x:c r="M433" s="7" t="n">
        <x:f>K433-L433</x:f>
        <x:v>-0.1318876733308909</x:v>
      </x:c>
      <x:c r="N433" s="7" t="n">
        <x:f>M433^2</x:f>
        <x:v>0.017394358376635794</x:v>
      </x:c>
      <x:c r="O433" s="7" t="n">
        <x:v>-2</x:v>
      </x:c>
      <x:c r="P433" s="7" t="n">
        <x:v>1.25</x:v>
      </x:c>
      <x:c r="Q433" s="7" t="n">
        <x:v>2.2326821716525336</x:v>
      </x:c>
      <x:c r="R433" s="7" t="n">
        <x:f>H433+I433*Q433</x:f>
        <x:v>1.9612229936041592</x:v>
      </x:c>
      <x:c r="S433" s="7" t="n">
        <x:f>R433-L433</x:f>
        <x:v>-0.03877700639584081</x:v>
      </x:c>
      <x:c r="T433" s="7" t="n">
        <x:f>K433-R433</x:f>
        <x:v>-0.0931106669350501</x:v>
      </x:c>
      <x:c r="U433" s="7" t="n">
        <x:f>M433-S433-T433</x:f>
        <x:v>0</x:v>
      </x:c>
    </x:row>
    <x:row r="434" ht="27" customHeight="1">
      <x:c r="A434" s="2"/>
      <x:c r="B434" s="2" t="str">
        <x:v>Beauty | organic_sales_growth | RSHPCS</x:v>
      </x:c>
      <x:c r="C434" s="2" t="str">
        <x:v>2024-12-31</x:v>
      </x:c>
      <x:c r="D434" s="2" t="str">
        <x:v>Pre-earnings</x:v>
      </x:c>
      <x:c r="E434" s="2" t="str">
        <x:v>2025-01-21</x:v>
      </x:c>
      <x:c r="F434" s="2" t="str">
        <x:v>YoY carry</x:v>
      </x:c>
      <x:c r="G434" s="2" t="n">
        <x:v>15</x:v>
      </x:c>
      <x:c r="H434" s="7" t="n">
        <x:v>2.3710796383045762</x:v>
      </x:c>
      <x:c r="I434" s="7" t="n">
        <x:v>0.20406615214451806</x:v>
      </x:c>
      <x:c r="J434" s="7" t="n">
        <x:v>2.3264143847269825</x:v>
      </x:c>
      <x:c r="K434" s="7" t="n">
        <x:f>H434+I434*J434</x:f>
        <x:v>2.845822070089468</x:v>
      </x:c>
      <x:c r="L434" s="7" t="n">
        <x:v>2</x:v>
      </x:c>
      <x:c r="M434" s="7" t="n">
        <x:f>K434-L434</x:f>
        <x:v>0.8458220700894681</x:v>
      </x:c>
      <x:c r="N434" s="7" t="n">
        <x:f>M434^2</x:f>
        <x:v>0.7154149742504331</x:v>
      </x:c>
      <x:c r="O434" s="7" t="n">
        <x:v>-2</x:v>
      </x:c>
      <x:c r="P434" s="7" t="n">
        <x:v>1.25</x:v>
      </x:c>
      <x:c r="Q434" s="7" t="n">
        <x:v>2.3264143847269825</x:v>
      </x:c>
      <x:c r="R434" s="7" t="n">
        <x:f>H434+I434*Q434</x:f>
        <x:v>2.845822070089468</x:v>
      </x:c>
      <x:c r="S434" s="7" t="n">
        <x:f>R434-L434</x:f>
        <x:v>0.8458220700894681</x:v>
      </x:c>
      <x:c r="T434" s="7" t="n">
        <x:f>K434-R434</x:f>
        <x:v>0</x:v>
      </x:c>
      <x:c r="U434" s="7" t="n">
        <x:f>M434-S434-T434</x:f>
        <x:v>0</x:v>
      </x:c>
    </x:row>
    <x:row r="435" ht="27" customHeight="1">
      <x:c r="A435" s="2"/>
      <x:c r="B435" s="2" t="str">
        <x:v>Beauty | organic_sales_growth | RSHPCS</x:v>
      </x:c>
      <x:c r="C435" s="2" t="str">
        <x:v>2024-12-31</x:v>
      </x:c>
      <x:c r="D435" s="2" t="str">
        <x:v>Pre-earnings</x:v>
      </x:c>
      <x:c r="E435" s="2" t="str">
        <x:v>2025-01-21</x:v>
      </x:c>
      <x:c r="F435" s="2" t="str">
        <x:v>Flat level</x:v>
      </x:c>
      <x:c r="G435" s="2" t="n">
        <x:v>15</x:v>
      </x:c>
      <x:c r="H435" s="7" t="n">
        <x:v>2.3710796383045762</x:v>
      </x:c>
      <x:c r="I435" s="7" t="n">
        <x:v>0.20406615214451806</x:v>
      </x:c>
      <x:c r="J435" s="7" t="n">
        <x:v>2.3264143847269825</x:v>
      </x:c>
      <x:c r="K435" s="7" t="n">
        <x:f>H435+I435*J435</x:f>
        <x:v>2.845822070089468</x:v>
      </x:c>
      <x:c r="L435" s="7" t="n">
        <x:v>2</x:v>
      </x:c>
      <x:c r="M435" s="7" t="n">
        <x:f>K435-L435</x:f>
        <x:v>0.8458220700894681</x:v>
      </x:c>
      <x:c r="N435" s="7" t="n">
        <x:f>M435^2</x:f>
        <x:v>0.7154149742504331</x:v>
      </x:c>
      <x:c r="O435" s="7" t="n">
        <x:v>-2</x:v>
      </x:c>
      <x:c r="P435" s="7" t="n">
        <x:v>1.25</x:v>
      </x:c>
      <x:c r="Q435" s="7" t="n">
        <x:v>2.3264143847269825</x:v>
      </x:c>
      <x:c r="R435" s="7" t="n">
        <x:f>H435+I435*Q435</x:f>
        <x:v>2.845822070089468</x:v>
      </x:c>
      <x:c r="S435" s="7" t="n">
        <x:f>R435-L435</x:f>
        <x:v>0.8458220700894681</x:v>
      </x:c>
      <x:c r="T435" s="7" t="n">
        <x:f>K435-R435</x:f>
        <x:v>0</x:v>
      </x:c>
      <x:c r="U435" s="7" t="n">
        <x:f>M435-S435-T435</x:f>
        <x:v>0</x:v>
      </x:c>
    </x:row>
    <x:row r="436" ht="27" customHeight="1">
      <x:c r="A436" s="2"/>
      <x:c r="B436" s="2" t="str">
        <x:v>Beauty | organic_sales_growth | RSHPCS</x:v>
      </x:c>
      <x:c r="C436" s="2" t="str">
        <x:v>2024-12-31</x:v>
      </x:c>
      <x:c r="D436" s="2" t="str">
        <x:v>Pre-earnings</x:v>
      </x:c>
      <x:c r="E436" s="2" t="str">
        <x:v>2025-01-21</x:v>
      </x:c>
      <x:c r="F436" s="2" t="str">
        <x:v>Recent trend</x:v>
      </x:c>
      <x:c r="G436" s="2" t="n">
        <x:v>15</x:v>
      </x:c>
      <x:c r="H436" s="7" t="n">
        <x:v>2.3710796383045762</x:v>
      </x:c>
      <x:c r="I436" s="7" t="n">
        <x:v>0.20406615214451806</x:v>
      </x:c>
      <x:c r="J436" s="7" t="n">
        <x:v>2.3264143847269825</x:v>
      </x:c>
      <x:c r="K436" s="7" t="n">
        <x:f>H436+I436*J436</x:f>
        <x:v>2.845822070089468</x:v>
      </x:c>
      <x:c r="L436" s="7" t="n">
        <x:v>2</x:v>
      </x:c>
      <x:c r="M436" s="7" t="n">
        <x:f>K436-L436</x:f>
        <x:v>0.8458220700894681</x:v>
      </x:c>
      <x:c r="N436" s="7" t="n">
        <x:f>M436^2</x:f>
        <x:v>0.7154149742504331</x:v>
      </x:c>
      <x:c r="O436" s="7" t="n">
        <x:v>-2</x:v>
      </x:c>
      <x:c r="P436" s="7" t="n">
        <x:v>1.25</x:v>
      </x:c>
      <x:c r="Q436" s="7" t="n">
        <x:v>2.3264143847269825</x:v>
      </x:c>
      <x:c r="R436" s="7" t="n">
        <x:f>H436+I436*Q436</x:f>
        <x:v>2.845822070089468</x:v>
      </x:c>
      <x:c r="S436" s="7" t="n">
        <x:f>R436-L436</x:f>
        <x:v>0.8458220700894681</x:v>
      </x:c>
      <x:c r="T436" s="7" t="n">
        <x:f>K436-R436</x:f>
        <x:v>0</x:v>
      </x:c>
      <x:c r="U436" s="7" t="n">
        <x:f>M436-S436-T436</x:f>
        <x:v>0</x:v>
      </x:c>
    </x:row>
    <x:row r="437" ht="27" customHeight="1">
      <x:c r="A437" s="2"/>
      <x:c r="B437" s="2" t="str">
        <x:v>Beauty | organic_sales_growth | RSHPCS</x:v>
      </x:c>
      <x:c r="C437" s="2" t="str">
        <x:v>2025-03-31</x:v>
      </x:c>
      <x:c r="D437" s="2" t="str">
        <x:v>Origin</x:v>
      </x:c>
      <x:c r="E437" s="2" t="str">
        <x:v>2025-01-01</x:v>
      </x:c>
      <x:c r="F437" s="2" t="str">
        <x:v>YoY carry</x:v>
      </x:c>
      <x:c r="G437" s="2" t="n">
        <x:v>15</x:v>
      </x:c>
      <x:c r="H437" s="7" t="n">
        <x:v>2.3774467304403206</x:v>
      </x:c>
      <x:c r="I437" s="7" t="n">
        <x:v>0.20290665863832638</x:v>
      </x:c>
      <x:c r="J437" s="7" t="n">
        <x:v>2.894457861264632</x:v>
      </x:c>
      <x:c r="K437" s="7" t="n">
        <x:f>H437+I437*J437</x:f>
        <x:v>2.9647515036389636</x:v>
      </x:c>
      <x:c r="L437" s="7" t="n">
        <x:v>2</x:v>
      </x:c>
      <x:c r="M437" s="7" t="n">
        <x:f>K437-L437</x:f>
        <x:v>0.9647515036389636</x:v>
      </x:c>
      <x:c r="N437" s="7" t="n">
        <x:f>M437^2</x:f>
        <x:v>0.9307454637736411</x:v>
      </x:c>
      <x:c r="O437" s="7" t="n">
        <x:v>-2</x:v>
      </x:c>
      <x:c r="P437" s="7" t="n">
        <x:v>1.25</x:v>
      </x:c>
      <x:c r="Q437" s="7" t="n">
        <x:v>6.552318137015578</x:v>
      </x:c>
      <x:c r="R437" s="7" t="n">
        <x:f>H437+I437*Q437</x:f>
        <x:v>3.7069557099574553</x:v>
      </x:c>
      <x:c r="S437" s="7" t="n">
        <x:f>R437-L437</x:f>
        <x:v>1.7069557099574553</x:v>
      </x:c>
      <x:c r="T437" s="7" t="n">
        <x:f>K437-R437</x:f>
        <x:v>-0.7422042063184917</x:v>
      </x:c>
      <x:c r="U437" s="7" t="n">
        <x:f>M437-S437-T437</x:f>
        <x:v>0</x:v>
      </x:c>
    </x:row>
    <x:row r="438" ht="27" customHeight="1">
      <x:c r="A438" s="2"/>
      <x:c r="B438" s="2" t="str">
        <x:v>Beauty | organic_sales_growth | RSHPCS</x:v>
      </x:c>
      <x:c r="C438" s="2" t="str">
        <x:v>2025-03-31</x:v>
      </x:c>
      <x:c r="D438" s="2" t="str">
        <x:v>Origin</x:v>
      </x:c>
      <x:c r="E438" s="2" t="str">
        <x:v>2025-01-01</x:v>
      </x:c>
      <x:c r="F438" s="2" t="str">
        <x:v>Flat level</x:v>
      </x:c>
      <x:c r="G438" s="2" t="n">
        <x:v>15</x:v>
      </x:c>
      <x:c r="H438" s="7" t="n">
        <x:v>2.3774467304403206</x:v>
      </x:c>
      <x:c r="I438" s="7" t="n">
        <x:v>0.20290665863832638</x:v>
      </x:c>
      <x:c r="J438" s="7" t="n">
        <x:v>5.243328389693902</x:v>
      </x:c>
      <x:c r="K438" s="7" t="n">
        <x:f>H438+I438*J438</x:f>
        <x:v>3.4413529741365867</x:v>
      </x:c>
      <x:c r="L438" s="7" t="n">
        <x:v>2</x:v>
      </x:c>
      <x:c r="M438" s="7" t="n">
        <x:f>K438-L438</x:f>
        <x:v>1.4413529741365867</x:v>
      </x:c>
      <x:c r="N438" s="7" t="n">
        <x:f>M438^2</x:f>
        <x:v>2.077498396052384</x:v>
      </x:c>
      <x:c r="O438" s="7" t="n">
        <x:v>-2</x:v>
      </x:c>
      <x:c r="P438" s="7" t="n">
        <x:v>1.25</x:v>
      </x:c>
      <x:c r="Q438" s="7" t="n">
        <x:v>6.552318137015578</x:v>
      </x:c>
      <x:c r="R438" s="7" t="n">
        <x:f>H438+I438*Q438</x:f>
        <x:v>3.7069557099574553</x:v>
      </x:c>
      <x:c r="S438" s="7" t="n">
        <x:f>R438-L438</x:f>
        <x:v>1.7069557099574553</x:v>
      </x:c>
      <x:c r="T438" s="7" t="n">
        <x:f>K438-R438</x:f>
        <x:v>-0.2656027358208686</x:v>
      </x:c>
      <x:c r="U438" s="7" t="n">
        <x:f>M438-S438-T438</x:f>
        <x:v>0</x:v>
      </x:c>
    </x:row>
    <x:row r="439" ht="27" customHeight="1">
      <x:c r="A439" s="2"/>
      <x:c r="B439" s="2" t="str">
        <x:v>Beauty | organic_sales_growth | RSHPCS</x:v>
      </x:c>
      <x:c r="C439" s="2" t="str">
        <x:v>2025-03-31</x:v>
      </x:c>
      <x:c r="D439" s="2" t="str">
        <x:v>Origin</x:v>
      </x:c>
      <x:c r="E439" s="2" t="str">
        <x:v>2025-01-01</x:v>
      </x:c>
      <x:c r="F439" s="2" t="str">
        <x:v>Recent trend</x:v>
      </x:c>
      <x:c r="G439" s="2" t="n">
        <x:v>15</x:v>
      </x:c>
      <x:c r="H439" s="7" t="n">
        <x:v>2.3774467304403206</x:v>
      </x:c>
      <x:c r="I439" s="7" t="n">
        <x:v>0.20290665863832638</x:v>
      </x:c>
      <x:c r="J439" s="7" t="n">
        <x:v>3.344786609799466</x:v>
      </x:c>
      <x:c r="K439" s="7" t="n">
        <x:f>H439+I439*J439</x:f>
        <x:v>3.056126205292946</x:v>
      </x:c>
      <x:c r="L439" s="7" t="n">
        <x:v>2</x:v>
      </x:c>
      <x:c r="M439" s="7" t="n">
        <x:f>K439-L439</x:f>
        <x:v>1.056126205292946</x:v>
      </x:c>
      <x:c r="N439" s="7" t="n">
        <x:f>M439^2</x:f>
        <x:v>1.1154025615064782</x:v>
      </x:c>
      <x:c r="O439" s="7" t="n">
        <x:v>-2</x:v>
      </x:c>
      <x:c r="P439" s="7" t="n">
        <x:v>1.25</x:v>
      </x:c>
      <x:c r="Q439" s="7" t="n">
        <x:v>6.552318137015578</x:v>
      </x:c>
      <x:c r="R439" s="7" t="n">
        <x:f>H439+I439*Q439</x:f>
        <x:v>3.7069557099574553</x:v>
      </x:c>
      <x:c r="S439" s="7" t="n">
        <x:f>R439-L439</x:f>
        <x:v>1.7069557099574553</x:v>
      </x:c>
      <x:c r="T439" s="7" t="n">
        <x:f>K439-R439</x:f>
        <x:v>-0.6508295046645092</x:v>
      </x:c>
      <x:c r="U439" s="7" t="n">
        <x:f>M439-S439-T439</x:f>
        <x:v>0</x:v>
      </x:c>
    </x:row>
    <x:row r="440" ht="27" customHeight="1">
      <x:c r="A440" s="2"/>
      <x:c r="B440" s="2" t="str">
        <x:v>Beauty | organic_sales_growth | RSHPCS</x:v>
      </x:c>
      <x:c r="C440" s="2" t="str">
        <x:v>2025-03-31</x:v>
      </x:c>
      <x:c r="D440" s="2" t="str">
        <x:v>One month</x:v>
      </x:c>
      <x:c r="E440" s="2" t="str">
        <x:v>2025-02-14</x:v>
      </x:c>
      <x:c r="F440" s="2" t="str">
        <x:v>YoY carry</x:v>
      </x:c>
      <x:c r="G440" s="2" t="n">
        <x:v>12</x:v>
      </x:c>
      <x:c r="H440" s="7" t="n">
        <x:v>0.7051070047802481</x:v>
      </x:c>
      <x:c r="I440" s="7" t="n">
        <x:v>0.5261161858739635</x:v>
      </x:c>
      <x:c r="J440" s="7" t="n">
        <x:v>4.1390962985257795</x:v>
      </x:c>
      <x:c r="K440" s="7" t="n">
        <x:f>H440+I440*J440</x:f>
        <x:v>2.8827525623256713</x:v>
      </x:c>
      <x:c r="L440" s="7" t="n">
        <x:v>2</x:v>
      </x:c>
      <x:c r="M440" s="7" t="n">
        <x:f>K440-L440</x:f>
        <x:v>0.8827525623256713</x:v>
      </x:c>
      <x:c r="N440" s="7" t="n">
        <x:f>M440^2</x:f>
        <x:v>0.7792520862925383</x:v>
      </x:c>
      <x:c r="O440" s="7" t="n">
        <x:v>2</x:v>
      </x:c>
      <x:c r="P440" s="7" t="n">
        <x:v>1.5</x:v>
      </x:c>
      <x:c r="Q440" s="7" t="n">
        <x:v>6.410185645158317</x:v>
      </x:c>
      <x:c r="R440" s="7" t="n">
        <x:f>H440+I440*Q440</x:f>
        <x:v>4.077609427154973</x:v>
      </x:c>
      <x:c r="S440" s="7" t="n">
        <x:f>R440-L440</x:f>
        <x:v>2.0776094271549734</x:v>
      </x:c>
      <x:c r="T440" s="7" t="n">
        <x:f>K440-R440</x:f>
        <x:v>-1.194856864829302</x:v>
      </x:c>
      <x:c r="U440" s="7" t="n">
        <x:f>M440-S440-T440</x:f>
        <x:v>0</x:v>
      </x:c>
    </x:row>
    <x:row r="441" ht="27" customHeight="1">
      <x:c r="A441" s="2"/>
      <x:c r="B441" s="2" t="str">
        <x:v>Beauty | organic_sales_growth | RSHPCS</x:v>
      </x:c>
      <x:c r="C441" s="2" t="str">
        <x:v>2025-03-31</x:v>
      </x:c>
      <x:c r="D441" s="2" t="str">
        <x:v>One month</x:v>
      </x:c>
      <x:c r="E441" s="2" t="str">
        <x:v>2025-02-14</x:v>
      </x:c>
      <x:c r="F441" s="2" t="str">
        <x:v>Flat level</x:v>
      </x:c>
      <x:c r="G441" s="2" t="n">
        <x:v>12</x:v>
      </x:c>
      <x:c r="H441" s="7" t="n">
        <x:v>0.7051070047802481</x:v>
      </x:c>
      <x:c r="I441" s="7" t="n">
        <x:v>0.5261161858739635</x:v>
      </x:c>
      <x:c r="J441" s="7" t="n">
        <x:v>5.210575702378972</x:v>
      </x:c>
      <x:c r="K441" s="7" t="n">
        <x:f>H441+I441*J441</x:f>
        <x:v>3.446475219523421</x:v>
      </x:c>
      <x:c r="L441" s="7" t="n">
        <x:v>2</x:v>
      </x:c>
      <x:c r="M441" s="7" t="n">
        <x:f>K441-L441</x:f>
        <x:v>1.4464752195234212</x:v>
      </x:c>
      <x:c r="N441" s="7" t="n">
        <x:f>M441^2</x:f>
        <x:v>2.0922905606953295</x:v>
      </x:c>
      <x:c r="O441" s="7" t="n">
        <x:v>2</x:v>
      </x:c>
      <x:c r="P441" s="7" t="n">
        <x:v>1.5</x:v>
      </x:c>
      <x:c r="Q441" s="7" t="n">
        <x:v>6.410185645158317</x:v>
      </x:c>
      <x:c r="R441" s="7" t="n">
        <x:f>H441+I441*Q441</x:f>
        <x:v>4.077609427154973</x:v>
      </x:c>
      <x:c r="S441" s="7" t="n">
        <x:f>R441-L441</x:f>
        <x:v>2.0776094271549734</x:v>
      </x:c>
      <x:c r="T441" s="7" t="n">
        <x:f>K441-R441</x:f>
        <x:v>-0.6311342076315523</x:v>
      </x:c>
      <x:c r="U441" s="7" t="n">
        <x:f>M441-S441-T441</x:f>
        <x:v>0</x:v>
      </x:c>
    </x:row>
    <x:row r="442" ht="27" customHeight="1">
      <x:c r="A442" s="2"/>
      <x:c r="B442" s="2" t="str">
        <x:v>Beauty | organic_sales_growth | RSHPCS</x:v>
      </x:c>
      <x:c r="C442" s="2" t="str">
        <x:v>2025-03-31</x:v>
      </x:c>
      <x:c r="D442" s="2" t="str">
        <x:v>One month</x:v>
      </x:c>
      <x:c r="E442" s="2" t="str">
        <x:v>2025-02-14</x:v>
      </x:c>
      <x:c r="F442" s="2" t="str">
        <x:v>Recent trend</x:v>
      </x:c>
      <x:c r="G442" s="2" t="n">
        <x:v>12</x:v>
      </x:c>
      <x:c r="H442" s="7" t="n">
        <x:v>0.7051070047802481</x:v>
      </x:c>
      <x:c r="I442" s="7" t="n">
        <x:v>0.5261161858739635</x:v>
      </x:c>
      <x:c r="J442" s="7" t="n">
        <x:v>5.144339570569079</x:v>
      </x:c>
      <x:c r="K442" s="7" t="n">
        <x:f>H442+I442*J442</x:f>
        <x:v>3.411627318488555</x:v>
      </x:c>
      <x:c r="L442" s="7" t="n">
        <x:v>2</x:v>
      </x:c>
      <x:c r="M442" s="7" t="n">
        <x:f>K442-L442</x:f>
        <x:v>1.4116273184885548</x:v>
      </x:c>
      <x:c r="N442" s="7" t="n">
        <x:f>M442^2</x:f>
        <x:v>1.9926916863031878</x:v>
      </x:c>
      <x:c r="O442" s="7" t="n">
        <x:v>2</x:v>
      </x:c>
      <x:c r="P442" s="7" t="n">
        <x:v>1.5</x:v>
      </x:c>
      <x:c r="Q442" s="7" t="n">
        <x:v>6.410185645158317</x:v>
      </x:c>
      <x:c r="R442" s="7" t="n">
        <x:f>H442+I442*Q442</x:f>
        <x:v>4.077609427154973</x:v>
      </x:c>
      <x:c r="S442" s="7" t="n">
        <x:f>R442-L442</x:f>
        <x:v>2.0776094271549734</x:v>
      </x:c>
      <x:c r="T442" s="7" t="n">
        <x:f>K442-R442</x:f>
        <x:v>-0.6659821086664186</x:v>
      </x:c>
      <x:c r="U442" s="7" t="n">
        <x:f>M442-S442-T442</x:f>
        <x:v>0</x:v>
      </x:c>
    </x:row>
    <x:row r="443" ht="27" customHeight="1">
      <x:c r="A443" s="2"/>
      <x:c r="B443" s="2" t="str">
        <x:v>Beauty | organic_sales_growth | RSHPCS</x:v>
      </x:c>
      <x:c r="C443" s="2" t="str">
        <x:v>2025-03-31</x:v>
      </x:c>
      <x:c r="D443" s="2" t="str">
        <x:v>Two months</x:v>
      </x:c>
      <x:c r="E443" s="2" t="str">
        <x:v>2025-03-17</x:v>
      </x:c>
      <x:c r="F443" s="2" t="str">
        <x:v>YoY carry</x:v>
      </x:c>
      <x:c r="G443" s="2" t="n">
        <x:v>12</x:v>
      </x:c>
      <x:c r="H443" s="7" t="n">
        <x:v>0.6734451038191187</x:v>
      </x:c>
      <x:c r="I443" s="7" t="n">
        <x:v>0.5304726622459847</x:v>
      </x:c>
      <x:c r="J443" s="7" t="n">
        <x:v>5.4432170461136575</x:v>
      </x:c>
      <x:c r="K443" s="7" t="n">
        <x:f>H443+I443*J443</x:f>
        <x:v>3.560922941453755</x:v>
      </x:c>
      <x:c r="L443" s="7" t="n">
        <x:v>2</x:v>
      </x:c>
      <x:c r="M443" s="7" t="n">
        <x:f>K443-L443</x:f>
        <x:v>1.560922941453755</x:v>
      </x:c>
      <x:c r="N443" s="7" t="n">
        <x:f>M443^2</x:f>
        <x:v>2.436480429156643</x:v>
      </x:c>
      <x:c r="O443" s="7" t="n">
        <x:v>2</x:v>
      </x:c>
      <x:c r="P443" s="7" t="n">
        <x:v>1.5</x:v>
      </x:c>
      <x:c r="Q443" s="7" t="n">
        <x:v>6.189670705473538</x:v>
      </x:c>
      <x:c r="R443" s="7" t="n">
        <x:f>H443+I443*Q443</x:f>
        <x:v>3.9568962013776483</x:v>
      </x:c>
      <x:c r="S443" s="7" t="n">
        <x:f>R443-L443</x:f>
        <x:v>1.9568962013776483</x:v>
      </x:c>
      <x:c r="T443" s="7" t="n">
        <x:f>K443-R443</x:f>
        <x:v>-0.3959732599238932</x:v>
      </x:c>
      <x:c r="U443" s="7" t="n">
        <x:f>M443-S443-T443</x:f>
        <x:v>0</x:v>
      </x:c>
    </x:row>
    <x:row r="444" ht="27" customHeight="1">
      <x:c r="A444" s="2"/>
      <x:c r="B444" s="2" t="str">
        <x:v>Beauty | organic_sales_growth | RSHPCS</x:v>
      </x:c>
      <x:c r="C444" s="2" t="str">
        <x:v>2025-03-31</x:v>
      </x:c>
      <x:c r="D444" s="2" t="str">
        <x:v>Two months</x:v>
      </x:c>
      <x:c r="E444" s="2" t="str">
        <x:v>2025-03-17</x:v>
      </x:c>
      <x:c r="F444" s="2" t="str">
        <x:v>Flat level</x:v>
      </x:c>
      <x:c r="G444" s="2" t="n">
        <x:v>12</x:v>
      </x:c>
      <x:c r="H444" s="7" t="n">
        <x:v>0.6734451038191187</x:v>
      </x:c>
      <x:c r="I444" s="7" t="n">
        <x:v>0.5304726622459847</x:v>
      </x:c>
      <x:c r="J444" s="7" t="n">
        <x:v>5.919395465994959</x:v>
      </x:c>
      <x:c r="K444" s="7" t="n">
        <x:f>H444+I444*J444</x:f>
        <x:v>3.8135225755522755</x:v>
      </x:c>
      <x:c r="L444" s="7" t="n">
        <x:v>2</x:v>
      </x:c>
      <x:c r="M444" s="7" t="n">
        <x:f>K444-L444</x:f>
        <x:v>1.8135225755522755</x:v>
      </x:c>
      <x:c r="N444" s="7" t="n">
        <x:f>M444^2</x:f>
        <x:v>3.2888641320377587</x:v>
      </x:c>
      <x:c r="O444" s="7" t="n">
        <x:v>2</x:v>
      </x:c>
      <x:c r="P444" s="7" t="n">
        <x:v>1.5</x:v>
      </x:c>
      <x:c r="Q444" s="7" t="n">
        <x:v>6.189670705473538</x:v>
      </x:c>
      <x:c r="R444" s="7" t="n">
        <x:f>H444+I444*Q444</x:f>
        <x:v>3.9568962013776483</x:v>
      </x:c>
      <x:c r="S444" s="7" t="n">
        <x:f>R444-L444</x:f>
        <x:v>1.9568962013776483</x:v>
      </x:c>
      <x:c r="T444" s="7" t="n">
        <x:f>K444-R444</x:f>
        <x:v>-0.14337362582537283</x:v>
      </x:c>
      <x:c r="U444" s="7" t="n">
        <x:f>M444-S444-T444</x:f>
        <x:v>0</x:v>
      </x:c>
    </x:row>
    <x:row r="445" ht="27" customHeight="1">
      <x:c r="A445" s="2"/>
      <x:c r="B445" s="2" t="str">
        <x:v>Beauty | organic_sales_growth | RSHPCS</x:v>
      </x:c>
      <x:c r="C445" s="2" t="str">
        <x:v>2025-03-31</x:v>
      </x:c>
      <x:c r="D445" s="2" t="str">
        <x:v>Two months</x:v>
      </x:c>
      <x:c r="E445" s="2" t="str">
        <x:v>2025-03-17</x:v>
      </x:c>
      <x:c r="F445" s="2" t="str">
        <x:v>Recent trend</x:v>
      </x:c>
      <x:c r="G445" s="2" t="n">
        <x:v>12</x:v>
      </x:c>
      <x:c r="H445" s="7" t="n">
        <x:v>0.6734451038191187</x:v>
      </x:c>
      <x:c r="I445" s="7" t="n">
        <x:v>0.5304726622459847</x:v>
      </x:c>
      <x:c r="J445" s="7" t="n">
        <x:v>6.022357461986805</x:v>
      </x:c>
      <x:c r="K445" s="7" t="n">
        <x:f>H445+I445*J445</x:f>
        <x:v>3.8681410996762304</x:v>
      </x:c>
      <x:c r="L445" s="7" t="n">
        <x:v>2</x:v>
      </x:c>
      <x:c r="M445" s="7" t="n">
        <x:f>K445-L445</x:f>
        <x:v>1.8681410996762304</x:v>
      </x:c>
      <x:c r="N445" s="7" t="n">
        <x:f>M445^2</x:f>
        <x:v>3.4899511682995157</x:v>
      </x:c>
      <x:c r="O445" s="7" t="n">
        <x:v>2</x:v>
      </x:c>
      <x:c r="P445" s="7" t="n">
        <x:v>1.5</x:v>
      </x:c>
      <x:c r="Q445" s="7" t="n">
        <x:v>6.189670705473538</x:v>
      </x:c>
      <x:c r="R445" s="7" t="n">
        <x:f>H445+I445*Q445</x:f>
        <x:v>3.9568962013776483</x:v>
      </x:c>
      <x:c r="S445" s="7" t="n">
        <x:f>R445-L445</x:f>
        <x:v>1.9568962013776483</x:v>
      </x:c>
      <x:c r="T445" s="7" t="n">
        <x:f>K445-R445</x:f>
        <x:v>-0.08875510170141787</x:v>
      </x:c>
      <x:c r="U445" s="7" t="n">
        <x:f>M445-S445-T445</x:f>
        <x:v>0</x:v>
      </x:c>
    </x:row>
    <x:row r="446" ht="27" customHeight="1">
      <x:c r="A446" s="2"/>
      <x:c r="B446" s="2" t="str">
        <x:v>Beauty | organic_sales_growth | RSHPCS</x:v>
      </x:c>
      <x:c r="C446" s="2" t="str">
        <x:v>2025-03-31</x:v>
      </x:c>
      <x:c r="D446" s="2" t="str">
        <x:v>Pre-earnings</x:v>
      </x:c>
      <x:c r="E446" s="2" t="str">
        <x:v>2025-04-23</x:v>
      </x:c>
      <x:c r="F446" s="2" t="str">
        <x:v>YoY carry</x:v>
      </x:c>
      <x:c r="G446" s="2" t="n">
        <x:v>16</x:v>
      </x:c>
      <x:c r="H446" s="7" t="n">
        <x:v>2.2149707533791574</x:v>
      </x:c>
      <x:c r="I446" s="7" t="n">
        <x:v>0.21951601562002576</x:v>
      </x:c>
      <x:c r="J446" s="7" t="n">
        <x:v>6.01973835207712</x:v>
      </x:c>
      <x:c r="K446" s="7" t="n">
        <x:f>H446+I446*J446</x:f>
        <x:v>3.5363997315021862</x:v>
      </x:c>
      <x:c r="L446" s="7" t="n">
        <x:v>2</x:v>
      </x:c>
      <x:c r="M446" s="7" t="n">
        <x:f>K446-L446</x:f>
        <x:v>1.5363997315021862</x:v>
      </x:c>
      <x:c r="N446" s="7" t="n">
        <x:f>M446^2</x:f>
        <x:v>2.36052413495999</x:v>
      </x:c>
      <x:c r="O446" s="7" t="n">
        <x:v>2</x:v>
      </x:c>
      <x:c r="P446" s="7" t="n">
        <x:v>1.5</x:v>
      </x:c>
      <x:c r="Q446" s="7" t="n">
        <x:v>6.01973835207712</x:v>
      </x:c>
      <x:c r="R446" s="7" t="n">
        <x:f>H446+I446*Q446</x:f>
        <x:v>3.5363997315021862</x:v>
      </x:c>
      <x:c r="S446" s="7" t="n">
        <x:f>R446-L446</x:f>
        <x:v>1.5363997315021862</x:v>
      </x:c>
      <x:c r="T446" s="7" t="n">
        <x:f>K446-R446</x:f>
        <x:v>0</x:v>
      </x:c>
      <x:c r="U446" s="7" t="n">
        <x:f>M446-S446-T446</x:f>
        <x:v>0</x:v>
      </x:c>
    </x:row>
    <x:row r="447" ht="27" customHeight="1">
      <x:c r="A447" s="2"/>
      <x:c r="B447" s="2" t="str">
        <x:v>Beauty | organic_sales_growth | RSHPCS</x:v>
      </x:c>
      <x:c r="C447" s="2" t="str">
        <x:v>2025-03-31</x:v>
      </x:c>
      <x:c r="D447" s="2" t="str">
        <x:v>Pre-earnings</x:v>
      </x:c>
      <x:c r="E447" s="2" t="str">
        <x:v>2025-04-23</x:v>
      </x:c>
      <x:c r="F447" s="2" t="str">
        <x:v>Flat level</x:v>
      </x:c>
      <x:c r="G447" s="2" t="n">
        <x:v>16</x:v>
      </x:c>
      <x:c r="H447" s="7" t="n">
        <x:v>2.2149707533791574</x:v>
      </x:c>
      <x:c r="I447" s="7" t="n">
        <x:v>0.21951601562002576</x:v>
      </x:c>
      <x:c r="J447" s="7" t="n">
        <x:v>6.01973835207712</x:v>
      </x:c>
      <x:c r="K447" s="7" t="n">
        <x:f>H447+I447*J447</x:f>
        <x:v>3.5363997315021862</x:v>
      </x:c>
      <x:c r="L447" s="7" t="n">
        <x:v>2</x:v>
      </x:c>
      <x:c r="M447" s="7" t="n">
        <x:f>K447-L447</x:f>
        <x:v>1.5363997315021862</x:v>
      </x:c>
      <x:c r="N447" s="7" t="n">
        <x:f>M447^2</x:f>
        <x:v>2.36052413495999</x:v>
      </x:c>
      <x:c r="O447" s="7" t="n">
        <x:v>2</x:v>
      </x:c>
      <x:c r="P447" s="7" t="n">
        <x:v>1.5</x:v>
      </x:c>
      <x:c r="Q447" s="7" t="n">
        <x:v>6.01973835207712</x:v>
      </x:c>
      <x:c r="R447" s="7" t="n">
        <x:f>H447+I447*Q447</x:f>
        <x:v>3.5363997315021862</x:v>
      </x:c>
      <x:c r="S447" s="7" t="n">
        <x:f>R447-L447</x:f>
        <x:v>1.5363997315021862</x:v>
      </x:c>
      <x:c r="T447" s="7" t="n">
        <x:f>K447-R447</x:f>
        <x:v>0</x:v>
      </x:c>
      <x:c r="U447" s="7" t="n">
        <x:f>M447-S447-T447</x:f>
        <x:v>0</x:v>
      </x:c>
    </x:row>
    <x:row r="448" ht="27" customHeight="1">
      <x:c r="A448" s="2"/>
      <x:c r="B448" s="2" t="str">
        <x:v>Beauty | organic_sales_growth | RSHPCS</x:v>
      </x:c>
      <x:c r="C448" s="2" t="str">
        <x:v>2025-03-31</x:v>
      </x:c>
      <x:c r="D448" s="2" t="str">
        <x:v>Pre-earnings</x:v>
      </x:c>
      <x:c r="E448" s="2" t="str">
        <x:v>2025-04-23</x:v>
      </x:c>
      <x:c r="F448" s="2" t="str">
        <x:v>Recent trend</x:v>
      </x:c>
      <x:c r="G448" s="2" t="n">
        <x:v>16</x:v>
      </x:c>
      <x:c r="H448" s="7" t="n">
        <x:v>2.2149707533791574</x:v>
      </x:c>
      <x:c r="I448" s="7" t="n">
        <x:v>0.21951601562002576</x:v>
      </x:c>
      <x:c r="J448" s="7" t="n">
        <x:v>6.01973835207712</x:v>
      </x:c>
      <x:c r="K448" s="7" t="n">
        <x:f>H448+I448*J448</x:f>
        <x:v>3.5363997315021862</x:v>
      </x:c>
      <x:c r="L448" s="7" t="n">
        <x:v>2</x:v>
      </x:c>
      <x:c r="M448" s="7" t="n">
        <x:f>K448-L448</x:f>
        <x:v>1.5363997315021862</x:v>
      </x:c>
      <x:c r="N448" s="7" t="n">
        <x:f>M448^2</x:f>
        <x:v>2.36052413495999</x:v>
      </x:c>
      <x:c r="O448" s="7" t="n">
        <x:v>2</x:v>
      </x:c>
      <x:c r="P448" s="7" t="n">
        <x:v>1.5</x:v>
      </x:c>
      <x:c r="Q448" s="7" t="n">
        <x:v>6.01973835207712</x:v>
      </x:c>
      <x:c r="R448" s="7" t="n">
        <x:f>H448+I448*Q448</x:f>
        <x:v>3.5363997315021862</x:v>
      </x:c>
      <x:c r="S448" s="7" t="n">
        <x:f>R448-L448</x:f>
        <x:v>1.5363997315021862</x:v>
      </x:c>
      <x:c r="T448" s="7" t="n">
        <x:f>K448-R448</x:f>
        <x:v>0</x:v>
      </x:c>
      <x:c r="U448" s="7" t="n">
        <x:f>M448-S448-T448</x:f>
        <x:v>0</x:v>
      </x:c>
    </x:row>
    <x:row r="449" ht="27" customHeight="1">
      <x:c r="A449" s="2"/>
      <x:c r="B449" s="2" t="str">
        <x:v>Beauty | organic_sales_growth | RSHPCS</x:v>
      </x:c>
      <x:c r="C449" s="2" t="str">
        <x:v>2025-06-30</x:v>
      </x:c>
      <x:c r="D449" s="2" t="str">
        <x:v>Origin</x:v>
      </x:c>
      <x:c r="E449" s="2" t="str">
        <x:v>2025-04-01</x:v>
      </x:c>
      <x:c r="F449" s="2" t="str">
        <x:v>YoY carry</x:v>
      </x:c>
      <x:c r="G449" s="2" t="n">
        <x:v>16</x:v>
      </x:c>
      <x:c r="H449" s="7" t="n">
        <x:v>2.2203419762536214</x:v>
      </x:c>
      <x:c r="I449" s="7" t="n">
        <x:v>0.2189494013543564</x:v>
      </x:c>
      <x:c r="J449" s="7" t="n">
        <x:v>5.267727303523273</x:v>
      </x:c>
      <x:c r="K449" s="7" t="n">
        <x:f>H449+I449*J449</x:f>
        <x:v>3.37370771585804</x:v>
      </x:c>
      <x:c r="L449" s="7" t="n">
        <x:v>1</x:v>
      </x:c>
      <x:c r="M449" s="7" t="n">
        <x:f>K449-L449</x:f>
        <x:v>2.37370771585804</x:v>
      </x:c>
      <x:c r="N449" s="7" t="n">
        <x:f>M449^2</x:f>
        <x:v>5.634488320323993</x:v>
      </x:c>
      <x:c r="O449" s="7" t="n">
        <x:v>2</x:v>
      </x:c>
      <x:c r="P449" s="7" t="n">
        <x:v>1.5</x:v>
      </x:c>
      <x:c r="Q449" s="7" t="n">
        <x:v>6.3967109401350974</x:v>
      </x:c>
      <x:c r="R449" s="7" t="n">
        <x:f>H449+I449*Q449</x:f>
        <x:v>3.6208980072330634</x:v>
      </x:c>
      <x:c r="S449" s="7" t="n">
        <x:f>R449-L449</x:f>
        <x:v>2.6208980072330634</x:v>
      </x:c>
      <x:c r="T449" s="7" t="n">
        <x:f>K449-R449</x:f>
        <x:v>-0.24719029137502346</x:v>
      </x:c>
      <x:c r="U449" s="7" t="n">
        <x:f>M449-S449-T449</x:f>
        <x:v>0</x:v>
      </x:c>
    </x:row>
    <x:row r="450" ht="27" customHeight="1">
      <x:c r="A450" s="2"/>
      <x:c r="B450" s="2" t="str">
        <x:v>Beauty | organic_sales_growth | RSHPCS</x:v>
      </x:c>
      <x:c r="C450" s="2" t="str">
        <x:v>2025-06-30</x:v>
      </x:c>
      <x:c r="D450" s="2" t="str">
        <x:v>Origin</x:v>
      </x:c>
      <x:c r="E450" s="2" t="str">
        <x:v>2025-04-01</x:v>
      </x:c>
      <x:c r="F450" s="2" t="str">
        <x:v>Flat level</x:v>
      </x:c>
      <x:c r="G450" s="2" t="n">
        <x:v>16</x:v>
      </x:c>
      <x:c r="H450" s="7" t="n">
        <x:v>2.2203419762536214</x:v>
      </x:c>
      <x:c r="I450" s="7" t="n">
        <x:v>0.2189494013543564</x:v>
      </x:c>
      <x:c r="J450" s="7" t="n">
        <x:v>5.637346509020302</x:v>
      </x:c>
      <x:c r="K450" s="7" t="n">
        <x:f>H450+I450*J450</x:f>
        <x:v>3.4546356196306878</x:v>
      </x:c>
      <x:c r="L450" s="7" t="n">
        <x:v>1</x:v>
      </x:c>
      <x:c r="M450" s="7" t="n">
        <x:f>K450-L450</x:f>
        <x:v>2.4546356196306878</x:v>
      </x:c>
      <x:c r="N450" s="7" t="n">
        <x:f>M450^2</x:f>
        <x:v>6.025236025159731</x:v>
      </x:c>
      <x:c r="O450" s="7" t="n">
        <x:v>2</x:v>
      </x:c>
      <x:c r="P450" s="7" t="n">
        <x:v>1.5</x:v>
      </x:c>
      <x:c r="Q450" s="7" t="n">
        <x:v>6.3967109401350974</x:v>
      </x:c>
      <x:c r="R450" s="7" t="n">
        <x:f>H450+I450*Q450</x:f>
        <x:v>3.6208980072330634</x:v>
      </x:c>
      <x:c r="S450" s="7" t="n">
        <x:f>R450-L450</x:f>
        <x:v>2.6208980072330634</x:v>
      </x:c>
      <x:c r="T450" s="7" t="n">
        <x:f>K450-R450</x:f>
        <x:v>-0.16626238760237566</x:v>
      </x:c>
      <x:c r="U450" s="7" t="n">
        <x:f>M450-S450-T450</x:f>
        <x:v>0</x:v>
      </x:c>
    </x:row>
    <x:row r="451" ht="27" customHeight="1">
      <x:c r="A451" s="2"/>
      <x:c r="B451" s="2" t="str">
        <x:v>Beauty | organic_sales_growth | RSHPCS</x:v>
      </x:c>
      <x:c r="C451" s="2" t="str">
        <x:v>2025-06-30</x:v>
      </x:c>
      <x:c r="D451" s="2" t="str">
        <x:v>Origin</x:v>
      </x:c>
      <x:c r="E451" s="2" t="str">
        <x:v>2025-04-01</x:v>
      </x:c>
      <x:c r="F451" s="2" t="str">
        <x:v>Recent trend</x:v>
      </x:c>
      <x:c r="G451" s="2" t="n">
        <x:v>16</x:v>
      </x:c>
      <x:c r="H451" s="7" t="n">
        <x:v>2.2203419762536214</x:v>
      </x:c>
      <x:c r="I451" s="7" t="n">
        <x:v>0.2189494013543564</x:v>
      </x:c>
      <x:c r="J451" s="7" t="n">
        <x:v>6.556241282806274</x:v>
      </x:c>
      <x:c r="K451" s="7" t="n">
        <x:f>H451+I451*J451</x:f>
        <x:v>3.6558270802587725</x:v>
      </x:c>
      <x:c r="L451" s="7" t="n">
        <x:v>1</x:v>
      </x:c>
      <x:c r="M451" s="7" t="n">
        <x:f>K451-L451</x:f>
        <x:v>2.6558270802587725</x:v>
      </x:c>
      <x:c r="N451" s="7" t="n">
        <x:f>M451^2</x:f>
        <x:v>7.0534174802358365</x:v>
      </x:c>
      <x:c r="O451" s="7" t="n">
        <x:v>2</x:v>
      </x:c>
      <x:c r="P451" s="7" t="n">
        <x:v>1.5</x:v>
      </x:c>
      <x:c r="Q451" s="7" t="n">
        <x:v>6.3967109401350974</x:v>
      </x:c>
      <x:c r="R451" s="7" t="n">
        <x:f>H451+I451*Q451</x:f>
        <x:v>3.6208980072330634</x:v>
      </x:c>
      <x:c r="S451" s="7" t="n">
        <x:f>R451-L451</x:f>
        <x:v>2.6208980072330634</x:v>
      </x:c>
      <x:c r="T451" s="7" t="n">
        <x:f>K451-R451</x:f>
        <x:v>0.03492907302570902</x:v>
      </x:c>
      <x:c r="U451" s="7" t="n">
        <x:f>M451-S451-T451</x:f>
        <x:v>0</x:v>
      </x:c>
    </x:row>
    <x:row r="452" ht="27" customHeight="1">
      <x:c r="A452" s="2"/>
      <x:c r="B452" s="2" t="str">
        <x:v>Beauty | organic_sales_growth | RSHPCS</x:v>
      </x:c>
      <x:c r="C452" s="2" t="str">
        <x:v>2025-06-30</x:v>
      </x:c>
      <x:c r="D452" s="2" t="str">
        <x:v>One month</x:v>
      </x:c>
      <x:c r="E452" s="2" t="str">
        <x:v>2025-05-15</x:v>
      </x:c>
      <x:c r="F452" s="2" t="str">
        <x:v>YoY carry</x:v>
      </x:c>
      <x:c r="G452" s="2" t="n">
        <x:v>13</x:v>
      </x:c>
      <x:c r="H452" s="7" t="n">
        <x:v>1.4703954323021362</x:v>
      </x:c>
      <x:c r="I452" s="7" t="n">
        <x:v>0.3281501422019703</x:v>
      </x:c>
      <x:c r="J452" s="7" t="n">
        <x:v>8.559001372752363</x:v>
      </x:c>
      <x:c r="K452" s="7" t="n">
        <x:f>H452+I452*J452</x:f>
        <x:v>4.279032949877683</x:v>
      </x:c>
      <x:c r="L452" s="7" t="n">
        <x:v>1</x:v>
      </x:c>
      <x:c r="M452" s="7" t="n">
        <x:f>K452-L452</x:f>
        <x:v>3.279032949877683</x:v>
      </x:c>
      <x:c r="N452" s="7" t="n">
        <x:f>M452^2</x:f>
        <x:v>10.752057086383541</x:v>
      </x:c>
      <x:c r="O452" s="7" t="n">
        <x:v>2</x:v>
      </x:c>
      <x:c r="P452" s="7" t="n">
        <x:v>1.25</x:v>
      </x:c>
      <x:c r="Q452" s="7" t="n">
        <x:v>8.1666697558896</x:v>
      </x:c>
      <x:c r="R452" s="7" t="n">
        <x:f>H452+I452*Q452</x:f>
        <x:v>4.150289274013838</x:v>
      </x:c>
      <x:c r="S452" s="7" t="n">
        <x:f>R452-L452</x:f>
        <x:v>3.150289274013838</x:v>
      </x:c>
      <x:c r="T452" s="7" t="n">
        <x:f>K452-R452</x:f>
        <x:v>0.12874367586384494</x:v>
      </x:c>
      <x:c r="U452" s="7" t="n">
        <x:f>M452-S452-T452</x:f>
        <x:v>0</x:v>
      </x:c>
    </x:row>
    <x:row r="453" ht="27" customHeight="1">
      <x:c r="A453" s="2"/>
      <x:c r="B453" s="2" t="str">
        <x:v>Beauty | organic_sales_growth | RSHPCS</x:v>
      </x:c>
      <x:c r="C453" s="2" t="str">
        <x:v>2025-06-30</x:v>
      </x:c>
      <x:c r="D453" s="2" t="str">
        <x:v>One month</x:v>
      </x:c>
      <x:c r="E453" s="2" t="str">
        <x:v>2025-05-15</x:v>
      </x:c>
      <x:c r="F453" s="2" t="str">
        <x:v>Flat level</x:v>
      </x:c>
      <x:c r="G453" s="2" t="n">
        <x:v>13</x:v>
      </x:c>
      <x:c r="H453" s="7" t="n">
        <x:v>1.4703954323021362</x:v>
      </x:c>
      <x:c r="I453" s="7" t="n">
        <x:v>0.3281501422019703</x:v>
      </x:c>
      <x:c r="J453" s="7" t="n">
        <x:v>8.075846601545855</x:v>
      </x:c>
      <x:c r="K453" s="7" t="n">
        <x:f>H453+I453*J453</x:f>
        <x:v>4.120485643000707</x:v>
      </x:c>
      <x:c r="L453" s="7" t="n">
        <x:v>1</x:v>
      </x:c>
      <x:c r="M453" s="7" t="n">
        <x:f>K453-L453</x:f>
        <x:v>3.1204856430007073</x:v>
      </x:c>
      <x:c r="N453" s="7" t="n">
        <x:f>M453^2</x:f>
        <x:v>9.737430648173538</x:v>
      </x:c>
      <x:c r="O453" s="7" t="n">
        <x:v>2</x:v>
      </x:c>
      <x:c r="P453" s="7" t="n">
        <x:v>1.25</x:v>
      </x:c>
      <x:c r="Q453" s="7" t="n">
        <x:v>8.1666697558896</x:v>
      </x:c>
      <x:c r="R453" s="7" t="n">
        <x:f>H453+I453*Q453</x:f>
        <x:v>4.150289274013838</x:v>
      </x:c>
      <x:c r="S453" s="7" t="n">
        <x:f>R453-L453</x:f>
        <x:v>3.150289274013838</x:v>
      </x:c>
      <x:c r="T453" s="7" t="n">
        <x:f>K453-R453</x:f>
        <x:v>-0.029803631013130882</x:v>
      </x:c>
      <x:c r="U453" s="7" t="n">
        <x:f>M453-S453-T453</x:f>
        <x:v>0</x:v>
      </x:c>
    </x:row>
    <x:row r="454" ht="27" customHeight="1">
      <x:c r="A454" s="2"/>
      <x:c r="B454" s="2" t="str">
        <x:v>Beauty | organic_sales_growth | RSHPCS</x:v>
      </x:c>
      <x:c r="C454" s="2" t="str">
        <x:v>2025-06-30</x:v>
      </x:c>
      <x:c r="D454" s="2" t="str">
        <x:v>One month</x:v>
      </x:c>
      <x:c r="E454" s="2" t="str">
        <x:v>2025-05-15</x:v>
      </x:c>
      <x:c r="F454" s="2" t="str">
        <x:v>Recent trend</x:v>
      </x:c>
      <x:c r="G454" s="2" t="n">
        <x:v>13</x:v>
      </x:c>
      <x:c r="H454" s="7" t="n">
        <x:v>1.4703954323021362</x:v>
      </x:c>
      <x:c r="I454" s="7" t="n">
        <x:v>0.3281501422019703</x:v>
      </x:c>
      <x:c r="J454" s="7" t="n">
        <x:v>8.495671998665454</x:v>
      </x:c>
      <x:c r="K454" s="7" t="n">
        <x:f>H454+I454*J454</x:f>
        <x:v>4.258251406765503</x:v>
      </x:c>
      <x:c r="L454" s="7" t="n">
        <x:v>1</x:v>
      </x:c>
      <x:c r="M454" s="7" t="n">
        <x:f>K454-L454</x:f>
        <x:v>3.2582514067655026</x:v>
      </x:c>
      <x:c r="N454" s="7" t="n">
        <x:f>M454^2</x:f>
        <x:v>10.616202229689376</x:v>
      </x:c>
      <x:c r="O454" s="7" t="n">
        <x:v>2</x:v>
      </x:c>
      <x:c r="P454" s="7" t="n">
        <x:v>1.25</x:v>
      </x:c>
      <x:c r="Q454" s="7" t="n">
        <x:v>8.1666697558896</x:v>
      </x:c>
      <x:c r="R454" s="7" t="n">
        <x:f>H454+I454*Q454</x:f>
        <x:v>4.150289274013838</x:v>
      </x:c>
      <x:c r="S454" s="7" t="n">
        <x:f>R454-L454</x:f>
        <x:v>3.150289274013838</x:v>
      </x:c>
      <x:c r="T454" s="7" t="n">
        <x:f>K454-R454</x:f>
        <x:v>0.10796213275166444</x:v>
      </x:c>
      <x:c r="U454" s="7" t="n">
        <x:f>M454-S454-T454</x:f>
        <x:v>0</x:v>
      </x:c>
    </x:row>
    <x:row r="455" ht="27" customHeight="1">
      <x:c r="A455" s="2"/>
      <x:c r="B455" s="2" t="str">
        <x:v>Beauty | organic_sales_growth | RSHPCS</x:v>
      </x:c>
      <x:c r="C455" s="2" t="str">
        <x:v>2025-06-30</x:v>
      </x:c>
      <x:c r="D455" s="2" t="str">
        <x:v>Two months</x:v>
      </x:c>
      <x:c r="E455" s="2" t="str">
        <x:v>2025-06-17</x:v>
      </x:c>
      <x:c r="F455" s="2" t="str">
        <x:v>YoY carry</x:v>
      </x:c>
      <x:c r="G455" s="2" t="n">
        <x:v>13</x:v>
      </x:c>
      <x:c r="H455" s="7" t="n">
        <x:v>1.4751281114696664</x:v>
      </x:c>
      <x:c r="I455" s="7" t="n">
        <x:v>0.3271016981943543</x:v>
      </x:c>
      <x:c r="J455" s="7" t="n">
        <x:v>8.295530505524983</x:v>
      </x:c>
      <x:c r="K455" s="7" t="n">
        <x:f>H455+I455*J455</x:f>
        <x:v>4.188610227249959</x:v>
      </x:c>
      <x:c r="L455" s="7" t="n">
        <x:v>1</x:v>
      </x:c>
      <x:c r="M455" s="7" t="n">
        <x:f>K455-L455</x:f>
        <x:v>3.188610227249959</x:v>
      </x:c>
      <x:c r="N455" s="7" t="n">
        <x:f>M455^2</x:f>
        <x:v>10.167235181323035</x:v>
      </x:c>
      <x:c r="O455" s="7" t="n">
        <x:v>2</x:v>
      </x:c>
      <x:c r="P455" s="7" t="n">
        <x:v>1.25</x:v>
      </x:c>
      <x:c r="Q455" s="7" t="n">
        <x:v>8.149136708649586</x:v>
      </x:c>
      <x:c r="R455" s="7" t="n">
        <x:f>H455+I455*Q455</x:f>
        <x:v>4.140724567686897</x:v>
      </x:c>
      <x:c r="S455" s="7" t="n">
        <x:f>R455-L455</x:f>
        <x:v>3.140724567686897</x:v>
      </x:c>
      <x:c r="T455" s="7" t="n">
        <x:f>K455-R455</x:f>
        <x:v>0.0478856595630619</x:v>
      </x:c>
      <x:c r="U455" s="7" t="n">
        <x:f>M455-S455-T455</x:f>
        <x:v>0</x:v>
      </x:c>
    </x:row>
    <x:row r="456" ht="27" customHeight="1">
      <x:c r="A456" s="2"/>
      <x:c r="B456" s="2" t="str">
        <x:v>Beauty | organic_sales_growth | RSHPCS</x:v>
      </x:c>
      <x:c r="C456" s="2" t="str">
        <x:v>2025-06-30</x:v>
      </x:c>
      <x:c r="D456" s="2" t="str">
        <x:v>Two months</x:v>
      </x:c>
      <x:c r="E456" s="2" t="str">
        <x:v>2025-06-17</x:v>
      </x:c>
      <x:c r="F456" s="2" t="str">
        <x:v>Flat level</x:v>
      </x:c>
      <x:c r="G456" s="2" t="n">
        <x:v>13</x:v>
      </x:c>
      <x:c r="H456" s="7" t="n">
        <x:v>1.4751281114696664</x:v>
      </x:c>
      <x:c r="I456" s="7" t="n">
        <x:v>0.3271016981943543</x:v>
      </x:c>
      <x:c r="J456" s="7" t="n">
        <x:v>7.937831901465242</x:v>
      </x:c>
      <x:c r="K456" s="7" t="n">
        <x:f>H456+I456*J456</x:f>
        <x:v>4.071606406420267</x:v>
      </x:c>
      <x:c r="L456" s="7" t="n">
        <x:v>1</x:v>
      </x:c>
      <x:c r="M456" s="7" t="n">
        <x:f>K456-L456</x:f>
        <x:v>3.0716064064202673</x:v>
      </x:c>
      <x:c r="N456" s="7" t="n">
        <x:f>M456^2</x:f>
        <x:v>9.434765915962029</x:v>
      </x:c>
      <x:c r="O456" s="7" t="n">
        <x:v>2</x:v>
      </x:c>
      <x:c r="P456" s="7" t="n">
        <x:v>1.25</x:v>
      </x:c>
      <x:c r="Q456" s="7" t="n">
        <x:v>8.149136708649586</x:v>
      </x:c>
      <x:c r="R456" s="7" t="n">
        <x:f>H456+I456*Q456</x:f>
        <x:v>4.140724567686897</x:v>
      </x:c>
      <x:c r="S456" s="7" t="n">
        <x:f>R456-L456</x:f>
        <x:v>3.140724567686897</x:v>
      </x:c>
      <x:c r="T456" s="7" t="n">
        <x:f>K456-R456</x:f>
        <x:v>-0.06911816126662984</x:v>
      </x:c>
      <x:c r="U456" s="7" t="n">
        <x:f>M456-S456-T456</x:f>
        <x:v>0</x:v>
      </x:c>
    </x:row>
    <x:row r="457" ht="27" customHeight="1">
      <x:c r="A457" s="2"/>
      <x:c r="B457" s="2" t="str">
        <x:v>Beauty | organic_sales_growth | RSHPCS</x:v>
      </x:c>
      <x:c r="C457" s="2" t="str">
        <x:v>2025-06-30</x:v>
      </x:c>
      <x:c r="D457" s="2" t="str">
        <x:v>Two months</x:v>
      </x:c>
      <x:c r="E457" s="2" t="str">
        <x:v>2025-06-17</x:v>
      </x:c>
      <x:c r="F457" s="2" t="str">
        <x:v>Recent trend</x:v>
      </x:c>
      <x:c r="G457" s="2" t="n">
        <x:v>13</x:v>
      </x:c>
      <x:c r="H457" s="7" t="n">
        <x:v>1.4751281114696664</x:v>
      </x:c>
      <x:c r="I457" s="7" t="n">
        <x:v>0.3271016981943543</x:v>
      </x:c>
      <x:c r="J457" s="7" t="n">
        <x:v>7.853958721420562</x:v>
      </x:c>
      <x:c r="K457" s="7" t="n">
        <x:f>H457+I457*J457</x:f>
        <x:v>4.044171346794692</x:v>
      </x:c>
      <x:c r="L457" s="7" t="n">
        <x:v>1</x:v>
      </x:c>
      <x:c r="M457" s="7" t="n">
        <x:f>K457-L457</x:f>
        <x:v>3.044171346794692</x:v>
      </x:c>
      <x:c r="N457" s="7" t="n">
        <x:f>M457^2</x:f>
        <x:v>9.26697918864581</x:v>
      </x:c>
      <x:c r="O457" s="7" t="n">
        <x:v>2</x:v>
      </x:c>
      <x:c r="P457" s="7" t="n">
        <x:v>1.25</x:v>
      </x:c>
      <x:c r="Q457" s="7" t="n">
        <x:v>8.149136708649586</x:v>
      </x:c>
      <x:c r="R457" s="7" t="n">
        <x:f>H457+I457*Q457</x:f>
        <x:v>4.140724567686897</x:v>
      </x:c>
      <x:c r="S457" s="7" t="n">
        <x:f>R457-L457</x:f>
        <x:v>3.140724567686897</x:v>
      </x:c>
      <x:c r="T457" s="7" t="n">
        <x:f>K457-R457</x:f>
        <x:v>-0.09655322089220508</x:v>
      </x:c>
      <x:c r="U457" s="7" t="n">
        <x:f>M457-S457-T457</x:f>
        <x:v>0</x:v>
      </x:c>
    </x:row>
    <x:row r="458" ht="27" customHeight="1">
      <x:c r="A458" s="2"/>
      <x:c r="B458" s="2" t="str">
        <x:v>Beauty | organic_sales_growth | RSHPCS</x:v>
      </x:c>
      <x:c r="C458" s="2" t="str">
        <x:v>2025-06-30</x:v>
      </x:c>
      <x:c r="D458" s="2" t="str">
        <x:v>Pre-earnings</x:v>
      </x:c>
      <x:c r="E458" s="2" t="str">
        <x:v>2025-07-28</x:v>
      </x:c>
      <x:c r="F458" s="2" t="str">
        <x:v>YoY carry</x:v>
      </x:c>
      <x:c r="G458" s="2" t="n">
        <x:v>17</x:v>
      </x:c>
      <x:c r="H458" s="7" t="n">
        <x:v>2.3830616924940227</x:v>
      </x:c>
      <x:c r="I458" s="7" t="n">
        <x:v>0.17256700553599075</x:v>
      </x:c>
      <x:c r="J458" s="7" t="n">
        <x:v>8.247422680412363</x:v>
      </x:c>
      <x:c r="K458" s="7" t="n">
        <x:f>H458+I458*J458</x:f>
        <x:v>3.8062947278423986</x:v>
      </x:c>
      <x:c r="L458" s="7" t="n">
        <x:v>1</x:v>
      </x:c>
      <x:c r="M458" s="7" t="n">
        <x:f>K458-L458</x:f>
        <x:v>2.8062947278423986</x:v>
      </x:c>
      <x:c r="N458" s="7" t="n">
        <x:f>M458^2</x:f>
        <x:v>7.875290099516042</x:v>
      </x:c>
      <x:c r="O458" s="7" t="n">
        <x:v>2</x:v>
      </x:c>
      <x:c r="P458" s="7" t="n">
        <x:v>1.25</x:v>
      </x:c>
      <x:c r="Q458" s="7" t="n">
        <x:v>8.247422680412363</x:v>
      </x:c>
      <x:c r="R458" s="7" t="n">
        <x:f>H458+I458*Q458</x:f>
        <x:v>3.8062947278423986</x:v>
      </x:c>
      <x:c r="S458" s="7" t="n">
        <x:f>R458-L458</x:f>
        <x:v>2.8062947278423986</x:v>
      </x:c>
      <x:c r="T458" s="7" t="n">
        <x:f>K458-R458</x:f>
        <x:v>0</x:v>
      </x:c>
      <x:c r="U458" s="7" t="n">
        <x:f>M458-S458-T458</x:f>
        <x:v>0</x:v>
      </x:c>
    </x:row>
    <x:row r="459" ht="27" customHeight="1">
      <x:c r="A459" s="2"/>
      <x:c r="B459" s="2" t="str">
        <x:v>Beauty | organic_sales_growth | RSHPCS</x:v>
      </x:c>
      <x:c r="C459" s="2" t="str">
        <x:v>2025-06-30</x:v>
      </x:c>
      <x:c r="D459" s="2" t="str">
        <x:v>Pre-earnings</x:v>
      </x:c>
      <x:c r="E459" s="2" t="str">
        <x:v>2025-07-28</x:v>
      </x:c>
      <x:c r="F459" s="2" t="str">
        <x:v>Flat level</x:v>
      </x:c>
      <x:c r="G459" s="2" t="n">
        <x:v>17</x:v>
      </x:c>
      <x:c r="H459" s="7" t="n">
        <x:v>2.3830616924940227</x:v>
      </x:c>
      <x:c r="I459" s="7" t="n">
        <x:v>0.17256700553599075</x:v>
      </x:c>
      <x:c r="J459" s="7" t="n">
        <x:v>8.247422680412363</x:v>
      </x:c>
      <x:c r="K459" s="7" t="n">
        <x:f>H459+I459*J459</x:f>
        <x:v>3.8062947278423986</x:v>
      </x:c>
      <x:c r="L459" s="7" t="n">
        <x:v>1</x:v>
      </x:c>
      <x:c r="M459" s="7" t="n">
        <x:f>K459-L459</x:f>
        <x:v>2.8062947278423986</x:v>
      </x:c>
      <x:c r="N459" s="7" t="n">
        <x:f>M459^2</x:f>
        <x:v>7.875290099516042</x:v>
      </x:c>
      <x:c r="O459" s="7" t="n">
        <x:v>2</x:v>
      </x:c>
      <x:c r="P459" s="7" t="n">
        <x:v>1.25</x:v>
      </x:c>
      <x:c r="Q459" s="7" t="n">
        <x:v>8.247422680412363</x:v>
      </x:c>
      <x:c r="R459" s="7" t="n">
        <x:f>H459+I459*Q459</x:f>
        <x:v>3.8062947278423986</x:v>
      </x:c>
      <x:c r="S459" s="7" t="n">
        <x:f>R459-L459</x:f>
        <x:v>2.8062947278423986</x:v>
      </x:c>
      <x:c r="T459" s="7" t="n">
        <x:f>K459-R459</x:f>
        <x:v>0</x:v>
      </x:c>
      <x:c r="U459" s="7" t="n">
        <x:f>M459-S459-T459</x:f>
        <x:v>0</x:v>
      </x:c>
    </x:row>
    <x:row r="460" ht="27" customHeight="1">
      <x:c r="A460" s="2"/>
      <x:c r="B460" s="2" t="str">
        <x:v>Beauty | organic_sales_growth | RSHPCS</x:v>
      </x:c>
      <x:c r="C460" s="2" t="str">
        <x:v>2025-06-30</x:v>
      </x:c>
      <x:c r="D460" s="2" t="str">
        <x:v>Pre-earnings</x:v>
      </x:c>
      <x:c r="E460" s="2" t="str">
        <x:v>2025-07-28</x:v>
      </x:c>
      <x:c r="F460" s="2" t="str">
        <x:v>Recent trend</x:v>
      </x:c>
      <x:c r="G460" s="2" t="n">
        <x:v>17</x:v>
      </x:c>
      <x:c r="H460" s="7" t="n">
        <x:v>2.3830616924940227</x:v>
      </x:c>
      <x:c r="I460" s="7" t="n">
        <x:v>0.17256700553599075</x:v>
      </x:c>
      <x:c r="J460" s="7" t="n">
        <x:v>8.247422680412363</x:v>
      </x:c>
      <x:c r="K460" s="7" t="n">
        <x:f>H460+I460*J460</x:f>
        <x:v>3.8062947278423986</x:v>
      </x:c>
      <x:c r="L460" s="7" t="n">
        <x:v>1</x:v>
      </x:c>
      <x:c r="M460" s="7" t="n">
        <x:f>K460-L460</x:f>
        <x:v>2.8062947278423986</x:v>
      </x:c>
      <x:c r="N460" s="7" t="n">
        <x:f>M460^2</x:f>
        <x:v>7.875290099516042</x:v>
      </x:c>
      <x:c r="O460" s="7" t="n">
        <x:v>2</x:v>
      </x:c>
      <x:c r="P460" s="7" t="n">
        <x:v>1.25</x:v>
      </x:c>
      <x:c r="Q460" s="7" t="n">
        <x:v>8.247422680412363</x:v>
      </x:c>
      <x:c r="R460" s="7" t="n">
        <x:f>H460+I460*Q460</x:f>
        <x:v>3.8062947278423986</x:v>
      </x:c>
      <x:c r="S460" s="7" t="n">
        <x:f>R460-L460</x:f>
        <x:v>2.8062947278423986</x:v>
      </x:c>
      <x:c r="T460" s="7" t="n">
        <x:f>K460-R460</x:f>
        <x:v>0</x:v>
      </x:c>
      <x:c r="U460" s="7" t="n">
        <x:f>M460-S460-T460</x:f>
        <x:v>0</x:v>
      </x:c>
    </x:row>
    <x:row r="461" ht="27" customHeight="1">
      <x:c r="A461" s="2"/>
      <x:c r="B461" s="2" t="str">
        <x:v>Beauty | organic_sales_growth | RSHPCS</x:v>
      </x:c>
      <x:c r="C461" s="2" t="str">
        <x:v>2025-09-30</x:v>
      </x:c>
      <x:c r="D461" s="2" t="str">
        <x:v>Origin</x:v>
      </x:c>
      <x:c r="E461" s="2" t="str">
        <x:v>2025-07-01</x:v>
      </x:c>
      <x:c r="F461" s="2" t="str">
        <x:v>YoY carry</x:v>
      </x:c>
      <x:c r="G461" s="2" t="n">
        <x:v>17</x:v>
      </x:c>
      <x:c r="H461" s="7" t="n">
        <x:v>2.381476192237818</x:v>
      </x:c>
      <x:c r="I461" s="7" t="n">
        <x:v>0.17276281378110395</x:v>
      </x:c>
      <x:c r="J461" s="7" t="n">
        <x:v>8.582796428221396</x:v>
      </x:c>
      <x:c r="K461" s="7" t="n">
        <x:f>H461+I461*J461</x:f>
        <x:v>3.8642642532877547</x:v>
      </x:c>
      <x:c r="L461" s="7" t="n">
        <x:v>6</x:v>
      </x:c>
      <x:c r="M461" s="7" t="n">
        <x:f>K461-L461</x:f>
        <x:v>-2.1357357467122453</x:v>
      </x:c>
      <x:c r="N461" s="7" t="n">
        <x:f>M461^2</x:f>
        <x:v>4.561367179784512</x:v>
      </x:c>
      <x:c r="O461" s="7" t="n">
        <x:v>2</x:v>
      </x:c>
      <x:c r="P461" s="7" t="n">
        <x:v>1.25</x:v>
      </x:c>
      <x:c r="Q461" s="7" t="n">
        <x:v>5.199283946717204</x:v>
      </x:c>
      <x:c r="R461" s="7" t="n">
        <x:f>H461+I461*Q461</x:f>
        <x:v>3.279719116519605</x:v>
      </x:c>
      <x:c r="S461" s="7" t="n">
        <x:f>R461-L461</x:f>
        <x:v>-2.720280883480395</x:v>
      </x:c>
      <x:c r="T461" s="7" t="n">
        <x:f>K461-R461</x:f>
        <x:v>0.5845451367681496</x:v>
      </x:c>
      <x:c r="U461" s="7" t="n">
        <x:f>M461-S461-T461</x:f>
        <x:v>0</x:v>
      </x:c>
    </x:row>
    <x:row r="462" ht="27" customHeight="1">
      <x:c r="A462" s="2"/>
      <x:c r="B462" s="2" t="str">
        <x:v>Beauty | organic_sales_growth | RSHPCS</x:v>
      </x:c>
      <x:c r="C462" s="2" t="str">
        <x:v>2025-09-30</x:v>
      </x:c>
      <x:c r="D462" s="2" t="str">
        <x:v>Origin</x:v>
      </x:c>
      <x:c r="E462" s="2" t="str">
        <x:v>2025-07-01</x:v>
      </x:c>
      <x:c r="F462" s="2" t="str">
        <x:v>Flat level</x:v>
      </x:c>
      <x:c r="G462" s="2" t="n">
        <x:v>17</x:v>
      </x:c>
      <x:c r="H462" s="7" t="n">
        <x:v>2.381476192237818</x:v>
      </x:c>
      <x:c r="I462" s="7" t="n">
        <x:v>0.17276281378110395</x:v>
      </x:c>
      <x:c r="J462" s="7" t="n">
        <x:v>2.1613225925340984</x:v>
      </x:c>
      <x:c r="K462" s="7" t="n">
        <x:f>H462+I462*J462</x:f>
        <x:v>2.754872364812679</x:v>
      </x:c>
      <x:c r="L462" s="7" t="n">
        <x:v>6</x:v>
      </x:c>
      <x:c r="M462" s="7" t="n">
        <x:f>K462-L462</x:f>
        <x:v>-3.245127635187321</x:v>
      </x:c>
      <x:c r="N462" s="7" t="n">
        <x:f>M462^2</x:f>
        <x:v>10.530853368656455</x:v>
      </x:c>
      <x:c r="O462" s="7" t="n">
        <x:v>2</x:v>
      </x:c>
      <x:c r="P462" s="7" t="n">
        <x:v>1.25</x:v>
      </x:c>
      <x:c r="Q462" s="7" t="n">
        <x:v>5.199283946717204</x:v>
      </x:c>
      <x:c r="R462" s="7" t="n">
        <x:f>H462+I462*Q462</x:f>
        <x:v>3.279719116519605</x:v>
      </x:c>
      <x:c r="S462" s="7" t="n">
        <x:f>R462-L462</x:f>
        <x:v>-2.720280883480395</x:v>
      </x:c>
      <x:c r="T462" s="7" t="n">
        <x:f>K462-R462</x:f>
        <x:v>-0.5248467517069262</x:v>
      </x:c>
      <x:c r="U462" s="7" t="n">
        <x:f>M462-S462-T462</x:f>
        <x:v>0</x:v>
      </x:c>
    </x:row>
    <x:row r="463" ht="27" customHeight="1">
      <x:c r="A463" s="2"/>
      <x:c r="B463" s="2" t="str">
        <x:v>Beauty | organic_sales_growth | RSHPCS</x:v>
      </x:c>
      <x:c r="C463" s="2" t="str">
        <x:v>2025-09-30</x:v>
      </x:c>
      <x:c r="D463" s="2" t="str">
        <x:v>Origin</x:v>
      </x:c>
      <x:c r="E463" s="2" t="str">
        <x:v>2025-07-01</x:v>
      </x:c>
      <x:c r="F463" s="2" t="str">
        <x:v>Recent trend</x:v>
      </x:c>
      <x:c r="G463" s="2" t="n">
        <x:v>17</x:v>
      </x:c>
      <x:c r="H463" s="7" t="n">
        <x:v>2.381476192237818</x:v>
      </x:c>
      <x:c r="I463" s="7" t="n">
        <x:v>0.17276281378110395</x:v>
      </x:c>
      <x:c r="J463" s="7" t="n">
        <x:v>1.4465855841625963</x:v>
      </x:c>
      <x:c r="K463" s="7" t="n">
        <x:f>H463+I463*J463</x:f>
        <x:v>2.6313923881329297</x:v>
      </x:c>
      <x:c r="L463" s="7" t="n">
        <x:v>6</x:v>
      </x:c>
      <x:c r="M463" s="7" t="n">
        <x:f>K463-L463</x:f>
        <x:v>-3.3686076118670703</x:v>
      </x:c>
      <x:c r="N463" s="7" t="n">
        <x:f>M463^2</x:f>
        <x:v>11.347517242728767</x:v>
      </x:c>
      <x:c r="O463" s="7" t="n">
        <x:v>2</x:v>
      </x:c>
      <x:c r="P463" s="7" t="n">
        <x:v>1.25</x:v>
      </x:c>
      <x:c r="Q463" s="7" t="n">
        <x:v>5.199283946717204</x:v>
      </x:c>
      <x:c r="R463" s="7" t="n">
        <x:f>H463+I463*Q463</x:f>
        <x:v>3.279719116519605</x:v>
      </x:c>
      <x:c r="S463" s="7" t="n">
        <x:f>R463-L463</x:f>
        <x:v>-2.720280883480395</x:v>
      </x:c>
      <x:c r="T463" s="7" t="n">
        <x:f>K463-R463</x:f>
        <x:v>-0.6483267283866754</x:v>
      </x:c>
      <x:c r="U463" s="7" t="n">
        <x:f>M463-S463-T463</x:f>
        <x:v>0</x:v>
      </x:c>
    </x:row>
    <x:row r="464" ht="27" customHeight="1">
      <x:c r="A464" s="2"/>
      <x:c r="B464" s="2" t="str">
        <x:v>Beauty | organic_sales_growth | RSHPCS</x:v>
      </x:c>
      <x:c r="C464" s="2" t="str">
        <x:v>2025-09-30</x:v>
      </x:c>
      <x:c r="D464" s="2" t="str">
        <x:v>One month</x:v>
      </x:c>
      <x:c r="E464" s="2" t="str">
        <x:v>2025-08-15</x:v>
      </x:c>
      <x:c r="F464" s="2" t="str">
        <x:v>YoY carry</x:v>
      </x:c>
      <x:c r="G464" s="2" t="n">
        <x:v>14</x:v>
      </x:c>
      <x:c r="H464" s="7" t="n">
        <x:v>1.8386865496570022</x:v>
      </x:c>
      <x:c r="I464" s="7" t="n">
        <x:v>0.21979101983971797</x:v>
      </x:c>
      <x:c r="J464" s="7" t="n">
        <x:v>7.190091518822905</x:v>
      </x:c>
      <x:c r="K464" s="7" t="n">
        <x:f>H464+I464*J464</x:f>
        <x:v>3.4190040973199953</x:v>
      </x:c>
      <x:c r="L464" s="7" t="n">
        <x:v>6</x:v>
      </x:c>
      <x:c r="M464" s="7" t="n">
        <x:f>K464-L464</x:f>
        <x:v>-2.5809959026800047</x:v>
      </x:c>
      <x:c r="N464" s="7" t="n">
        <x:f>M464^2</x:f>
        <x:v>6.661539849650972</x:v>
      </x:c>
      <x:c r="O464" s="7" t="n">
        <x:v>1</x:v>
      </x:c>
      <x:c r="P464" s="7" t="n">
        <x:v>0.75</x:v>
      </x:c>
      <x:c r="Q464" s="7" t="n">
        <x:v>5.339788763334097</x:v>
      </x:c>
      <x:c r="R464" s="7" t="n">
        <x:f>H464+I464*Q464</x:f>
        <x:v>3.0123241676788695</x:v>
      </x:c>
      <x:c r="S464" s="7" t="n">
        <x:f>R464-L464</x:f>
        <x:v>-2.9876758323211305</x:v>
      </x:c>
      <x:c r="T464" s="7" t="n">
        <x:f>K464-R464</x:f>
        <x:v>0.40667992964112587</x:v>
      </x:c>
      <x:c r="U464" s="7" t="n">
        <x:f>M464-S464-T464</x:f>
        <x:v>0</x:v>
      </x:c>
    </x:row>
    <x:row r="465" ht="27" customHeight="1">
      <x:c r="A465" s="2"/>
      <x:c r="B465" s="2" t="str">
        <x:v>Beauty | organic_sales_growth | RSHPCS</x:v>
      </x:c>
      <x:c r="C465" s="2" t="str">
        <x:v>2025-09-30</x:v>
      </x:c>
      <x:c r="D465" s="2" t="str">
        <x:v>One month</x:v>
      </x:c>
      <x:c r="E465" s="2" t="str">
        <x:v>2025-08-15</x:v>
      </x:c>
      <x:c r="F465" s="2" t="str">
        <x:v>Flat level</x:v>
      </x:c>
      <x:c r="G465" s="2" t="n">
        <x:v>14</x:v>
      </x:c>
      <x:c r="H465" s="7" t="n">
        <x:v>1.8386865496570022</x:v>
      </x:c>
      <x:c r="I465" s="7" t="n">
        <x:v>0.21979101983971797</x:v>
      </x:c>
      <x:c r="J465" s="7" t="n">
        <x:v>4.533152909336935</x:v>
      </x:c>
      <x:c r="K465" s="7" t="n">
        <x:f>H465+I465*J465</x:f>
        <x:v>2.8350328506895517</x:v>
      </x:c>
      <x:c r="L465" s="7" t="n">
        <x:v>6</x:v>
      </x:c>
      <x:c r="M465" s="7" t="n">
        <x:f>K465-L465</x:f>
        <x:v>-3.1649671493104483</x:v>
      </x:c>
      <x:c r="N465" s="7" t="n">
        <x:f>M465^2</x:f>
        <x:v>10.017017056214305</x:v>
      </x:c>
      <x:c r="O465" s="7" t="n">
        <x:v>1</x:v>
      </x:c>
      <x:c r="P465" s="7" t="n">
        <x:v>0.75</x:v>
      </x:c>
      <x:c r="Q465" s="7" t="n">
        <x:v>5.339788763334097</x:v>
      </x:c>
      <x:c r="R465" s="7" t="n">
        <x:f>H465+I465*Q465</x:f>
        <x:v>3.0123241676788695</x:v>
      </x:c>
      <x:c r="S465" s="7" t="n">
        <x:f>R465-L465</x:f>
        <x:v>-2.9876758323211305</x:v>
      </x:c>
      <x:c r="T465" s="7" t="n">
        <x:f>K465-R465</x:f>
        <x:v>-0.17729131698931777</x:v>
      </x:c>
      <x:c r="U465" s="7" t="n">
        <x:f>M465-S465-T465</x:f>
        <x:v>0</x:v>
      </x:c>
    </x:row>
    <x:row r="466" ht="27" customHeight="1">
      <x:c r="A466" s="2"/>
      <x:c r="B466" s="2" t="str">
        <x:v>Beauty | organic_sales_growth | RSHPCS</x:v>
      </x:c>
      <x:c r="C466" s="2" t="str">
        <x:v>2025-09-30</x:v>
      </x:c>
      <x:c r="D466" s="2" t="str">
        <x:v>One month</x:v>
      </x:c>
      <x:c r="E466" s="2" t="str">
        <x:v>2025-08-15</x:v>
      </x:c>
      <x:c r="F466" s="2" t="str">
        <x:v>Recent trend</x:v>
      </x:c>
      <x:c r="G466" s="2" t="n">
        <x:v>14</x:v>
      </x:c>
      <x:c r="H466" s="7" t="n">
        <x:v>1.8386865496570022</x:v>
      </x:c>
      <x:c r="I466" s="7" t="n">
        <x:v>0.21979101983971797</x:v>
      </x:c>
      <x:c r="J466" s="7" t="n">
        <x:v>5.259388784422603</x:v>
      </x:c>
      <x:c r="K466" s="7" t="n">
        <x:f>H466+I466*J466</x:f>
        <x:v>2.9946529743188206</x:v>
      </x:c>
      <x:c r="L466" s="7" t="n">
        <x:v>6</x:v>
      </x:c>
      <x:c r="M466" s="7" t="n">
        <x:f>K466-L466</x:f>
        <x:v>-3.0053470256811794</x:v>
      </x:c>
      <x:c r="N466" s="7" t="n">
        <x:f>M466^2</x:f>
        <x:v>9.032110744770712</x:v>
      </x:c>
      <x:c r="O466" s="7" t="n">
        <x:v>1</x:v>
      </x:c>
      <x:c r="P466" s="7" t="n">
        <x:v>0.75</x:v>
      </x:c>
      <x:c r="Q466" s="7" t="n">
        <x:v>5.339788763334097</x:v>
      </x:c>
      <x:c r="R466" s="7" t="n">
        <x:f>H466+I466*Q466</x:f>
        <x:v>3.0123241676788695</x:v>
      </x:c>
      <x:c r="S466" s="7" t="n">
        <x:f>R466-L466</x:f>
        <x:v>-2.9876758323211305</x:v>
      </x:c>
      <x:c r="T466" s="7" t="n">
        <x:f>K466-R466</x:f>
        <x:v>-0.017671193360048854</x:v>
      </x:c>
      <x:c r="U466" s="7" t="n">
        <x:f>M466-S466-T466</x:f>
        <x:v>0</x:v>
      </x:c>
    </x:row>
    <x:row r="467" ht="27" customHeight="1">
      <x:c r="A467" s="2"/>
      <x:c r="B467" s="2" t="str">
        <x:v>Beauty | organic_sales_growth | RSHPCS</x:v>
      </x:c>
      <x:c r="C467" s="2" t="str">
        <x:v>2025-09-30</x:v>
      </x:c>
      <x:c r="D467" s="2" t="str">
        <x:v>Two months</x:v>
      </x:c>
      <x:c r="E467" s="2" t="str">
        <x:v>2025-09-16</x:v>
      </x:c>
      <x:c r="F467" s="2" t="str">
        <x:v>YoY carry</x:v>
      </x:c>
      <x:c r="G467" s="2" t="n">
        <x:v>14</x:v>
      </x:c>
      <x:c r="H467" s="7" t="n">
        <x:v>1.8413775129661356</x:v>
      </x:c>
      <x:c r="I467" s="7" t="n">
        <x:v>0.21926979980399497</x:v>
      </x:c>
      <x:c r="J467" s="7" t="n">
        <x:v>5.902288666144195</x:v>
      </x:c>
      <x:c r="K467" s="7" t="n">
        <x:f>H467+I467*J467</x:f>
        <x:v>3.1355711671769617</x:v>
      </x:c>
      <x:c r="L467" s="7" t="n">
        <x:v>6</x:v>
      </x:c>
      <x:c r="M467" s="7" t="n">
        <x:f>K467-L467</x:f>
        <x:v>-2.8644288328230383</x:v>
      </x:c>
      <x:c r="N467" s="7" t="n">
        <x:f>M467^2</x:f>
        <x:v>8.204952538307953</x:v>
      </x:c>
      <x:c r="O467" s="7" t="n">
        <x:v>1</x:v>
      </x:c>
      <x:c r="P467" s="7" t="n">
        <x:v>0.75</x:v>
      </x:c>
      <x:c r="Q467" s="7" t="n">
        <x:v>5.36439203556931</x:v>
      </x:c>
      <x:c r="R467" s="7" t="n">
        <x:f>H467+I467*Q467</x:f>
        <x:v>3.017626680675563</x:v>
      </x:c>
      <x:c r="S467" s="7" t="n">
        <x:f>R467-L467</x:f>
        <x:v>-2.982373319324437</x:v>
      </x:c>
      <x:c r="T467" s="7" t="n">
        <x:f>K467-R467</x:f>
        <x:v>0.11794448650139877</x:v>
      </x:c>
      <x:c r="U467" s="7" t="n">
        <x:f>M467-S467-T467</x:f>
        <x:v>0</x:v>
      </x:c>
    </x:row>
    <x:row r="468" ht="27" customHeight="1">
      <x:c r="A468" s="2"/>
      <x:c r="B468" s="2" t="str">
        <x:v>Beauty | organic_sales_growth | RSHPCS</x:v>
      </x:c>
      <x:c r="C468" s="2" t="str">
        <x:v>2025-09-30</x:v>
      </x:c>
      <x:c r="D468" s="2" t="str">
        <x:v>Two months</x:v>
      </x:c>
      <x:c r="E468" s="2" t="str">
        <x:v>2025-09-16</x:v>
      </x:c>
      <x:c r="F468" s="2" t="str">
        <x:v>Flat level</x:v>
      </x:c>
      <x:c r="G468" s="2" t="n">
        <x:v>14</x:v>
      </x:c>
      <x:c r="H468" s="7" t="n">
        <x:v>1.8413775129661356</x:v>
      </x:c>
      <x:c r="I468" s="7" t="n">
        <x:v>0.21926979980399497</x:v>
      </x:c>
      <x:c r="J468" s="7" t="n">
        <x:v>4.538425039101623</x:v>
      </x:c>
      <x:c r="K468" s="7" t="n">
        <x:f>H468+I468*J468</x:f>
        <x:v>2.8365170627153864</x:v>
      </x:c>
      <x:c r="L468" s="7" t="n">
        <x:v>6</x:v>
      </x:c>
      <x:c r="M468" s="7" t="n">
        <x:f>K468-L468</x:f>
        <x:v>-3.1634829372846136</x:v>
      </x:c>
      <x:c r="N468" s="7" t="n">
        <x:f>M468^2</x:f>
        <x:v>10.007624294490887</x:v>
      </x:c>
      <x:c r="O468" s="7" t="n">
        <x:v>1</x:v>
      </x:c>
      <x:c r="P468" s="7" t="n">
        <x:v>0.75</x:v>
      </x:c>
      <x:c r="Q468" s="7" t="n">
        <x:v>5.36439203556931</x:v>
      </x:c>
      <x:c r="R468" s="7" t="n">
        <x:f>H468+I468*Q468</x:f>
        <x:v>3.017626680675563</x:v>
      </x:c>
      <x:c r="S468" s="7" t="n">
        <x:f>R468-L468</x:f>
        <x:v>-2.982373319324437</x:v>
      </x:c>
      <x:c r="T468" s="7" t="n">
        <x:f>K468-R468</x:f>
        <x:v>-0.18110961796017655</x:v>
      </x:c>
      <x:c r="U468" s="7" t="n">
        <x:f>M468-S468-T468</x:f>
        <x:v>0</x:v>
      </x:c>
    </x:row>
    <x:row r="469" ht="27" customHeight="1">
      <x:c r="A469" s="2"/>
      <x:c r="B469" s="2" t="str">
        <x:v>Beauty | organic_sales_growth | RSHPCS</x:v>
      </x:c>
      <x:c r="C469" s="2" t="str">
        <x:v>2025-09-30</x:v>
      </x:c>
      <x:c r="D469" s="2" t="str">
        <x:v>Two months</x:v>
      </x:c>
      <x:c r="E469" s="2" t="str">
        <x:v>2025-09-16</x:v>
      </x:c>
      <x:c r="F469" s="2" t="str">
        <x:v>Recent trend</x:v>
      </x:c>
      <x:c r="G469" s="2" t="n">
        <x:v>14</x:v>
      </x:c>
      <x:c r="H469" s="7" t="n">
        <x:v>1.8413775129661356</x:v>
      </x:c>
      <x:c r="I469" s="7" t="n">
        <x:v>0.21926979980399497</x:v>
      </x:c>
      <x:c r="J469" s="7" t="n">
        <x:v>4.594221745777904</x:v>
      </x:c>
      <x:c r="K469" s="7" t="n">
        <x:f>H469+I469*J469</x:f>
        <x:v>2.848751595418017</x:v>
      </x:c>
      <x:c r="L469" s="7" t="n">
        <x:v>6</x:v>
      </x:c>
      <x:c r="M469" s="7" t="n">
        <x:f>K469-L469</x:f>
        <x:v>-3.151248404581983</x:v>
      </x:c>
      <x:c r="N469" s="7" t="n">
        <x:f>M469^2</x:f>
        <x:v>9.930366507380493</x:v>
      </x:c>
      <x:c r="O469" s="7" t="n">
        <x:v>1</x:v>
      </x:c>
      <x:c r="P469" s="7" t="n">
        <x:v>0.75</x:v>
      </x:c>
      <x:c r="Q469" s="7" t="n">
        <x:v>5.36439203556931</x:v>
      </x:c>
      <x:c r="R469" s="7" t="n">
        <x:f>H469+I469*Q469</x:f>
        <x:v>3.017626680675563</x:v>
      </x:c>
      <x:c r="S469" s="7" t="n">
        <x:f>R469-L469</x:f>
        <x:v>-2.982373319324437</x:v>
      </x:c>
      <x:c r="T469" s="7" t="n">
        <x:f>K469-R469</x:f>
        <x:v>-0.1688750852575458</x:v>
      </x:c>
      <x:c r="U469" s="7" t="n">
        <x:f>M469-S469-T469</x:f>
        <x:v>0</x:v>
      </x:c>
    </x:row>
    <x:row r="470" ht="27" customHeight="1">
      <x:c r="A470" s="2"/>
      <x:c r="B470" s="2" t="str">
        <x:v>Beauty | organic_sales_growth | RSHPCS</x:v>
      </x:c>
      <x:c r="C470" s="2" t="str">
        <x:v>2025-09-30</x:v>
      </x:c>
      <x:c r="D470" s="2" t="str">
        <x:v>Pre-earnings</x:v>
      </x:c>
      <x:c r="E470" s="2" t="str">
        <x:v>2025-10-23</x:v>
      </x:c>
      <x:c r="F470" s="2" t="str">
        <x:v>YoY carry</x:v>
      </x:c>
      <x:c r="G470" s="2" t="n">
        <x:v>18</x:v>
      </x:c>
      <x:c r="H470" s="7" t="n">
        <x:v>2.3904470592847953</x:v>
      </x:c>
      <x:c r="I470" s="7" t="n">
        <x:v>0.1463961123061077</x:v>
      </x:c>
      <x:c r="J470" s="7" t="n">
        <x:v>5.902288666144195</x:v>
      </x:c>
      <x:c r="K470" s="7" t="n">
        <x:f>H470+I470*J470</x:f>
        <x:v>3.2545191737167074</x:v>
      </x:c>
      <x:c r="L470" s="7" t="n">
        <x:v>6</x:v>
      </x:c>
      <x:c r="M470" s="7" t="n">
        <x:f>K470-L470</x:f>
        <x:v>-2.7454808262832926</x:v>
      </x:c>
      <x:c r="N470" s="7" t="n">
        <x:f>M470^2</x:f>
        <x:v>7.537664967489191</x:v>
      </x:c>
      <x:c r="O470" s="7" t="n">
        <x:v>1</x:v>
      </x:c>
      <x:c r="P470" s="7" t="n">
        <x:v>0.75</x:v>
      </x:c>
      <x:c r="Q470" s="7" t="n">
        <x:v>5.36439203556931</x:v>
      </x:c>
      <x:c r="R470" s="7" t="n">
        <x:f>H470+I470*Q470</x:f>
        <x:v>3.1757731981779895</x:v>
      </x:c>
      <x:c r="S470" s="7" t="n">
        <x:f>R470-L470</x:f>
        <x:v>-2.8242268018220105</x:v>
      </x:c>
      <x:c r="T470" s="7" t="n">
        <x:f>K470-R470</x:f>
        <x:v>0.07874597553871787</x:v>
      </x:c>
      <x:c r="U470" s="7" t="n">
        <x:f>M470-S470-T470</x:f>
        <x:v>0</x:v>
      </x:c>
    </x:row>
    <x:row r="471" ht="27" customHeight="1">
      <x:c r="A471" s="2"/>
      <x:c r="B471" s="2" t="str">
        <x:v>Beauty | organic_sales_growth | RSHPCS</x:v>
      </x:c>
      <x:c r="C471" s="2" t="str">
        <x:v>2025-09-30</x:v>
      </x:c>
      <x:c r="D471" s="2" t="str">
        <x:v>Pre-earnings</x:v>
      </x:c>
      <x:c r="E471" s="2" t="str">
        <x:v>2025-10-23</x:v>
      </x:c>
      <x:c r="F471" s="2" t="str">
        <x:v>Flat level</x:v>
      </x:c>
      <x:c r="G471" s="2" t="n">
        <x:v>18</x:v>
      </x:c>
      <x:c r="H471" s="7" t="n">
        <x:v>2.3904470592847953</x:v>
      </x:c>
      <x:c r="I471" s="7" t="n">
        <x:v>0.1463961123061077</x:v>
      </x:c>
      <x:c r="J471" s="7" t="n">
        <x:v>4.538425039101623</x:v>
      </x:c>
      <x:c r="K471" s="7" t="n">
        <x:f>H471+I471*J471</x:f>
        <x:v>3.054854841001968</x:v>
      </x:c>
      <x:c r="L471" s="7" t="n">
        <x:v>6</x:v>
      </x:c>
      <x:c r="M471" s="7" t="n">
        <x:f>K471-L471</x:f>
        <x:v>-2.945145158998032</x:v>
      </x:c>
      <x:c r="N471" s="7" t="n">
        <x:f>M471^2</x:f>
        <x:v>8.673880007569544</x:v>
      </x:c>
      <x:c r="O471" s="7" t="n">
        <x:v>1</x:v>
      </x:c>
      <x:c r="P471" s="7" t="n">
        <x:v>0.75</x:v>
      </x:c>
      <x:c r="Q471" s="7" t="n">
        <x:v>5.36439203556931</x:v>
      </x:c>
      <x:c r="R471" s="7" t="n">
        <x:f>H471+I471*Q471</x:f>
        <x:v>3.1757731981779895</x:v>
      </x:c>
      <x:c r="S471" s="7" t="n">
        <x:f>R471-L471</x:f>
        <x:v>-2.8242268018220105</x:v>
      </x:c>
      <x:c r="T471" s="7" t="n">
        <x:f>K471-R471</x:f>
        <x:v>-0.12091835717602173</x:v>
      </x:c>
      <x:c r="U471" s="7" t="n">
        <x:f>M471-S471-T471</x:f>
        <x:v>0</x:v>
      </x:c>
    </x:row>
    <x:row r="472" ht="27" customHeight="1">
      <x:c r="A472" s="2"/>
      <x:c r="B472" s="2" t="str">
        <x:v>Beauty | organic_sales_growth | RSHPCS</x:v>
      </x:c>
      <x:c r="C472" s="2" t="str">
        <x:v>2025-09-30</x:v>
      </x:c>
      <x:c r="D472" s="2" t="str">
        <x:v>Pre-earnings</x:v>
      </x:c>
      <x:c r="E472" s="2" t="str">
        <x:v>2025-10-23</x:v>
      </x:c>
      <x:c r="F472" s="2" t="str">
        <x:v>Recent trend</x:v>
      </x:c>
      <x:c r="G472" s="2" t="n">
        <x:v>18</x:v>
      </x:c>
      <x:c r="H472" s="7" t="n">
        <x:v>2.3904470592847953</x:v>
      </x:c>
      <x:c r="I472" s="7" t="n">
        <x:v>0.1463961123061077</x:v>
      </x:c>
      <x:c r="J472" s="7" t="n">
        <x:v>4.594221745777904</x:v>
      </x:c>
      <x:c r="K472" s="7" t="n">
        <x:f>H472+I472*J472</x:f>
        <x:v>3.0630232619388593</x:v>
      </x:c>
      <x:c r="L472" s="7" t="n">
        <x:v>6</x:v>
      </x:c>
      <x:c r="M472" s="7" t="n">
        <x:f>K472-L472</x:f>
        <x:v>-2.9369767380611407</x:v>
      </x:c>
      <x:c r="N472" s="7" t="n">
        <x:f>M472^2</x:f>
        <x:v>8.625832359912257</x:v>
      </x:c>
      <x:c r="O472" s="7" t="n">
        <x:v>1</x:v>
      </x:c>
      <x:c r="P472" s="7" t="n">
        <x:v>0.75</x:v>
      </x:c>
      <x:c r="Q472" s="7" t="n">
        <x:v>5.36439203556931</x:v>
      </x:c>
      <x:c r="R472" s="7" t="n">
        <x:f>H472+I472*Q472</x:f>
        <x:v>3.1757731981779895</x:v>
      </x:c>
      <x:c r="S472" s="7" t="n">
        <x:f>R472-L472</x:f>
        <x:v>-2.8242268018220105</x:v>
      </x:c>
      <x:c r="T472" s="7" t="n">
        <x:f>K472-R472</x:f>
        <x:v>-0.11274993623913021</x:v>
      </x:c>
      <x:c r="U472" s="7" t="n">
        <x:f>M472-S472-T472</x:f>
        <x:v>0</x:v>
      </x:c>
    </x:row>
    <x:row r="473" ht="27" customHeight="1">
      <x:c r="A473" s="2"/>
      <x:c r="B473" s="2" t="str">
        <x:v>Beauty | organic_sales_growth | RSHPCS</x:v>
      </x:c>
      <x:c r="C473" s="2" t="str">
        <x:v>2025-12-31</x:v>
      </x:c>
      <x:c r="D473" s="2" t="str">
        <x:v>Origin</x:v>
      </x:c>
      <x:c r="E473" s="2" t="str">
        <x:v>2025-10-01</x:v>
      </x:c>
      <x:c r="F473" s="2" t="str">
        <x:v>YoY carry</x:v>
      </x:c>
      <x:c r="G473" s="2" t="n">
        <x:v>18</x:v>
      </x:c>
      <x:c r="H473" s="7" t="n">
        <x:v>2.3904470592847953</x:v>
      </x:c>
      <x:c r="I473" s="7" t="n">
        <x:v>0.1463961123061077</x:v>
      </x:c>
      <x:c r="J473" s="7" t="n">
        <x:v>6.847594769665077</x:v>
      </x:c>
      <x:c r="K473" s="7" t="n">
        <x:f>H473+I473*J473</x:f>
        <x:v>3.3929083122113997</x:v>
      </x:c>
      <x:c r="L473" s="7" t="n">
        <x:v>4</x:v>
      </x:c>
      <x:c r="M473" s="7" t="n">
        <x:f>K473-L473</x:f>
        <x:v>-0.6070916877886003</x:v>
      </x:c>
      <x:c r="N473" s="7" t="n">
        <x:f>M473^2</x:f>
        <x:v>0.3685603173820114</x:v>
      </x:c>
      <x:c r="O473" s="7" t="n">
        <x:v>1</x:v>
      </x:c>
      <x:c r="P473" s="7" t="n">
        <x:v>0.75</x:v>
      </x:c>
      <x:c r="Q473" s="7" t="n">
        <x:v>6.454437206696095</x:v>
      </x:c>
      <x:c r="R473" s="7" t="n">
        <x:f>H473+I473*Q473</x:f>
        <x:v>3.335351573468997</x:v>
      </x:c>
      <x:c r="S473" s="7" t="n">
        <x:f>R473-L473</x:f>
        <x:v>-0.6646484265310031</x:v>
      </x:c>
      <x:c r="T473" s="7" t="n">
        <x:f>K473-R473</x:f>
        <x:v>0.05755673874240275</x:v>
      </x:c>
      <x:c r="U473" s="7" t="n">
        <x:f>M473-S473-T473</x:f>
        <x:v>0</x:v>
      </x:c>
    </x:row>
    <x:row r="474" ht="27" customHeight="1">
      <x:c r="A474" s="2"/>
      <x:c r="B474" s="2" t="str">
        <x:v>Beauty | organic_sales_growth | RSHPCS</x:v>
      </x:c>
      <x:c r="C474" s="2" t="str">
        <x:v>2025-12-31</x:v>
      </x:c>
      <x:c r="D474" s="2" t="str">
        <x:v>Origin</x:v>
      </x:c>
      <x:c r="E474" s="2" t="str">
        <x:v>2025-10-01</x:v>
      </x:c>
      <x:c r="F474" s="2" t="str">
        <x:v>Flat level</x:v>
      </x:c>
      <x:c r="G474" s="2" t="n">
        <x:v>18</x:v>
      </x:c>
      <x:c r="H474" s="7" t="n">
        <x:v>2.3904470592847953</x:v>
      </x:c>
      <x:c r="I474" s="7" t="n">
        <x:v>0.1463961123061077</x:v>
      </x:c>
      <x:c r="J474" s="7" t="n">
        <x:v>4.129018701407849</x:v>
      </x:c>
      <x:c r="K474" s="7" t="n">
        <x:f>H474+I474*J474</x:f>
        <x:v>2.9949193448101177</x:v>
      </x:c>
      <x:c r="L474" s="7" t="n">
        <x:v>4</x:v>
      </x:c>
      <x:c r="M474" s="7" t="n">
        <x:f>K474-L474</x:f>
        <x:v>-1.0050806551898823</x:v>
      </x:c>
      <x:c r="N474" s="7" t="n">
        <x:f>M474^2</x:f>
        <x:v>1.010187123436923</x:v>
      </x:c>
      <x:c r="O474" s="7" t="n">
        <x:v>1</x:v>
      </x:c>
      <x:c r="P474" s="7" t="n">
        <x:v>0.75</x:v>
      </x:c>
      <x:c r="Q474" s="7" t="n">
        <x:v>6.454437206696095</x:v>
      </x:c>
      <x:c r="R474" s="7" t="n">
        <x:f>H474+I474*Q474</x:f>
        <x:v>3.335351573468997</x:v>
      </x:c>
      <x:c r="S474" s="7" t="n">
        <x:f>R474-L474</x:f>
        <x:v>-0.6646484265310031</x:v>
      </x:c>
      <x:c r="T474" s="7" t="n">
        <x:f>K474-R474</x:f>
        <x:v>-0.34043222865887923</x:v>
      </x:c>
      <x:c r="U474" s="7" t="n">
        <x:f>M474-S474-T474</x:f>
        <x:v>0</x:v>
      </x:c>
    </x:row>
    <x:row r="475" ht="27" customHeight="1">
      <x:c r="A475" s="2"/>
      <x:c r="B475" s="2" t="str">
        <x:v>Beauty | organic_sales_growth | RSHPCS</x:v>
      </x:c>
      <x:c r="C475" s="2" t="str">
        <x:v>2025-12-31</x:v>
      </x:c>
      <x:c r="D475" s="2" t="str">
        <x:v>Origin</x:v>
      </x:c>
      <x:c r="E475" s="2" t="str">
        <x:v>2025-10-01</x:v>
      </x:c>
      <x:c r="F475" s="2" t="str">
        <x:v>Recent trend</x:v>
      </x:c>
      <x:c r="G475" s="2" t="n">
        <x:v>18</x:v>
      </x:c>
      <x:c r="H475" s="7" t="n">
        <x:v>2.3904470592847953</x:v>
      </x:c>
      <x:c r="I475" s="7" t="n">
        <x:v>0.1463961123061077</x:v>
      </x:c>
      <x:c r="J475" s="7" t="n">
        <x:v>4.629386425719684</x:v>
      </x:c>
      <x:c r="K475" s="7" t="n">
        <x:f>H475+I475*J475</x:f>
        <x:v>3.0681712343728247</x:v>
      </x:c>
      <x:c r="L475" s="7" t="n">
        <x:v>4</x:v>
      </x:c>
      <x:c r="M475" s="7" t="n">
        <x:f>K475-L475</x:f>
        <x:v>-0.9318287656271753</x:v>
      </x:c>
      <x:c r="N475" s="7" t="n">
        <x:f>M475^2</x:f>
        <x:v>0.8683048484502652</x:v>
      </x:c>
      <x:c r="O475" s="7" t="n">
        <x:v>1</x:v>
      </x:c>
      <x:c r="P475" s="7" t="n">
        <x:v>0.75</x:v>
      </x:c>
      <x:c r="Q475" s="7" t="n">
        <x:v>6.454437206696095</x:v>
      </x:c>
      <x:c r="R475" s="7" t="n">
        <x:f>H475+I475*Q475</x:f>
        <x:v>3.335351573468997</x:v>
      </x:c>
      <x:c r="S475" s="7" t="n">
        <x:f>R475-L475</x:f>
        <x:v>-0.6646484265310031</x:v>
      </x:c>
      <x:c r="T475" s="7" t="n">
        <x:f>K475-R475</x:f>
        <x:v>-0.2671803390961722</x:v>
      </x:c>
      <x:c r="U475" s="7" t="n">
        <x:f>M475-S475-T475</x:f>
        <x:v>0</x:v>
      </x:c>
    </x:row>
    <x:row r="476" ht="27" customHeight="1">
      <x:c r="A476" s="2"/>
      <x:c r="B476" s="2" t="str">
        <x:v>Beauty | organic_sales_growth | RSHPCS</x:v>
      </x:c>
      <x:c r="C476" s="2" t="str">
        <x:v>2025-12-31</x:v>
      </x:c>
      <x:c r="D476" s="2" t="str">
        <x:v>One month</x:v>
      </x:c>
      <x:c r="E476" s="2" t="str">
        <x:v>2025-12-16</x:v>
      </x:c>
      <x:c r="F476" s="2" t="str">
        <x:v>YoY carry</x:v>
      </x:c>
      <x:c r="G476" s="2" t="n">
        <x:v>15</x:v>
      </x:c>
      <x:c r="H476" s="7" t="n">
        <x:v>1.840358489057606</x:v>
      </x:c>
      <x:c r="I476" s="7" t="n">
        <x:v>0.2523068591346078</x:v>
      </x:c>
      <x:c r="J476" s="7" t="n">
        <x:v>5.901376038464989</x:v>
      </x:c>
      <x:c r="K476" s="7" t="n">
        <x:f>H476+I476*J476</x:f>
        <x:v>3.329316141894942</x:v>
      </x:c>
      <x:c r="L476" s="7" t="n">
        <x:v>4</x:v>
      </x:c>
      <x:c r="M476" s="7" t="n">
        <x:f>K476-L476</x:f>
        <x:v>-0.670683858105058</x:v>
      </x:c>
      <x:c r="N476" s="7" t="n">
        <x:f>M476^2</x:f>
        <x:v>0.44981683752268564</x:v>
      </x:c>
      <x:c r="O476" s="7" t="n">
        <x:v>6</x:v>
      </x:c>
      <x:c r="P476" s="7" t="n">
        <x:v>2.75</x:v>
      </x:c>
      <x:c r="Q476" s="7" t="n">
        <x:v>6.454437206696095</x:v>
      </x:c>
      <x:c r="R476" s="7" t="n">
        <x:f>H476+I476*Q476</x:f>
        <x:v>3.468857268160649</x:v>
      </x:c>
      <x:c r="S476" s="7" t="n">
        <x:f>R476-L476</x:f>
        <x:v>-0.5311427318393509</x:v>
      </x:c>
      <x:c r="T476" s="7" t="n">
        <x:f>K476-R476</x:f>
        <x:v>-0.13954112626570714</x:v>
      </x:c>
      <x:c r="U476" s="7" t="n">
        <x:f>M476-S476-T476</x:f>
        <x:v>0</x:v>
      </x:c>
    </x:row>
    <x:row r="477" ht="27" customHeight="1">
      <x:c r="A477" s="2"/>
      <x:c r="B477" s="2" t="str">
        <x:v>Beauty | organic_sales_growth | RSHPCS</x:v>
      </x:c>
      <x:c r="C477" s="2" t="str">
        <x:v>2025-12-31</x:v>
      </x:c>
      <x:c r="D477" s="2" t="str">
        <x:v>One month</x:v>
      </x:c>
      <x:c r="E477" s="2" t="str">
        <x:v>2025-12-16</x:v>
      </x:c>
      <x:c r="F477" s="2" t="str">
        <x:v>Flat level</x:v>
      </x:c>
      <x:c r="G477" s="2" t="n">
        <x:v>15</x:v>
      </x:c>
      <x:c r="H477" s="7" t="n">
        <x:v>1.840358489057606</x:v>
      </x:c>
      <x:c r="I477" s="7" t="n">
        <x:v>0.2523068591346078</x:v>
      </x:c>
      <x:c r="J477" s="7" t="n">
        <x:v>6.112103383063672</x:v>
      </x:c>
      <x:c r="K477" s="7" t="n">
        <x:f>H477+I477*J477</x:f>
        <x:v>3.3824840963444114</x:v>
      </x:c>
      <x:c r="L477" s="7" t="n">
        <x:v>4</x:v>
      </x:c>
      <x:c r="M477" s="7" t="n">
        <x:f>K477-L477</x:f>
        <x:v>-0.6175159036555886</x:v>
      </x:c>
      <x:c r="N477" s="7" t="n">
        <x:f>M477^2</x:f>
        <x:v>0.3813258912675782</x:v>
      </x:c>
      <x:c r="O477" s="7" t="n">
        <x:v>6</x:v>
      </x:c>
      <x:c r="P477" s="7" t="n">
        <x:v>2.75</x:v>
      </x:c>
      <x:c r="Q477" s="7" t="n">
        <x:v>6.454437206696095</x:v>
      </x:c>
      <x:c r="R477" s="7" t="n">
        <x:f>H477+I477*Q477</x:f>
        <x:v>3.468857268160649</x:v>
      </x:c>
      <x:c r="S477" s="7" t="n">
        <x:f>R477-L477</x:f>
        <x:v>-0.5311427318393509</x:v>
      </x:c>
      <x:c r="T477" s="7" t="n">
        <x:f>K477-R477</x:f>
        <x:v>-0.08637317181623771</x:v>
      </x:c>
      <x:c r="U477" s="7" t="n">
        <x:f>M477-S477-T477</x:f>
        <x:v>0</x:v>
      </x:c>
    </x:row>
    <x:row r="478" ht="27" customHeight="1">
      <x:c r="A478" s="2"/>
      <x:c r="B478" s="2" t="str">
        <x:v>Beauty | organic_sales_growth | RSHPCS</x:v>
      </x:c>
      <x:c r="C478" s="2" t="str">
        <x:v>2025-12-31</x:v>
      </x:c>
      <x:c r="D478" s="2" t="str">
        <x:v>One month</x:v>
      </x:c>
      <x:c r="E478" s="2" t="str">
        <x:v>2025-12-16</x:v>
      </x:c>
      <x:c r="F478" s="2" t="str">
        <x:v>Recent trend</x:v>
      </x:c>
      <x:c r="G478" s="2" t="n">
        <x:v>15</x:v>
      </x:c>
      <x:c r="H478" s="7" t="n">
        <x:v>1.840358489057606</x:v>
      </x:c>
      <x:c r="I478" s="7" t="n">
        <x:v>0.2523068591346078</x:v>
      </x:c>
      <x:c r="J478" s="7" t="n">
        <x:v>6.481140996007562</x:v>
      </x:c>
      <x:c r="K478" s="7" t="n">
        <x:f>H478+I478*J478</x:f>
        <x:v>3.4755948173688176</x:v>
      </x:c>
      <x:c r="L478" s="7" t="n">
        <x:v>4</x:v>
      </x:c>
      <x:c r="M478" s="7" t="n">
        <x:f>K478-L478</x:f>
        <x:v>-0.5244051826311824</x:v>
      </x:c>
      <x:c r="N478" s="7" t="n">
        <x:f>M478^2</x:f>
        <x:v>0.27500079557044377</x:v>
      </x:c>
      <x:c r="O478" s="7" t="n">
        <x:v>6</x:v>
      </x:c>
      <x:c r="P478" s="7" t="n">
        <x:v>2.75</x:v>
      </x:c>
      <x:c r="Q478" s="7" t="n">
        <x:v>6.454437206696095</x:v>
      </x:c>
      <x:c r="R478" s="7" t="n">
        <x:f>H478+I478*Q478</x:f>
        <x:v>3.468857268160649</x:v>
      </x:c>
      <x:c r="S478" s="7" t="n">
        <x:f>R478-L478</x:f>
        <x:v>-0.5311427318393509</x:v>
      </x:c>
      <x:c r="T478" s="7" t="n">
        <x:f>K478-R478</x:f>
        <x:v>0.006737549208168492</x:v>
      </x:c>
      <x:c r="U478" s="7" t="n">
        <x:f>M478-S478-T478</x:f>
        <x:v>0</x:v>
      </x:c>
    </x:row>
    <x:row r="479" ht="27" customHeight="1">
      <x:c r="A479" s="2"/>
      <x:c r="B479" s="2" t="str">
        <x:v>Beauty | organic_sales_growth | RSHPCS</x:v>
      </x:c>
      <x:c r="C479" s="2" t="str">
        <x:v>2025-12-31</x:v>
      </x:c>
      <x:c r="D479" s="2" t="str">
        <x:v>Two months</x:v>
      </x:c>
      <x:c r="E479" s="2" t="str">
        <x:v>2026-01-14</x:v>
      </x:c>
      <x:c r="F479" s="2" t="str">
        <x:v>YoY carry</x:v>
      </x:c>
      <x:c r="G479" s="2" t="n">
        <x:v>15</x:v>
      </x:c>
      <x:c r="H479" s="7" t="n">
        <x:v>1.8391643356173062</x:v>
      </x:c>
      <x:c r="I479" s="7" t="n">
        <x:v>0.25248643106441143</x:v>
      </x:c>
      <x:c r="J479" s="7" t="n">
        <x:v>6.383120720520252</x:v>
      </x:c>
      <x:c r="K479" s="7" t="n">
        <x:f>H479+I479*J479</x:f>
        <x:v>3.450815705394759</x:v>
      </x:c>
      <x:c r="L479" s="7" t="n">
        <x:v>4</x:v>
      </x:c>
      <x:c r="M479" s="7" t="n">
        <x:f>K479-L479</x:f>
        <x:v>-0.549184294605241</x:v>
      </x:c>
      <x:c r="N479" s="7" t="n">
        <x:f>M479^2</x:f>
        <x:v>0.30160338944105614</x:v>
      </x:c>
      <x:c r="O479" s="7" t="n">
        <x:v>6</x:v>
      </x:c>
      <x:c r="P479" s="7" t="n">
        <x:v>2.75</x:v>
      </x:c>
      <x:c r="Q479" s="7" t="n">
        <x:v>6.589971896094338</x:v>
      </x:c>
      <x:c r="R479" s="7" t="n">
        <x:f>H479+I479*Q479</x:f>
        <x:v>3.5030428204769377</x:v>
      </x:c>
      <x:c r="S479" s="7" t="n">
        <x:f>R479-L479</x:f>
        <x:v>-0.4969571795230623</x:v>
      </x:c>
      <x:c r="T479" s="7" t="n">
        <x:f>K479-R479</x:f>
        <x:v>-0.0522271150821787</x:v>
      </x:c>
      <x:c r="U479" s="7" t="n">
        <x:f>M479-S479-T479</x:f>
        <x:v>0</x:v>
      </x:c>
    </x:row>
    <x:row r="480" ht="27" customHeight="1">
      <x:c r="A480" s="2"/>
      <x:c r="B480" s="2" t="str">
        <x:v>Beauty | organic_sales_growth | RSHPCS</x:v>
      </x:c>
      <x:c r="C480" s="2" t="str">
        <x:v>2025-12-31</x:v>
      </x:c>
      <x:c r="D480" s="2" t="str">
        <x:v>Two months</x:v>
      </x:c>
      <x:c r="E480" s="2" t="str">
        <x:v>2026-01-14</x:v>
      </x:c>
      <x:c r="F480" s="2" t="str">
        <x:v>Flat level</x:v>
      </x:c>
      <x:c r="G480" s="2" t="n">
        <x:v>15</x:v>
      </x:c>
      <x:c r="H480" s="7" t="n">
        <x:v>1.8391643356173062</x:v>
      </x:c>
      <x:c r="I480" s="7" t="n">
        <x:v>0.25248643106441143</x:v>
      </x:c>
      <x:c r="J480" s="7" t="n">
        <x:v>6.734431224227144</x:v>
      </x:c>
      <x:c r="K480" s="7" t="n">
        <x:f>H480+I480*J480</x:f>
        <x:v>3.539516840671153</x:v>
      </x:c>
      <x:c r="L480" s="7" t="n">
        <x:v>4</x:v>
      </x:c>
      <x:c r="M480" s="7" t="n">
        <x:f>K480-L480</x:f>
        <x:v>-0.460483159328847</x:v>
      </x:c>
      <x:c r="N480" s="7" t="n">
        <x:f>M480^2</x:f>
        <x:v>0.21204474002547627</x:v>
      </x:c>
      <x:c r="O480" s="7" t="n">
        <x:v>6</x:v>
      </x:c>
      <x:c r="P480" s="7" t="n">
        <x:v>2.75</x:v>
      </x:c>
      <x:c r="Q480" s="7" t="n">
        <x:v>6.589971896094338</x:v>
      </x:c>
      <x:c r="R480" s="7" t="n">
        <x:f>H480+I480*Q480</x:f>
        <x:v>3.5030428204769377</x:v>
      </x:c>
      <x:c r="S480" s="7" t="n">
        <x:f>R480-L480</x:f>
        <x:v>-0.4969571795230623</x:v>
      </x:c>
      <x:c r="T480" s="7" t="n">
        <x:f>K480-R480</x:f>
        <x:v>0.036474020194215306</x:v>
      </x:c>
      <x:c r="U480" s="7" t="n">
        <x:f>M480-S480-T480</x:f>
        <x:v>0</x:v>
      </x:c>
    </x:row>
    <x:row r="481" ht="27" customHeight="1">
      <x:c r="A481" s="2"/>
      <x:c r="B481" s="2" t="str">
        <x:v>Beauty | organic_sales_growth | RSHPCS</x:v>
      </x:c>
      <x:c r="C481" s="2" t="str">
        <x:v>2025-12-31</x:v>
      </x:c>
      <x:c r="D481" s="2" t="str">
        <x:v>Two months</x:v>
      </x:c>
      <x:c r="E481" s="2" t="str">
        <x:v>2026-01-14</x:v>
      </x:c>
      <x:c r="F481" s="2" t="str">
        <x:v>Recent trend</x:v>
      </x:c>
      <x:c r="G481" s="2" t="n">
        <x:v>15</x:v>
      </x:c>
      <x:c r="H481" s="7" t="n">
        <x:v>1.8391643356173062</x:v>
      </x:c>
      <x:c r="I481" s="7" t="n">
        <x:v>0.25248643106441143</x:v>
      </x:c>
      <x:c r="J481" s="7" t="n">
        <x:v>6.7519414458189875</x:v>
      </x:c>
      <x:c r="K481" s="7" t="n">
        <x:f>H481+I481*J481</x:f>
        <x:v>3.5439379340280244</x:v>
      </x:c>
      <x:c r="L481" s="7" t="n">
        <x:v>4</x:v>
      </x:c>
      <x:c r="M481" s="7" t="n">
        <x:f>K481-L481</x:f>
        <x:v>-0.4560620659719756</x:v>
      </x:c>
      <x:c r="N481" s="7" t="n">
        <x:f>M481^2</x:f>
        <x:v>0.20799260801862665</x:v>
      </x:c>
      <x:c r="O481" s="7" t="n">
        <x:v>6</x:v>
      </x:c>
      <x:c r="P481" s="7" t="n">
        <x:v>2.75</x:v>
      </x:c>
      <x:c r="Q481" s="7" t="n">
        <x:v>6.589971896094338</x:v>
      </x:c>
      <x:c r="R481" s="7" t="n">
        <x:f>H481+I481*Q481</x:f>
        <x:v>3.5030428204769377</x:v>
      </x:c>
      <x:c r="S481" s="7" t="n">
        <x:f>R481-L481</x:f>
        <x:v>-0.4969571795230623</x:v>
      </x:c>
      <x:c r="T481" s="7" t="n">
        <x:f>K481-R481</x:f>
        <x:v>0.04089511355108666</x:v>
      </x:c>
      <x:c r="U481" s="7" t="n">
        <x:f>M481-S481-T481</x:f>
        <x:v>0</x:v>
      </x:c>
    </x:row>
    <x:row r="482" ht="27" customHeight="1">
      <x:c r="A482" s="2"/>
      <x:c r="B482" s="2" t="str">
        <x:v>Beauty | organic_sales_growth | RSHPCS</x:v>
      </x:c>
      <x:c r="C482" s="2" t="str">
        <x:v>2025-12-31</x:v>
      </x:c>
      <x:c r="D482" s="2" t="str">
        <x:v>Pre-earnings</x:v>
      </x:c>
      <x:c r="E482" s="2" t="str">
        <x:v>2026-01-22</x:v>
      </x:c>
      <x:c r="F482" s="2" t="str">
        <x:v>YoY carry</x:v>
      </x:c>
      <x:c r="G482" s="2" t="n">
        <x:v>19</x:v>
      </x:c>
      <x:c r="H482" s="7" t="n">
        <x:v>2.500949651883116</x:v>
      </x:c>
      <x:c r="I482" s="7" t="n">
        <x:v>0.15124134392360636</x:v>
      </x:c>
      <x:c r="J482" s="7" t="n">
        <x:v>6.383120720520252</x:v>
      </x:c>
      <x:c r="K482" s="7" t="n">
        <x:f>H482+I482*J482</x:f>
        <x:v>3.466341408081217</x:v>
      </x:c>
      <x:c r="L482" s="7" t="n">
        <x:v>4</x:v>
      </x:c>
      <x:c r="M482" s="7" t="n">
        <x:f>K482-L482</x:f>
        <x:v>-0.5336585919187828</x:v>
      </x:c>
      <x:c r="N482" s="7" t="n">
        <x:f>M482^2</x:f>
        <x:v>0.284791492728738</x:v>
      </x:c>
      <x:c r="O482" s="7" t="n">
        <x:v>6</x:v>
      </x:c>
      <x:c r="P482" s="7" t="n">
        <x:v>2.75</x:v>
      </x:c>
      <x:c r="Q482" s="7" t="n">
        <x:v>6.589971896094338</x:v>
      </x:c>
      <x:c r="R482" s="7" t="n">
        <x:f>H482+I482*Q482</x:f>
        <x:v>3.4976258578672197</x:v>
      </x:c>
      <x:c r="S482" s="7" t="n">
        <x:f>R482-L482</x:f>
        <x:v>-0.5023741421327803</x:v>
      </x:c>
      <x:c r="T482" s="7" t="n">
        <x:f>K482-R482</x:f>
        <x:v>-0.03128444978600253</x:v>
      </x:c>
      <x:c r="U482" s="7" t="n">
        <x:f>M482-S482-T482</x:f>
        <x:v>0</x:v>
      </x:c>
    </x:row>
    <x:row r="483" ht="27" customHeight="1">
      <x:c r="A483" s="2"/>
      <x:c r="B483" s="2" t="str">
        <x:v>Beauty | organic_sales_growth | RSHPCS</x:v>
      </x:c>
      <x:c r="C483" s="2" t="str">
        <x:v>2025-12-31</x:v>
      </x:c>
      <x:c r="D483" s="2" t="str">
        <x:v>Pre-earnings</x:v>
      </x:c>
      <x:c r="E483" s="2" t="str">
        <x:v>2026-01-22</x:v>
      </x:c>
      <x:c r="F483" s="2" t="str">
        <x:v>Flat level</x:v>
      </x:c>
      <x:c r="G483" s="2" t="n">
        <x:v>19</x:v>
      </x:c>
      <x:c r="H483" s="7" t="n">
        <x:v>2.500949651883116</x:v>
      </x:c>
      <x:c r="I483" s="7" t="n">
        <x:v>0.15124134392360636</x:v>
      </x:c>
      <x:c r="J483" s="7" t="n">
        <x:v>6.734431224227144</x:v>
      </x:c>
      <x:c r="K483" s="7" t="n">
        <x:f>H483+I483*J483</x:f>
        <x:v>3.5194740807963267</x:v>
      </x:c>
      <x:c r="L483" s="7" t="n">
        <x:v>4</x:v>
      </x:c>
      <x:c r="M483" s="7" t="n">
        <x:f>K483-L483</x:f>
        <x:v>-0.48052591920367327</x:v>
      </x:c>
      <x:c r="N483" s="7" t="n">
        <x:f>M483^2</x:f>
        <x:v>0.23090515902653513</x:v>
      </x:c>
      <x:c r="O483" s="7" t="n">
        <x:v>6</x:v>
      </x:c>
      <x:c r="P483" s="7" t="n">
        <x:v>2.75</x:v>
      </x:c>
      <x:c r="Q483" s="7" t="n">
        <x:v>6.589971896094338</x:v>
      </x:c>
      <x:c r="R483" s="7" t="n">
        <x:f>H483+I483*Q483</x:f>
        <x:v>3.4976258578672197</x:v>
      </x:c>
      <x:c r="S483" s="7" t="n">
        <x:f>R483-L483</x:f>
        <x:v>-0.5023741421327803</x:v>
      </x:c>
      <x:c r="T483" s="7" t="n">
        <x:f>K483-R483</x:f>
        <x:v>0.021848222929107042</x:v>
      </x:c>
      <x:c r="U483" s="7" t="n">
        <x:f>M483-S483-T483</x:f>
        <x:v>0</x:v>
      </x:c>
    </x:row>
    <x:row r="484" ht="27" customHeight="1">
      <x:c r="A484" s="2"/>
      <x:c r="B484" s="2" t="str">
        <x:v>Beauty | organic_sales_growth | RSHPCS</x:v>
      </x:c>
      <x:c r="C484" s="2" t="str">
        <x:v>2025-12-31</x:v>
      </x:c>
      <x:c r="D484" s="2" t="str">
        <x:v>Pre-earnings</x:v>
      </x:c>
      <x:c r="E484" s="2" t="str">
        <x:v>2026-01-22</x:v>
      </x:c>
      <x:c r="F484" s="2" t="str">
        <x:v>Recent trend</x:v>
      </x:c>
      <x:c r="G484" s="2" t="n">
        <x:v>19</x:v>
      </x:c>
      <x:c r="H484" s="7" t="n">
        <x:v>2.500949651883116</x:v>
      </x:c>
      <x:c r="I484" s="7" t="n">
        <x:v>0.15124134392360636</x:v>
      </x:c>
      <x:c r="J484" s="7" t="n">
        <x:v>6.7519414458189875</x:v>
      </x:c>
      <x:c r="K484" s="7" t="n">
        <x:f>H484+I484*J484</x:f>
        <x:v>3.5221223502422774</x:v>
      </x:c>
      <x:c r="L484" s="7" t="n">
        <x:v>4</x:v>
      </x:c>
      <x:c r="M484" s="7" t="n">
        <x:f>K484-L484</x:f>
        <x:v>-0.4778776497577226</x:v>
      </x:c>
      <x:c r="N484" s="7" t="n">
        <x:f>M484^2</x:f>
        <x:v>0.2283670481379646</x:v>
      </x:c>
      <x:c r="O484" s="7" t="n">
        <x:v>6</x:v>
      </x:c>
      <x:c r="P484" s="7" t="n">
        <x:v>2.75</x:v>
      </x:c>
      <x:c r="Q484" s="7" t="n">
        <x:v>6.589971896094338</x:v>
      </x:c>
      <x:c r="R484" s="7" t="n">
        <x:f>H484+I484*Q484</x:f>
        <x:v>3.4976258578672197</x:v>
      </x:c>
      <x:c r="S484" s="7" t="n">
        <x:f>R484-L484</x:f>
        <x:v>-0.5023741421327803</x:v>
      </x:c>
      <x:c r="T484" s="7" t="n">
        <x:f>K484-R484</x:f>
        <x:v>0.024496492375057688</x:v>
      </x:c>
      <x:c r="U484" s="7" t="n">
        <x:f>M484-S484-T484</x:f>
        <x:v>0</x:v>
      </x:c>
    </x:row>
    <x:row r="485" ht="27" customHeight="1">
      <x:c r="A485" s="2"/>
      <x:c r="B485" s="2" t="str">
        <x:v>Beauty | organic_sales_growth | RSHPCS</x:v>
      </x:c>
      <x:c r="C485" s="2" t="str">
        <x:v>2026-03-31</x:v>
      </x:c>
      <x:c r="D485" s="2" t="str">
        <x:v>Origin</x:v>
      </x:c>
      <x:c r="E485" s="2" t="str">
        <x:v>2026-01-01</x:v>
      </x:c>
      <x:c r="F485" s="2" t="str">
        <x:v>YoY carry</x:v>
      </x:c>
      <x:c r="G485" s="2" t="n">
        <x:v>19</x:v>
      </x:c>
      <x:c r="H485" s="7" t="n">
        <x:v>2.501497919744851</x:v>
      </x:c>
      <x:c r="I485" s="7" t="n">
        <x:v>0.15116925548975663</x:v>
      </x:c>
      <x:c r="J485" s="7" t="n">
        <x:v>6.018787713325424</x:v>
      </x:c>
      <x:c r="K485" s="7" t="n">
        <x:f>H485+I485*J485</x:f>
        <x:v>3.41135357731915</x:v>
      </x:c>
      <x:c r="L485" s="7" t="n">
        <x:v>7</x:v>
      </x:c>
      <x:c r="M485" s="7" t="n">
        <x:f>K485-L485</x:f>
        <x:v>-3.58864642268085</x:v>
      </x:c>
      <x:c r="N485" s="7" t="n">
        <x:f>M485^2</x:f>
        <x:v>12.878383147020063</x:v>
      </x:c>
      <x:c r="O485" s="7" t="n">
        <x:v>6</x:v>
      </x:c>
      <x:c r="P485" s="7" t="n">
        <x:v>2.75</x:v>
      </x:c>
      <x:c r="Q485" s="7" t="n">
        <x:v>3.133313626958323</x:v>
      </x:c>
      <x:c r="R485" s="7" t="n">
        <x:f>H485+I485*Q485</x:f>
        <x:v>2.9751586079480496</x:v>
      </x:c>
      <x:c r="S485" s="7" t="n">
        <x:f>R485-L485</x:f>
        <x:v>-4.02484139205195</x:v>
      </x:c>
      <x:c r="T485" s="7" t="n">
        <x:f>K485-R485</x:f>
        <x:v>0.43619496937110025</x:v>
      </x:c>
      <x:c r="U485" s="7" t="n">
        <x:f>M485-S485-T485</x:f>
        <x:v>0</x:v>
      </x:c>
    </x:row>
    <x:row r="486" ht="27" customHeight="1">
      <x:c r="A486" s="2"/>
      <x:c r="B486" s="2" t="str">
        <x:v>Beauty | organic_sales_growth | RSHPCS</x:v>
      </x:c>
      <x:c r="C486" s="2" t="str">
        <x:v>2026-03-31</x:v>
      </x:c>
      <x:c r="D486" s="2" t="str">
        <x:v>Origin</x:v>
      </x:c>
      <x:c r="E486" s="2" t="str">
        <x:v>2026-01-01</x:v>
      </x:c>
      <x:c r="F486" s="2" t="str">
        <x:v>Flat level</x:v>
      </x:c>
      <x:c r="G486" s="2" t="n">
        <x:v>19</x:v>
      </x:c>
      <x:c r="H486" s="7" t="n">
        <x:v>2.501497919744851</x:v>
      </x:c>
      <x:c r="I486" s="7" t="n">
        <x:v>0.15116925548975663</x:v>
      </x:c>
      <x:c r="J486" s="7" t="n">
        <x:v>5.368538192693562</x:v>
      </x:c>
      <x:c r="K486" s="7" t="n">
        <x:f>H486+I486*J486</x:f>
        <x:v>3.3130558414026603</x:v>
      </x:c>
      <x:c r="L486" s="7" t="n">
        <x:v>7</x:v>
      </x:c>
      <x:c r="M486" s="7" t="n">
        <x:f>K486-L486</x:f>
        <x:v>-3.6869441585973397</x:v>
      </x:c>
      <x:c r="N486" s="7" t="n">
        <x:f>M486^2</x:f>
        <x:v>13.593557228615046</x:v>
      </x:c>
      <x:c r="O486" s="7" t="n">
        <x:v>6</x:v>
      </x:c>
      <x:c r="P486" s="7" t="n">
        <x:v>2.75</x:v>
      </x:c>
      <x:c r="Q486" s="7" t="n">
        <x:v>3.133313626958323</x:v>
      </x:c>
      <x:c r="R486" s="7" t="n">
        <x:f>H486+I486*Q486</x:f>
        <x:v>2.9751586079480496</x:v>
      </x:c>
      <x:c r="S486" s="7" t="n">
        <x:f>R486-L486</x:f>
        <x:v>-4.02484139205195</x:v>
      </x:c>
      <x:c r="T486" s="7" t="n">
        <x:f>K486-R486</x:f>
        <x:v>0.33789723345461065</x:v>
      </x:c>
      <x:c r="U486" s="7" t="n">
        <x:f>M486-S486-T486</x:f>
        <x:v>0</x:v>
      </x:c>
    </x:row>
    <x:row r="487" ht="27" customHeight="1">
      <x:c r="A487" s="2"/>
      <x:c r="B487" s="2" t="str">
        <x:v>Beauty | organic_sales_growth | RSHPCS</x:v>
      </x:c>
      <x:c r="C487" s="2" t="str">
        <x:v>2026-03-31</x:v>
      </x:c>
      <x:c r="D487" s="2" t="str">
        <x:v>Origin</x:v>
      </x:c>
      <x:c r="E487" s="2" t="str">
        <x:v>2026-01-01</x:v>
      </x:c>
      <x:c r="F487" s="2" t="str">
        <x:v>Recent trend</x:v>
      </x:c>
      <x:c r="G487" s="2" t="n">
        <x:v>19</x:v>
      </x:c>
      <x:c r="H487" s="7" t="n">
        <x:v>2.501497919744851</x:v>
      </x:c>
      <x:c r="I487" s="7" t="n">
        <x:v>0.15116925548975663</x:v>
      </x:c>
      <x:c r="J487" s="7" t="n">
        <x:v>6.834344734050868</x:v>
      </x:c>
      <x:c r="K487" s="7" t="n">
        <x:f>H487+I487*J487</x:f>
        <x:v>3.534640724951659</x:v>
      </x:c>
      <x:c r="L487" s="7" t="n">
        <x:v>7</x:v>
      </x:c>
      <x:c r="M487" s="7" t="n">
        <x:f>K487-L487</x:f>
        <x:v>-3.465359275048341</x:v>
      </x:c>
      <x:c r="N487" s="7" t="n">
        <x:f>M487^2</x:f>
        <x:v>12.008714905163563</x:v>
      </x:c>
      <x:c r="O487" s="7" t="n">
        <x:v>6</x:v>
      </x:c>
      <x:c r="P487" s="7" t="n">
        <x:v>2.75</x:v>
      </x:c>
      <x:c r="Q487" s="7" t="n">
        <x:v>3.133313626958323</x:v>
      </x:c>
      <x:c r="R487" s="7" t="n">
        <x:f>H487+I487*Q487</x:f>
        <x:v>2.9751586079480496</x:v>
      </x:c>
      <x:c r="S487" s="7" t="n">
        <x:f>R487-L487</x:f>
        <x:v>-4.02484139205195</x:v>
      </x:c>
      <x:c r="T487" s="7" t="n">
        <x:f>K487-R487</x:f>
        <x:v>0.5594821170036095</x:v>
      </x:c>
      <x:c r="U487" s="7" t="n">
        <x:f>M487-S487-T487</x:f>
        <x:v>0</x:v>
      </x:c>
    </x:row>
    <x:row r="488" ht="27" customHeight="1">
      <x:c r="A488" s="2"/>
      <x:c r="B488" s="2" t="str">
        <x:v>Beauty | organic_sales_growth | RSHPCS</x:v>
      </x:c>
      <x:c r="C488" s="2" t="str">
        <x:v>2026-03-31</x:v>
      </x:c>
      <x:c r="D488" s="2" t="str">
        <x:v>One month</x:v>
      </x:c>
      <x:c r="E488" s="2" t="str">
        <x:v>2026-03-06</x:v>
      </x:c>
      <x:c r="F488" s="2" t="str">
        <x:v>YoY carry</x:v>
      </x:c>
      <x:c r="G488" s="2" t="n">
        <x:v>16</x:v>
      </x:c>
      <x:c r="H488" s="7" t="n">
        <x:v>1.9101269254441684</x:v>
      </x:c>
      <x:c r="I488" s="7" t="n">
        <x:v>0.24691270169268392</x:v>
      </x:c>
      <x:c r="J488" s="7" t="n">
        <x:v>4.21524520380494</x:v>
      </x:c>
      <x:c r="K488" s="7" t="n">
        <x:f>H488+I488*J488</x:f>
        <x:v>2.9509245070127745</x:v>
      </x:c>
      <x:c r="L488" s="7" t="n">
        <x:v>7</x:v>
      </x:c>
      <x:c r="M488" s="7" t="n">
        <x:f>K488-L488</x:f>
        <x:v>-4.0490754929872255</x:v>
      </x:c>
      <x:c r="N488" s="7" t="n">
        <x:f>M488^2</x:f>
        <x:v>16.39501234790974</x:v>
      </x:c>
      <x:c r="O488" s="7" t="n">
        <x:v>4</x:v>
      </x:c>
      <x:c r="P488" s="7" t="n">
        <x:v>3.25</x:v>
      </x:c>
      <x:c r="Q488" s="7" t="n">
        <x:v>2.827571859505573</x:v>
      </x:c>
      <x:c r="R488" s="7" t="n">
        <x:f>H488+I488*Q488</x:f>
        <x:v>2.608290332504896</x:v>
      </x:c>
      <x:c r="S488" s="7" t="n">
        <x:f>R488-L488</x:f>
        <x:v>-4.391709667495104</x:v>
      </x:c>
      <x:c r="T488" s="7" t="n">
        <x:f>K488-R488</x:f>
        <x:v>0.3426341745078787</x:v>
      </x:c>
      <x:c r="U488" s="7" t="n">
        <x:f>M488-S488-T488</x:f>
        <x:v>0</x:v>
      </x:c>
    </x:row>
    <x:row r="489" ht="27" customHeight="1">
      <x:c r="A489" s="2"/>
      <x:c r="B489" s="2" t="str">
        <x:v>Beauty | organic_sales_growth | RSHPCS</x:v>
      </x:c>
      <x:c r="C489" s="2" t="str">
        <x:v>2026-03-31</x:v>
      </x:c>
      <x:c r="D489" s="2" t="str">
        <x:v>One month</x:v>
      </x:c>
      <x:c r="E489" s="2" t="str">
        <x:v>2026-03-06</x:v>
      </x:c>
      <x:c r="F489" s="2" t="str">
        <x:v>Flat level</x:v>
      </x:c>
      <x:c r="G489" s="2" t="n">
        <x:v>16</x:v>
      </x:c>
      <x:c r="H489" s="7" t="n">
        <x:v>1.9101269254441684</x:v>
      </x:c>
      <x:c r="I489" s="7" t="n">
        <x:v>0.24691270169268392</x:v>
      </x:c>
      <x:c r="J489" s="7" t="n">
        <x:v>1.1840782219756596</x:v>
      </x:c>
      <x:c r="K489" s="7" t="n">
        <x:f>H489+I489*J489</x:f>
        <x:v>2.202490878247648</x:v>
      </x:c>
      <x:c r="L489" s="7" t="n">
        <x:v>7</x:v>
      </x:c>
      <x:c r="M489" s="7" t="n">
        <x:f>K489-L489</x:f>
        <x:v>-4.797509121752352</x:v>
      </x:c>
      <x:c r="N489" s="7" t="n">
        <x:f>M489^2</x:f>
        <x:v>23.016093773297023</x:v>
      </x:c>
      <x:c r="O489" s="7" t="n">
        <x:v>4</x:v>
      </x:c>
      <x:c r="P489" s="7" t="n">
        <x:v>3.25</x:v>
      </x:c>
      <x:c r="Q489" s="7" t="n">
        <x:v>2.827571859505573</x:v>
      </x:c>
      <x:c r="R489" s="7" t="n">
        <x:f>H489+I489*Q489</x:f>
        <x:v>2.608290332504896</x:v>
      </x:c>
      <x:c r="S489" s="7" t="n">
        <x:f>R489-L489</x:f>
        <x:v>-4.391709667495104</x:v>
      </x:c>
      <x:c r="T489" s="7" t="n">
        <x:f>K489-R489</x:f>
        <x:v>-0.40579945425724784</x:v>
      </x:c>
      <x:c r="U489" s="7" t="n">
        <x:f>M489-S489-T489</x:f>
        <x:v>0</x:v>
      </x:c>
    </x:row>
    <x:row r="490" ht="27" customHeight="1">
      <x:c r="A490" s="2"/>
      <x:c r="B490" s="2" t="str">
        <x:v>Beauty | organic_sales_growth | RSHPCS</x:v>
      </x:c>
      <x:c r="C490" s="2" t="str">
        <x:v>2026-03-31</x:v>
      </x:c>
      <x:c r="D490" s="2" t="str">
        <x:v>One month</x:v>
      </x:c>
      <x:c r="E490" s="2" t="str">
        <x:v>2026-03-06</x:v>
      </x:c>
      <x:c r="F490" s="2" t="str">
        <x:v>Recent trend</x:v>
      </x:c>
      <x:c r="G490" s="2" t="n">
        <x:v>16</x:v>
      </x:c>
      <x:c r="H490" s="7" t="n">
        <x:v>1.9101269254441684</x:v>
      </x:c>
      <x:c r="I490" s="7" t="n">
        <x:v>0.24691270169268392</x:v>
      </x:c>
      <x:c r="J490" s="7" t="n">
        <x:v>-0.5218265663465171</x:v>
      </x:c>
      <x:c r="K490" s="7" t="n">
        <x:f>H490+I490*J490</x:f>
        <x:v>1.7812813181325333</x:v>
      </x:c>
      <x:c r="L490" s="7" t="n">
        <x:v>7</x:v>
      </x:c>
      <x:c r="M490" s="7" t="n">
        <x:f>K490-L490</x:f>
        <x:v>-5.2187186818674665</x:v>
      </x:c>
      <x:c r="N490" s="7" t="n">
        <x:f>M490^2</x:f>
        <x:v>27.235024680472506</x:v>
      </x:c>
      <x:c r="O490" s="7" t="n">
        <x:v>4</x:v>
      </x:c>
      <x:c r="P490" s="7" t="n">
        <x:v>3.25</x:v>
      </x:c>
      <x:c r="Q490" s="7" t="n">
        <x:v>2.827571859505573</x:v>
      </x:c>
      <x:c r="R490" s="7" t="n">
        <x:f>H490+I490*Q490</x:f>
        <x:v>2.608290332504896</x:v>
      </x:c>
      <x:c r="S490" s="7" t="n">
        <x:f>R490-L490</x:f>
        <x:v>-4.391709667495104</x:v>
      </x:c>
      <x:c r="T490" s="7" t="n">
        <x:f>K490-R490</x:f>
        <x:v>-0.8270090143723625</x:v>
      </x:c>
      <x:c r="U490" s="7" t="n">
        <x:f>M490-S490-T490</x:f>
        <x:v>2.220446049250313e-16</x:v>
      </x:c>
    </x:row>
    <x:row r="491" ht="27" customHeight="1">
      <x:c r="A491" s="2"/>
      <x:c r="B491" s="2" t="str">
        <x:v>Beauty | organic_sales_growth | RSHPCS</x:v>
      </x:c>
      <x:c r="C491" s="2" t="str">
        <x:v>2026-03-31</x:v>
      </x:c>
      <x:c r="D491" s="2" t="str">
        <x:v>Two months</x:v>
      </x:c>
      <x:c r="E491" s="2" t="str">
        <x:v>2026-04-01</x:v>
      </x:c>
      <x:c r="F491" s="2" t="str">
        <x:v>YoY carry</x:v>
      </x:c>
      <x:c r="G491" s="2" t="n">
        <x:v>16</x:v>
      </x:c>
      <x:c r="H491" s="7" t="n">
        <x:v>1.935687076407091</x:v>
      </x:c>
      <x:c r="I491" s="7" t="n">
        <x:v>0.24174966373428922</x:v>
      </x:c>
      <x:c r="J491" s="7" t="n">
        <x:v>3.1939003630766516</x:v>
      </x:c>
      <x:c r="K491" s="7" t="n">
        <x:f>H491+I491*J491</x:f>
        <x:v>2.7078114151816957</x:v>
      </x:c>
      <x:c r="L491" s="7" t="n">
        <x:v>7</x:v>
      </x:c>
      <x:c r="M491" s="7" t="n">
        <x:f>K491-L491</x:f>
        <x:v>-4.292188584818304</x:v>
      </x:c>
      <x:c r="N491" s="7" t="n">
        <x:f>M491^2</x:f>
        <x:v>18.42288284764456</x:v>
      </x:c>
      <x:c r="O491" s="7" t="n">
        <x:v>4</x:v>
      </x:c>
      <x:c r="P491" s="7" t="n">
        <x:v>3.25</x:v>
      </x:c>
      <x:c r="Q491" s="7" t="n">
        <x:v>2.6362905109110324</x:v>
      </x:c>
      <x:c r="R491" s="7" t="n">
        <x:f>H491+I491*Q491</x:f>
        <x:v>2.5730094209257306</x:v>
      </x:c>
      <x:c r="S491" s="7" t="n">
        <x:f>R491-L491</x:f>
        <x:v>-4.426990579074269</x:v>
      </x:c>
      <x:c r="T491" s="7" t="n">
        <x:f>K491-R491</x:f>
        <x:v>0.13480199425596506</x:v>
      </x:c>
      <x:c r="U491" s="7" t="n">
        <x:f>M491-S491-T491</x:f>
        <x:v>0</x:v>
      </x:c>
    </x:row>
    <x:row r="492" ht="27" customHeight="1">
      <x:c r="A492" s="2"/>
      <x:c r="B492" s="2" t="str">
        <x:v>Beauty | organic_sales_growth | RSHPCS</x:v>
      </x:c>
      <x:c r="C492" s="2" t="str">
        <x:v>2026-03-31</x:v>
      </x:c>
      <x:c r="D492" s="2" t="str">
        <x:v>Two months</x:v>
      </x:c>
      <x:c r="E492" s="2" t="str">
        <x:v>2026-04-01</x:v>
      </x:c>
      <x:c r="F492" s="2" t="str">
        <x:v>Flat level</x:v>
      </x:c>
      <x:c r="G492" s="2" t="n">
        <x:v>16</x:v>
      </x:c>
      <x:c r="H492" s="7" t="n">
        <x:v>1.935687076407091</x:v>
      </x:c>
      <x:c r="I492" s="7" t="n">
        <x:v>0.24174966373428922</x:v>
      </x:c>
      <x:c r="J492" s="7" t="n">
        <x:v>2.6224517155781557</x:v>
      </x:c>
      <x:c r="K492" s="7" t="n">
        <x:f>H492+I492*J492</x:f>
        <x:v>2.56966389680752</x:v>
      </x:c>
      <x:c r="L492" s="7" t="n">
        <x:v>7</x:v>
      </x:c>
      <x:c r="M492" s="7" t="n">
        <x:f>K492-L492</x:f>
        <x:v>-4.43033610319248</x:v>
      </x:c>
      <x:c r="N492" s="7" t="n">
        <x:f>M492^2</x:f>
        <x:v>19.627877987250727</x:v>
      </x:c>
      <x:c r="O492" s="7" t="n">
        <x:v>4</x:v>
      </x:c>
      <x:c r="P492" s="7" t="n">
        <x:v>3.25</x:v>
      </x:c>
      <x:c r="Q492" s="7" t="n">
        <x:v>2.6362905109110324</x:v>
      </x:c>
      <x:c r="R492" s="7" t="n">
        <x:f>H492+I492*Q492</x:f>
        <x:v>2.5730094209257306</x:v>
      </x:c>
      <x:c r="S492" s="7" t="n">
        <x:f>R492-L492</x:f>
        <x:v>-4.426990579074269</x:v>
      </x:c>
      <x:c r="T492" s="7" t="n">
        <x:f>K492-R492</x:f>
        <x:v>-0.003345524118210541</x:v>
      </x:c>
      <x:c r="U492" s="7" t="n">
        <x:f>M492-S492-T492</x:f>
        <x:v>0</x:v>
      </x:c>
    </x:row>
    <x:row r="493" ht="27" customHeight="1">
      <x:c r="A493" s="2"/>
      <x:c r="B493" s="2" t="str">
        <x:v>Beauty | organic_sales_growth | RSHPCS</x:v>
      </x:c>
      <x:c r="C493" s="2" t="str">
        <x:v>2026-03-31</x:v>
      </x:c>
      <x:c r="D493" s="2" t="str">
        <x:v>Two months</x:v>
      </x:c>
      <x:c r="E493" s="2" t="str">
        <x:v>2026-04-01</x:v>
      </x:c>
      <x:c r="F493" s="2" t="str">
        <x:v>Recent trend</x:v>
      </x:c>
      <x:c r="G493" s="2" t="n">
        <x:v>16</x:v>
      </x:c>
      <x:c r="H493" s="7" t="n">
        <x:v>1.935687076407091</x:v>
      </x:c>
      <x:c r="I493" s="7" t="n">
        <x:v>0.24174966373428922</x:v>
      </x:c>
      <x:c r="J493" s="7" t="n">
        <x:v>2.5061193423112416</x:v>
      </x:c>
      <x:c r="K493" s="7" t="n">
        <x:f>H493+I493*J493</x:f>
        <x:v>2.541540584688832</x:v>
      </x:c>
      <x:c r="L493" s="7" t="n">
        <x:v>7</x:v>
      </x:c>
      <x:c r="M493" s="7" t="n">
        <x:f>K493-L493</x:f>
        <x:v>-4.458459415311168</x:v>
      </x:c>
      <x:c r="N493" s="7" t="n">
        <x:f>M493^2</x:f>
        <x:v>19.877860357976804</x:v>
      </x:c>
      <x:c r="O493" s="7" t="n">
        <x:v>4</x:v>
      </x:c>
      <x:c r="P493" s="7" t="n">
        <x:v>3.25</x:v>
      </x:c>
      <x:c r="Q493" s="7" t="n">
        <x:v>2.6362905109110324</x:v>
      </x:c>
      <x:c r="R493" s="7" t="n">
        <x:f>H493+I493*Q493</x:f>
        <x:v>2.5730094209257306</x:v>
      </x:c>
      <x:c r="S493" s="7" t="n">
        <x:f>R493-L493</x:f>
        <x:v>-4.426990579074269</x:v>
      </x:c>
      <x:c r="T493" s="7" t="n">
        <x:f>K493-R493</x:f>
        <x:v>-0.03146883623689867</x:v>
      </x:c>
      <x:c r="U493" s="7" t="n">
        <x:f>M493-S493-T493</x:f>
        <x:v>0</x:v>
      </x:c>
    </x:row>
    <x:row r="494" ht="27" customHeight="1">
      <x:c r="A494" s="2"/>
      <x:c r="B494" s="2" t="str">
        <x:v>Beauty | organic_sales_growth | RSHPCS</x:v>
      </x:c>
      <x:c r="C494" s="2" t="str">
        <x:v>2026-03-31</x:v>
      </x:c>
      <x:c r="D494" s="2" t="str">
        <x:v>Pre-earnings</x:v>
      </x:c>
      <x:c r="E494" s="2" t="str">
        <x:v>2026-04-23</x:v>
      </x:c>
      <x:c r="F494" s="2" t="str">
        <x:v>YoY carry</x:v>
      </x:c>
      <x:c r="G494" s="2" t="n">
        <x:v>20</x:v>
      </x:c>
      <x:c r="H494" s="7" t="n">
        <x:v>2.5711425839290016</x:v>
      </x:c>
      <x:c r="I494" s="7" t="n">
        <x:v>0.14425763148523038</x:v>
      </x:c>
      <x:c r="J494" s="7" t="n">
        <x:v>2.2175244833685603</x:v>
      </x:c>
      <x:c r="K494" s="7" t="n">
        <x:f>H494+I494*J494</x:f>
        <x:v>2.8910374136602592</x:v>
      </x:c>
      <x:c r="L494" s="7" t="n">
        <x:v>7</x:v>
      </x:c>
      <x:c r="M494" s="7" t="n">
        <x:f>K494-L494</x:f>
        <x:v>-4.108962586339741</x:v>
      </x:c>
      <x:c r="N494" s="7" t="n">
        <x:f>M494^2</x:f>
        <x:v>16.883573535939775</x:v>
      </x:c>
      <x:c r="O494" s="7" t="n">
        <x:v>4</x:v>
      </x:c>
      <x:c r="P494" s="7" t="n">
        <x:v>3.25</x:v>
      </x:c>
      <x:c r="Q494" s="7" t="n">
        <x:v>2.2175244833685603</x:v>
      </x:c>
      <x:c r="R494" s="7" t="n">
        <x:f>H494+I494*Q494</x:f>
        <x:v>2.8910374136602592</x:v>
      </x:c>
      <x:c r="S494" s="7" t="n">
        <x:f>R494-L494</x:f>
        <x:v>-4.108962586339741</x:v>
      </x:c>
      <x:c r="T494" s="7" t="n">
        <x:f>K494-R494</x:f>
        <x:v>0</x:v>
      </x:c>
      <x:c r="U494" s="7" t="n">
        <x:f>M494-S494-T494</x:f>
        <x:v>0</x:v>
      </x:c>
    </x:row>
    <x:row r="495" ht="27" customHeight="1">
      <x:c r="A495" s="2"/>
      <x:c r="B495" s="2" t="str">
        <x:v>Beauty | organic_sales_growth | RSHPCS</x:v>
      </x:c>
      <x:c r="C495" s="2" t="str">
        <x:v>2026-03-31</x:v>
      </x:c>
      <x:c r="D495" s="2" t="str">
        <x:v>Pre-earnings</x:v>
      </x:c>
      <x:c r="E495" s="2" t="str">
        <x:v>2026-04-23</x:v>
      </x:c>
      <x:c r="F495" s="2" t="str">
        <x:v>Flat level</x:v>
      </x:c>
      <x:c r="G495" s="2" t="n">
        <x:v>20</x:v>
      </x:c>
      <x:c r="H495" s="7" t="n">
        <x:v>2.5711425839290016</x:v>
      </x:c>
      <x:c r="I495" s="7" t="n">
        <x:v>0.14425763148523038</x:v>
      </x:c>
      <x:c r="J495" s="7" t="n">
        <x:v>2.2175244833685603</x:v>
      </x:c>
      <x:c r="K495" s="7" t="n">
        <x:f>H495+I495*J495</x:f>
        <x:v>2.8910374136602592</x:v>
      </x:c>
      <x:c r="L495" s="7" t="n">
        <x:v>7</x:v>
      </x:c>
      <x:c r="M495" s="7" t="n">
        <x:f>K495-L495</x:f>
        <x:v>-4.108962586339741</x:v>
      </x:c>
      <x:c r="N495" s="7" t="n">
        <x:f>M495^2</x:f>
        <x:v>16.883573535939775</x:v>
      </x:c>
      <x:c r="O495" s="7" t="n">
        <x:v>4</x:v>
      </x:c>
      <x:c r="P495" s="7" t="n">
        <x:v>3.25</x:v>
      </x:c>
      <x:c r="Q495" s="7" t="n">
        <x:v>2.2175244833685603</x:v>
      </x:c>
      <x:c r="R495" s="7" t="n">
        <x:f>H495+I495*Q495</x:f>
        <x:v>2.8910374136602592</x:v>
      </x:c>
      <x:c r="S495" s="7" t="n">
        <x:f>R495-L495</x:f>
        <x:v>-4.108962586339741</x:v>
      </x:c>
      <x:c r="T495" s="7" t="n">
        <x:f>K495-R495</x:f>
        <x:v>0</x:v>
      </x:c>
      <x:c r="U495" s="7" t="n">
        <x:f>M495-S495-T495</x:f>
        <x:v>0</x:v>
      </x:c>
    </x:row>
    <x:row r="496" ht="27" customHeight="1">
      <x:c r="A496" s="2"/>
      <x:c r="B496" s="2" t="str">
        <x:v>Beauty | organic_sales_growth | RSHPCS</x:v>
      </x:c>
      <x:c r="C496" s="2" t="str">
        <x:v>2026-03-31</x:v>
      </x:c>
      <x:c r="D496" s="2" t="str">
        <x:v>Pre-earnings</x:v>
      </x:c>
      <x:c r="E496" s="2" t="str">
        <x:v>2026-04-23</x:v>
      </x:c>
      <x:c r="F496" s="2" t="str">
        <x:v>Recent trend</x:v>
      </x:c>
      <x:c r="G496" s="2" t="n">
        <x:v>20</x:v>
      </x:c>
      <x:c r="H496" s="7" t="n">
        <x:v>2.5711425839290016</x:v>
      </x:c>
      <x:c r="I496" s="7" t="n">
        <x:v>0.14425763148523038</x:v>
      </x:c>
      <x:c r="J496" s="7" t="n">
        <x:v>2.2175244833685603</x:v>
      </x:c>
      <x:c r="K496" s="7" t="n">
        <x:f>H496+I496*J496</x:f>
        <x:v>2.8910374136602592</x:v>
      </x:c>
      <x:c r="L496" s="7" t="n">
        <x:v>7</x:v>
      </x:c>
      <x:c r="M496" s="7" t="n">
        <x:f>K496-L496</x:f>
        <x:v>-4.108962586339741</x:v>
      </x:c>
      <x:c r="N496" s="7" t="n">
        <x:f>M496^2</x:f>
        <x:v>16.883573535939775</x:v>
      </x:c>
      <x:c r="O496" s="7" t="n">
        <x:v>4</x:v>
      </x:c>
      <x:c r="P496" s="7" t="n">
        <x:v>3.25</x:v>
      </x:c>
      <x:c r="Q496" s="7" t="n">
        <x:v>2.2175244833685603</x:v>
      </x:c>
      <x:c r="R496" s="7" t="n">
        <x:f>H496+I496*Q496</x:f>
        <x:v>2.8910374136602592</x:v>
      </x:c>
      <x:c r="S496" s="7" t="n">
        <x:f>R496-L496</x:f>
        <x:v>-4.108962586339741</x:v>
      </x:c>
      <x:c r="T496" s="7" t="n">
        <x:f>K496-R496</x:f>
        <x:v>0</x:v>
      </x:c>
      <x:c r="U496" s="7" t="n">
        <x:f>M496-S496-T496</x:f>
        <x:v>0</x:v>
      </x:c>
    </x:row>
    <x:row r="497" ht="27" customHeight="1">
      <x:c r="A497" s="2"/>
      <x:c r="B497" s="2" t="str">
        <x:v>Health Care | price_contribution | CUUR0000SEGB</x:v>
      </x:c>
      <x:c r="C497" s="2" t="str">
        <x:v>2024-09-30</x:v>
      </x:c>
      <x:c r="D497" s="2" t="str">
        <x:v>Origin</x:v>
      </x:c>
      <x:c r="E497" s="2" t="str">
        <x:v>2024-07-01</x:v>
      </x:c>
      <x:c r="F497" s="2" t="str">
        <x:v>Available-history choice</x:v>
      </x:c>
      <x:c r="G497" s="2" t="n">
        <x:v>13</x:v>
      </x:c>
      <x:c r="H497" s="7" t="n">
        <x:v>1.4240774162255865</x:v>
      </x:c>
      <x:c r="I497" s="7" t="n">
        <x:v>0.7034112072834454</x:v>
      </x:c>
      <x:c r="J497" s="7" t="n">
        <x:v>0.3368313168963688</x:v>
      </x:c>
      <x:c r="K497" s="7" t="n">
        <x:f>H497+I497*J497</x:f>
        <x:v>1.661008339494534</x:v>
      </x:c>
      <x:c r="L497" s="7" t="n">
        <x:v>1</x:v>
      </x:c>
      <x:c r="M497" s="7" t="n">
        <x:f>K497-L497</x:f>
        <x:v>0.6610083394945341</x:v>
      </x:c>
      <x:c r="N497" s="7" t="n">
        <x:f>M497^2</x:f>
        <x:v>0.4369320248813212</x:v>
      </x:c>
      <x:c r="O497" s="7" t="n">
        <x:v>4</x:v>
      </x:c>
      <x:c r="P497" s="7" t="n">
        <x:v>5.25</x:v>
      </x:c>
      <x:c r="Q497" s="7" t="n">
        <x:v>0.373301115227731</x:v>
      </x:c>
      <x:c r="R497" s="7" t="n">
        <x:f>H497+I497*Q497</x:f>
        <x:v>1.6866616043681812</x:v>
      </x:c>
      <x:c r="S497" s="7" t="n">
        <x:f>R497-L497</x:f>
        <x:v>0.6866616043681812</x:v>
      </x:c>
      <x:c r="T497" s="7" t="n">
        <x:f>K497-R497</x:f>
        <x:v>-0.025653264873647164</x:v>
      </x:c>
      <x:c r="U497" s="7" t="n">
        <x:f>M497-S497-T497</x:f>
        <x:v>0</x:v>
      </x:c>
    </x:row>
    <x:row r="498" ht="27" customHeight="1">
      <x:c r="A498" s="2"/>
      <x:c r="B498" s="2" t="str">
        <x:v>Health Care | price_contribution | CUUR0000SEGB</x:v>
      </x:c>
      <x:c r="C498" s="2" t="str">
        <x:v>2024-09-30</x:v>
      </x:c>
      <x:c r="D498" s="2" t="str">
        <x:v>One month</x:v>
      </x:c>
      <x:c r="E498" s="2" t="str">
        <x:v>2024-08-14</x:v>
      </x:c>
      <x:c r="F498" s="2" t="str">
        <x:v>Available-history choice</x:v>
      </x:c>
      <x:c r="G498" s="2" t="n">
        <x:v>10</x:v>
      </x:c>
      <x:c r="H498" s="7" t="n">
        <x:v>2.4132031844812296</x:v>
      </x:c>
      <x:c r="I498" s="7" t="n">
        <x:v>0.5202874585826232</x:v>
      </x:c>
      <x:c r="J498" s="7" t="n">
        <x:v>0.9729515490539242</x:v>
      </x:c>
      <x:c r="K498" s="7" t="n">
        <x:f>H498+I498*J498</x:f>
        <x:v>2.9194176732625223</x:v>
      </x:c>
      <x:c r="L498" s="7" t="n">
        <x:v>1</x:v>
      </x:c>
      <x:c r="M498" s="7" t="n">
        <x:f>K498-L498</x:f>
        <x:v>1.9194176732625223</x:v>
      </x:c>
      <x:c r="N498" s="7" t="n">
        <x:f>M498^2</x:f>
        <x:v>3.684164204432515</x:v>
      </x:c>
      <x:c r="O498" s="7" t="n">
        <x:v>2</x:v>
      </x:c>
      <x:c r="P498" s="7" t="n">
        <x:v>4.25</x:v>
      </x:c>
      <x:c r="Q498" s="7" t="n">
        <x:v>0.373301115227731</x:v>
      </x:c>
      <x:c r="R498" s="7" t="n">
        <x:f>H498+I498*Q498</x:f>
        <x:v>2.607427073009125</x:v>
      </x:c>
      <x:c r="S498" s="7" t="n">
        <x:f>R498-L498</x:f>
        <x:v>1.607427073009125</x:v>
      </x:c>
      <x:c r="T498" s="7" t="n">
        <x:f>K498-R498</x:f>
        <x:v>0.3119906002533974</x:v>
      </x:c>
      <x:c r="U498" s="7" t="n">
        <x:f>M498-S498-T498</x:f>
        <x:v>0</x:v>
      </x:c>
    </x:row>
    <x:row r="499" ht="27" customHeight="1">
      <x:c r="A499" s="2"/>
      <x:c r="B499" s="2" t="str">
        <x:v>Health Care | price_contribution | CUUR0000SEGB</x:v>
      </x:c>
      <x:c r="C499" s="2" t="str">
        <x:v>2024-09-30</x:v>
      </x:c>
      <x:c r="D499" s="2" t="str">
        <x:v>Two months</x:v>
      </x:c>
      <x:c r="E499" s="2" t="str">
        <x:v>2024-09-11</x:v>
      </x:c>
      <x:c r="F499" s="2" t="str">
        <x:v>Available-history choice</x:v>
      </x:c>
      <x:c r="G499" s="2" t="n">
        <x:v>10</x:v>
      </x:c>
      <x:c r="H499" s="7" t="n">
        <x:v>2.4132031844812296</x:v>
      </x:c>
      <x:c r="I499" s="7" t="n">
        <x:v>0.5202874585826232</x:v>
      </x:c>
      <x:c r="J499" s="7" t="n">
        <x:v>0.24200984123481373</x:v>
      </x:c>
      <x:c r="K499" s="7" t="n">
        <x:f>H499+I499*J499</x:f>
        <x:v>2.539117869729275</x:v>
      </x:c>
      <x:c r="L499" s="7" t="n">
        <x:v>1</x:v>
      </x:c>
      <x:c r="M499" s="7" t="n">
        <x:f>K499-L499</x:f>
        <x:v>1.539117869729275</x:v>
      </x:c>
      <x:c r="N499" s="7" t="n">
        <x:f>M499^2</x:f>
        <x:v>2.3688838169199813</x:v>
      </x:c>
      <x:c r="O499" s="7" t="n">
        <x:v>2</x:v>
      </x:c>
      <x:c r="P499" s="7" t="n">
        <x:v>4.25</x:v>
      </x:c>
      <x:c r="Q499" s="7" t="n">
        <x:v>0.373301115227731</x:v>
      </x:c>
      <x:c r="R499" s="7" t="n">
        <x:f>H499+I499*Q499</x:f>
        <x:v>2.607427073009125</x:v>
      </x:c>
      <x:c r="S499" s="7" t="n">
        <x:f>R499-L499</x:f>
        <x:v>1.607427073009125</x:v>
      </x:c>
      <x:c r="T499" s="7" t="n">
        <x:f>K499-R499</x:f>
        <x:v>-0.06830920327985002</x:v>
      </x:c>
      <x:c r="U499" s="7" t="n">
        <x:f>M499-S499-T499</x:f>
        <x:v>0</x:v>
      </x:c>
    </x:row>
    <x:row r="500" ht="27" customHeight="1">
      <x:c r="A500" s="2"/>
      <x:c r="B500" s="2" t="str">
        <x:v>Health Care | price_contribution | CUUR0000SEGB</x:v>
      </x:c>
      <x:c r="C500" s="2" t="str">
        <x:v>2024-09-30</x:v>
      </x:c>
      <x:c r="D500" s="2" t="str">
        <x:v>Pre-earnings</x:v>
      </x:c>
      <x:c r="E500" s="2" t="str">
        <x:v>2024-10-17</x:v>
      </x:c>
      <x:c r="F500" s="2" t="str">
        <x:v>Available-history choice</x:v>
      </x:c>
      <x:c r="G500" s="2" t="n">
        <x:v>14</x:v>
      </x:c>
      <x:c r="H500" s="7" t="n">
        <x:v>1.3556789650290924</x:v>
      </x:c>
      <x:c r="I500" s="7" t="n">
        <x:v>0.7116235919433743</x:v>
      </x:c>
      <x:c r="J500" s="7" t="n">
        <x:v>0.373301115227731</x:v>
      </x:c>
      <x:c r="K500" s="7" t="n">
        <x:f>H500+I500*J500</x:f>
        <x:v>1.6213288455239176</x:v>
      </x:c>
      <x:c r="L500" s="7" t="n">
        <x:v>1</x:v>
      </x:c>
      <x:c r="M500" s="7" t="n">
        <x:f>K500-L500</x:f>
        <x:v>0.6213288455239176</x:v>
      </x:c>
      <x:c r="N500" s="7" t="n">
        <x:f>M500^2</x:f>
        <x:v>0.3860495342800843</x:v>
      </x:c>
      <x:c r="O500" s="7" t="n">
        <x:v>2</x:v>
      </x:c>
      <x:c r="P500" s="7" t="n">
        <x:v>4.25</x:v>
      </x:c>
      <x:c r="Q500" s="7" t="n">
        <x:v>0.373301115227731</x:v>
      </x:c>
      <x:c r="R500" s="7" t="n">
        <x:f>H500+I500*Q500</x:f>
        <x:v>1.6213288455239176</x:v>
      </x:c>
      <x:c r="S500" s="7" t="n">
        <x:f>R500-L500</x:f>
        <x:v>0.6213288455239176</x:v>
      </x:c>
      <x:c r="T500" s="7" t="n">
        <x:f>K500-R500</x:f>
        <x:v>0</x:v>
      </x:c>
      <x:c r="U500" s="7" t="n">
        <x:f>M500-S500-T500</x:f>
        <x:v>0</x:v>
      </x:c>
    </x:row>
    <x:row r="501" ht="27" customHeight="1">
      <x:c r="A501" s="2"/>
      <x:c r="B501" s="2" t="str">
        <x:v>Health Care | price_contribution | CUUR0000SEGB</x:v>
      </x:c>
      <x:c r="C501" s="2" t="str">
        <x:v>2024-12-31</x:v>
      </x:c>
      <x:c r="D501" s="2" t="str">
        <x:v>Origin</x:v>
      </x:c>
      <x:c r="E501" s="2" t="str">
        <x:v>2024-10-01</x:v>
      </x:c>
      <x:c r="F501" s="2" t="str">
        <x:v>Available-history choice</x:v>
      </x:c>
      <x:c r="G501" s="2" t="n">
        <x:v>14</x:v>
      </x:c>
      <x:c r="H501" s="7" t="n">
        <x:v>1.3556789650290924</x:v>
      </x:c>
      <x:c r="I501" s="7" t="n">
        <x:v>0.7116235919433743</x:v>
      </x:c>
      <x:c r="J501" s="7" t="n">
        <x:v>0.10583593560089533</x:v>
      </x:c>
      <x:c r="K501" s="7" t="n">
        <x:f>H501+I501*J501</x:f>
        <x:v>1.4309943136780892</x:v>
      </x:c>
      <x:c r="L501" s="7" t="n">
        <x:v>1</x:v>
      </x:c>
      <x:c r="M501" s="7" t="n">
        <x:f>K501-L501</x:f>
        <x:v>0.43099431367808916</x:v>
      </x:c>
      <x:c r="N501" s="7" t="n">
        <x:f>M501^2</x:f>
        <x:v>0.1857560984228471</x:v>
      </x:c>
      <x:c r="O501" s="7" t="n">
        <x:v>2</x:v>
      </x:c>
      <x:c r="P501" s="7" t="n">
        <x:v>4.25</x:v>
      </x:c>
      <x:c r="Q501" s="7" t="n">
        <x:v>0.341068456777438</x:v>
      </x:c>
      <x:c r="R501" s="7" t="n">
        <x:f>H501+I501*Q501</x:f>
        <x:v>1.5983913253396362</x:v>
      </x:c>
      <x:c r="S501" s="7" t="n">
        <x:f>R501-L501</x:f>
        <x:v>0.5983913253396362</x:v>
      </x:c>
      <x:c r="T501" s="7" t="n">
        <x:f>K501-R501</x:f>
        <x:v>-0.16739701166154708</x:v>
      </x:c>
      <x:c r="U501" s="7" t="n">
        <x:f>M501-S501-T501</x:f>
        <x:v>0</x:v>
      </x:c>
    </x:row>
    <x:row r="502" ht="27" customHeight="1">
      <x:c r="A502" s="2"/>
      <x:c r="B502" s="2" t="str">
        <x:v>Health Care | price_contribution | CUUR0000SEGB</x:v>
      </x:c>
      <x:c r="C502" s="2" t="str">
        <x:v>2024-12-31</x:v>
      </x:c>
      <x:c r="D502" s="2" t="str">
        <x:v>One month</x:v>
      </x:c>
      <x:c r="E502" s="2" t="str">
        <x:v>2024-11-13</x:v>
      </x:c>
      <x:c r="F502" s="2" t="str">
        <x:v>Available-history choice</x:v>
      </x:c>
      <x:c r="G502" s="2" t="n">
        <x:v>11</x:v>
      </x:c>
      <x:c r="H502" s="7" t="n">
        <x:v>1.8473218095476822</x:v>
      </x:c>
      <x:c r="I502" s="7" t="n">
        <x:v>0.6201248572543776</x:v>
      </x:c>
      <x:c r="J502" s="7" t="n">
        <x:v>0.07572588244633138</x:v>
      </x:c>
      <x:c r="K502" s="7" t="n">
        <x:f>H502+I502*J502</x:f>
        <x:v>1.8942813115901753</x:v>
      </x:c>
      <x:c r="L502" s="7" t="n">
        <x:v>1</x:v>
      </x:c>
      <x:c r="M502" s="7" t="n">
        <x:f>K502-L502</x:f>
        <x:v>0.8942813115901753</x:v>
      </x:c>
      <x:c r="N502" s="7" t="n">
        <x:f>M502^2</x:f>
        <x:v>0.7997390642594442</x:v>
      </x:c>
      <x:c r="O502" s="7" t="n">
        <x:v>1</x:v>
      </x:c>
      <x:c r="P502" s="7" t="n">
        <x:v>3</x:v>
      </x:c>
      <x:c r="Q502" s="7" t="n">
        <x:v>0.341068456777438</x:v>
      </x:c>
      <x:c r="R502" s="7" t="n">
        <x:f>H502+I502*Q502</x:f>
        <x:v>2.058826837620762</x:v>
      </x:c>
      <x:c r="S502" s="7" t="n">
        <x:f>R502-L502</x:f>
        <x:v>1.058826837620762</x:v>
      </x:c>
      <x:c r="T502" s="7" t="n">
        <x:f>K502-R502</x:f>
        <x:v>-0.1645455260305866</x:v>
      </x:c>
      <x:c r="U502" s="7" t="n">
        <x:f>M502-S502-T502</x:f>
        <x:v>0</x:v>
      </x:c>
    </x:row>
    <x:row r="503" ht="27" customHeight="1">
      <x:c r="A503" s="2"/>
      <x:c r="B503" s="2" t="str">
        <x:v>Health Care | price_contribution | CUUR0000SEGB</x:v>
      </x:c>
      <x:c r="C503" s="2" t="str">
        <x:v>2024-12-31</x:v>
      </x:c>
      <x:c r="D503" s="2" t="str">
        <x:v>Two months</x:v>
      </x:c>
      <x:c r="E503" s="2" t="str">
        <x:v>2024-12-11</x:v>
      </x:c>
      <x:c r="F503" s="2" t="str">
        <x:v>Available-history choice</x:v>
      </x:c>
      <x:c r="G503" s="2" t="n">
        <x:v>11</x:v>
      </x:c>
      <x:c r="H503" s="7" t="n">
        <x:v>1.8473218095476822</x:v>
      </x:c>
      <x:c r="I503" s="7" t="n">
        <x:v>0.6201248572543776</x:v>
      </x:c>
      <x:c r="J503" s="7" t="n">
        <x:v>0.6978440135380293</x:v>
      </x:c>
      <x:c r="K503" s="7" t="n">
        <x:f>H503+I503*J503</x:f>
        <x:v>2.2800722288287747</x:v>
      </x:c>
      <x:c r="L503" s="7" t="n">
        <x:v>1</x:v>
      </x:c>
      <x:c r="M503" s="7" t="n">
        <x:f>K503-L503</x:f>
        <x:v>1.2800722288287747</x:v>
      </x:c>
      <x:c r="N503" s="7" t="n">
        <x:f>M503^2</x:f>
        <x:v>1.638584911018667</x:v>
      </x:c>
      <x:c r="O503" s="7" t="n">
        <x:v>1</x:v>
      </x:c>
      <x:c r="P503" s="7" t="n">
        <x:v>3</x:v>
      </x:c>
      <x:c r="Q503" s="7" t="n">
        <x:v>0.341068456777438</x:v>
      </x:c>
      <x:c r="R503" s="7" t="n">
        <x:f>H503+I503*Q503</x:f>
        <x:v>2.058826837620762</x:v>
      </x:c>
      <x:c r="S503" s="7" t="n">
        <x:f>R503-L503</x:f>
        <x:v>1.058826837620762</x:v>
      </x:c>
      <x:c r="T503" s="7" t="n">
        <x:f>K503-R503</x:f>
        <x:v>0.2212453912080128</x:v>
      </x:c>
      <x:c r="U503" s="7" t="n">
        <x:f>M503-S503-T503</x:f>
        <x:v>0</x:v>
      </x:c>
    </x:row>
    <x:row r="504" ht="27" customHeight="1">
      <x:c r="A504" s="2"/>
      <x:c r="B504" s="2" t="str">
        <x:v>Health Care | price_contribution | CUUR0000SEGB</x:v>
      </x:c>
      <x:c r="C504" s="2" t="str">
        <x:v>2024-12-31</x:v>
      </x:c>
      <x:c r="D504" s="2" t="str">
        <x:v>Pre-earnings</x:v>
      </x:c>
      <x:c r="E504" s="2" t="str">
        <x:v>2025-01-21</x:v>
      </x:c>
      <x:c r="F504" s="2" t="str">
        <x:v>Available-history choice</x:v>
      </x:c>
      <x:c r="G504" s="2" t="n">
        <x:v>15</x:v>
      </x:c>
      <x:c r="H504" s="7" t="n">
        <x:v>1.2724504947284347</x:v>
      </x:c>
      <x:c r="I504" s="7" t="n">
        <x:v>0.7254455545433214</x:v>
      </x:c>
      <x:c r="J504" s="7" t="n">
        <x:v>0.341068456777438</x:v>
      </x:c>
      <x:c r="K504" s="7" t="n">
        <x:f>H504+I504*J504</x:f>
        <x:v>1.519877090492578</x:v>
      </x:c>
      <x:c r="L504" s="7" t="n">
        <x:v>1</x:v>
      </x:c>
      <x:c r="M504" s="7" t="n">
        <x:f>K504-L504</x:f>
        <x:v>0.519877090492578</x:v>
      </x:c>
      <x:c r="N504" s="7" t="n">
        <x:f>M504^2</x:f>
        <x:v>0.2702721892190282</x:v>
      </x:c>
      <x:c r="O504" s="7" t="n">
        <x:v>1</x:v>
      </x:c>
      <x:c r="P504" s="7" t="n">
        <x:v>3</x:v>
      </x:c>
      <x:c r="Q504" s="7" t="n">
        <x:v>0.341068456777438</x:v>
      </x:c>
      <x:c r="R504" s="7" t="n">
        <x:f>H504+I504*Q504</x:f>
        <x:v>1.519877090492578</x:v>
      </x:c>
      <x:c r="S504" s="7" t="n">
        <x:f>R504-L504</x:f>
        <x:v>0.519877090492578</x:v>
      </x:c>
      <x:c r="T504" s="7" t="n">
        <x:f>K504-R504</x:f>
        <x:v>0</x:v>
      </x:c>
      <x:c r="U504" s="7" t="n">
        <x:f>M504-S504-T504</x:f>
        <x:v>0</x:v>
      </x:c>
    </x:row>
    <x:row r="505" ht="27" customHeight="1">
      <x:c r="A505" s="2"/>
      <x:c r="B505" s="2" t="str">
        <x:v>Health Care | price_contribution | CUUR0000SEGB</x:v>
      </x:c>
      <x:c r="C505" s="2" t="str">
        <x:v>2025-03-31</x:v>
      </x:c>
      <x:c r="D505" s="2" t="str">
        <x:v>Origin</x:v>
      </x:c>
      <x:c r="E505" s="2" t="str">
        <x:v>2025-01-01</x:v>
      </x:c>
      <x:c r="F505" s="2" t="str">
        <x:v>Available-history choice</x:v>
      </x:c>
      <x:c r="G505" s="2" t="n">
        <x:v>15</x:v>
      </x:c>
      <x:c r="H505" s="7" t="n">
        <x:v>1.2724504947284347</x:v>
      </x:c>
      <x:c r="I505" s="7" t="n">
        <x:v>0.7254455545433214</x:v>
      </x:c>
      <x:c r="J505" s="7" t="n">
        <x:v>0.3296910148482102</x:v>
      </x:c>
      <x:c r="K505" s="7" t="n">
        <x:f>H505+I505*J505</x:f>
        <x:v>1.511623375822945</x:v>
      </x:c>
      <x:c r="L505" s="7" t="n">
        <x:v>1</x:v>
      </x:c>
      <x:c r="M505" s="7" t="n">
        <x:f>K505-L505</x:f>
        <x:v>0.5116233758229449</x:v>
      </x:c>
      <x:c r="N505" s="7" t="n">
        <x:f>M505^2</x:f>
        <x:v>0.26175847868846636</x:v>
      </x:c>
      <x:c r="O505" s="7" t="n">
        <x:v>1</x:v>
      </x:c>
      <x:c r="P505" s="7" t="n">
        <x:v>3</x:v>
      </x:c>
      <x:c r="Q505" s="7" t="n">
        <x:v>0.23594619830289432</x:v>
      </x:c>
      <x:c r="R505" s="7" t="n">
        <x:f>H505+I505*Q505</x:f>
        <x:v>1.4436166153986665</x:v>
      </x:c>
      <x:c r="S505" s="7" t="n">
        <x:f>R505-L505</x:f>
        <x:v>0.4436166153986665</x:v>
      </x:c>
      <x:c r="T505" s="7" t="n">
        <x:f>K505-R505</x:f>
        <x:v>0.06800676042427845</x:v>
      </x:c>
      <x:c r="U505" s="7" t="n">
        <x:f>M505-S505-T505</x:f>
        <x:v>0</x:v>
      </x:c>
    </x:row>
    <x:row r="506" ht="27" customHeight="1">
      <x:c r="A506" s="2"/>
      <x:c r="B506" s="2" t="str">
        <x:v>Health Care | price_contribution | CUUR0000SEGB</x:v>
      </x:c>
      <x:c r="C506" s="2" t="str">
        <x:v>2025-03-31</x:v>
      </x:c>
      <x:c r="D506" s="2" t="str">
        <x:v>One month</x:v>
      </x:c>
      <x:c r="E506" s="2" t="str">
        <x:v>2025-02-12</x:v>
      </x:c>
      <x:c r="F506" s="2" t="str">
        <x:v>Available-history choice</x:v>
      </x:c>
      <x:c r="G506" s="2" t="n">
        <x:v>12</x:v>
      </x:c>
      <x:c r="H506" s="7" t="n">
        <x:v>1.5659173179731072</x:v>
      </x:c>
      <x:c r="I506" s="7" t="n">
        <x:v>0.6698797267910008</x:v>
      </x:c>
      <x:c r="J506" s="7" t="n">
        <x:v>-0.33285932872747503</x:v>
      </x:c>
      <x:c r="K506" s="7" t="n">
        <x:f>H506+I506*J506</x:f>
        <x:v>1.3429416017853102</x:v>
      </x:c>
      <x:c r="L506" s="7" t="n">
        <x:v>1</x:v>
      </x:c>
      <x:c r="M506" s="7" t="n">
        <x:f>K506-L506</x:f>
        <x:v>0.3429416017853102</x:v>
      </x:c>
      <x:c r="N506" s="7" t="n">
        <x:f>M506^2</x:f>
        <x:v>0.11760894223507427</x:v>
      </x:c>
      <x:c r="O506" s="7" t="n">
        <x:v>1</x:v>
      </x:c>
      <x:c r="P506" s="7" t="n">
        <x:v>2</x:v>
      </x:c>
      <x:c r="Q506" s="7" t="n">
        <x:v>0.23594619830289432</x:v>
      </x:c>
      <x:c r="R506" s="7" t="n">
        <x:f>H506+I506*Q506</x:f>
        <x:v>1.7239728928296254</x:v>
      </x:c>
      <x:c r="S506" s="7" t="n">
        <x:f>R506-L506</x:f>
        <x:v>0.7239728928296254</x:v>
      </x:c>
      <x:c r="T506" s="7" t="n">
        <x:f>K506-R506</x:f>
        <x:v>-0.3810312910443152</x:v>
      </x:c>
      <x:c r="U506" s="7" t="n">
        <x:f>M506-S506-T506</x:f>
        <x:v>0</x:v>
      </x:c>
    </x:row>
    <x:row r="507" ht="27" customHeight="1">
      <x:c r="A507" s="2"/>
      <x:c r="B507" s="2" t="str">
        <x:v>Health Care | price_contribution | CUUR0000SEGB</x:v>
      </x:c>
      <x:c r="C507" s="2" t="str">
        <x:v>2025-03-31</x:v>
      </x:c>
      <x:c r="D507" s="2" t="str">
        <x:v>Two months</x:v>
      </x:c>
      <x:c r="E507" s="2" t="str">
        <x:v>2025-03-12</x:v>
      </x:c>
      <x:c r="F507" s="2" t="str">
        <x:v>Available-history choice</x:v>
      </x:c>
      <x:c r="G507" s="2" t="n">
        <x:v>12</x:v>
      </x:c>
      <x:c r="H507" s="7" t="n">
        <x:v>1.5659173179731072</x:v>
      </x:c>
      <x:c r="I507" s="7" t="n">
        <x:v>0.6698797267910008</x:v>
      </x:c>
      <x:c r="J507" s="7" t="n">
        <x:v>0.25048316786659974</x:v>
      </x:c>
      <x:c r="K507" s="7" t="n">
        <x:f>H507+I507*J507</x:f>
        <x:v>1.7337109140293294</x:v>
      </x:c>
      <x:c r="L507" s="7" t="n">
        <x:v>1</x:v>
      </x:c>
      <x:c r="M507" s="7" t="n">
        <x:f>K507-L507</x:f>
        <x:v>0.7337109140293294</x:v>
      </x:c>
      <x:c r="N507" s="7" t="n">
        <x:f>M507^2</x:f>
        <x:v>0.538331705365754</x:v>
      </x:c>
      <x:c r="O507" s="7" t="n">
        <x:v>1</x:v>
      </x:c>
      <x:c r="P507" s="7" t="n">
        <x:v>2</x:v>
      </x:c>
      <x:c r="Q507" s="7" t="n">
        <x:v>0.23594619830289432</x:v>
      </x:c>
      <x:c r="R507" s="7" t="n">
        <x:f>H507+I507*Q507</x:f>
        <x:v>1.7239728928296254</x:v>
      </x:c>
      <x:c r="S507" s="7" t="n">
        <x:f>R507-L507</x:f>
        <x:v>0.7239728928296254</x:v>
      </x:c>
      <x:c r="T507" s="7" t="n">
        <x:f>K507-R507</x:f>
        <x:v>0.009738021199704017</x:v>
      </x:c>
      <x:c r="U507" s="7" t="n">
        <x:f>M507-S507-T507</x:f>
        <x:v>0</x:v>
      </x:c>
    </x:row>
    <x:row r="508" ht="27" customHeight="1">
      <x:c r="A508" s="2"/>
      <x:c r="B508" s="2" t="str">
        <x:v>Health Care | price_contribution | CUUR0000SEGB</x:v>
      </x:c>
      <x:c r="C508" s="2" t="str">
        <x:v>2025-03-31</x:v>
      </x:c>
      <x:c r="D508" s="2" t="str">
        <x:v>Pre-earnings</x:v>
      </x:c>
      <x:c r="E508" s="2" t="str">
        <x:v>2025-04-23</x:v>
      </x:c>
      <x:c r="F508" s="2" t="str">
        <x:v>Available-history choice</x:v>
      </x:c>
      <x:c r="G508" s="2" t="n">
        <x:v>16</x:v>
      </x:c>
      <x:c r="H508" s="7" t="n">
        <x:v>1.2102868897109689</x:v>
      </x:c>
      <x:c r="I508" s="7" t="n">
        <x:v>0.7358313054642796</x:v>
      </x:c>
      <x:c r="J508" s="7" t="n">
        <x:v>0.23594619830289432</x:v>
      </x:c>
      <x:c r="K508" s="7" t="n">
        <x:f>H508+I508*J508</x:f>
        <x:v>1.3839034888275215</x:v>
      </x:c>
      <x:c r="L508" s="7" t="n">
        <x:v>1</x:v>
      </x:c>
      <x:c r="M508" s="7" t="n">
        <x:f>K508-L508</x:f>
        <x:v>0.38390348882752146</x:v>
      </x:c>
      <x:c r="N508" s="7" t="n">
        <x:f>M508^2</x:f>
        <x:v>0.1473818887339429</x:v>
      </x:c>
      <x:c r="O508" s="7" t="n">
        <x:v>1</x:v>
      </x:c>
      <x:c r="P508" s="7" t="n">
        <x:v>2</x:v>
      </x:c>
      <x:c r="Q508" s="7" t="n">
        <x:v>0.23594619830289432</x:v>
      </x:c>
      <x:c r="R508" s="7" t="n">
        <x:f>H508+I508*Q508</x:f>
        <x:v>1.3839034888275215</x:v>
      </x:c>
      <x:c r="S508" s="7" t="n">
        <x:f>R508-L508</x:f>
        <x:v>0.38390348882752146</x:v>
      </x:c>
      <x:c r="T508" s="7" t="n">
        <x:f>K508-R508</x:f>
        <x:v>0</x:v>
      </x:c>
      <x:c r="U508" s="7" t="n">
        <x:f>M508-S508-T508</x:f>
        <x:v>0</x:v>
      </x:c>
    </x:row>
    <x:row r="509" ht="27" customHeight="1">
      <x:c r="A509" s="2"/>
      <x:c r="B509" s="2" t="str">
        <x:v>Health Care | price_contribution | CUUR0000SEGB</x:v>
      </x:c>
      <x:c r="C509" s="2" t="str">
        <x:v>2025-06-30</x:v>
      </x:c>
      <x:c r="D509" s="2" t="str">
        <x:v>Origin</x:v>
      </x:c>
      <x:c r="E509" s="2" t="str">
        <x:v>2025-04-01</x:v>
      </x:c>
      <x:c r="F509" s="2" t="str">
        <x:v>Available-history choice</x:v>
      </x:c>
      <x:c r="G509" s="2" t="n">
        <x:v>16</x:v>
      </x:c>
      <x:c r="H509" s="7" t="n">
        <x:v>1.2102868897109689</x:v>
      </x:c>
      <x:c r="I509" s="7" t="n">
        <x:v>0.7358313054642796</x:v>
      </x:c>
      <x:c r="J509" s="7" t="n">
        <x:v>0.4992622840876981</x:v>
      </x:c>
      <x:c r="K509" s="7" t="n">
        <x:f>H509+I509*J509</x:f>
        <x:v>1.5776597079802979</x:v>
      </x:c>
      <x:c r="L509" s="7" t="n">
        <x:v>1</x:v>
      </x:c>
      <x:c r="M509" s="7" t="n">
        <x:f>K509-L509</x:f>
        <x:v>0.5776597079802979</x:v>
      </x:c>
      <x:c r="N509" s="7" t="n">
        <x:f>M509^2</x:f>
        <x:v>0.333690738223883</x:v>
      </x:c>
      <x:c r="O509" s="7" t="n">
        <x:v>1</x:v>
      </x:c>
      <x:c r="P509" s="7" t="n">
        <x:v>2</x:v>
      </x:c>
      <x:c r="Q509" s="7" t="n">
        <x:v>0.5057825004843641</x:v>
      </x:c>
      <x:c r="R509" s="7" t="n">
        <x:f>H509+I509*Q509</x:f>
        <x:v>1.582457487323366</x:v>
      </x:c>
      <x:c r="S509" s="7" t="n">
        <x:f>R509-L509</x:f>
        <x:v>0.5824574873233661</x:v>
      </x:c>
      <x:c r="T509" s="7" t="n">
        <x:f>K509-R509</x:f>
        <x:v>-0.0047977793430682425</x:v>
      </x:c>
      <x:c r="U509" s="7" t="n">
        <x:f>M509-S509-T509</x:f>
        <x:v>0</x:v>
      </x:c>
    </x:row>
    <x:row r="510" ht="27" customHeight="1">
      <x:c r="A510" s="2"/>
      <x:c r="B510" s="2" t="str">
        <x:v>Health Care | price_contribution | CUUR0000SEGB</x:v>
      </x:c>
      <x:c r="C510" s="2" t="str">
        <x:v>2025-06-30</x:v>
      </x:c>
      <x:c r="D510" s="2" t="str">
        <x:v>One month</x:v>
      </x:c>
      <x:c r="E510" s="2" t="str">
        <x:v>2025-05-13</x:v>
      </x:c>
      <x:c r="F510" s="2" t="str">
        <x:v>Available-history choice</x:v>
      </x:c>
      <x:c r="G510" s="2" t="n">
        <x:v>13</x:v>
      </x:c>
      <x:c r="H510" s="7" t="n">
        <x:v>1.410070510963585</x:v>
      </x:c>
      <x:c r="I510" s="7" t="n">
        <x:v>0.6976862088531262</x:v>
      </x:c>
      <x:c r="J510" s="7" t="n">
        <x:v>0.8576893095995075</x:v>
      </x:c>
      <x:c r="K510" s="7" t="n">
        <x:f>H510+I510*J510</x:f>
        <x:v>2.0084685137519207</x:v>
      </x:c>
      <x:c r="L510" s="7" t="n">
        <x:v>1</x:v>
      </x:c>
      <x:c r="M510" s="7" t="n">
        <x:f>K510-L510</x:f>
        <x:v>1.0084685137519207</x:v>
      </x:c>
      <x:c r="N510" s="7" t="n">
        <x:f>M510^2</x:f>
        <x:v>1.0170087432290078</x:v>
      </x:c>
      <x:c r="O510" s="7" t="n">
        <x:v>1</x:v>
      </x:c>
      <x:c r="P510" s="7" t="n">
        <x:v>1.25</x:v>
      </x:c>
      <x:c r="Q510" s="7" t="n">
        <x:v>0.5057825004843641</x:v>
      </x:c>
      <x:c r="R510" s="7" t="n">
        <x:f>H510+I510*Q510</x:f>
        <x:v>1.7629479862307753</x:v>
      </x:c>
      <x:c r="S510" s="7" t="n">
        <x:f>R510-L510</x:f>
        <x:v>0.7629479862307753</x:v>
      </x:c>
      <x:c r="T510" s="7" t="n">
        <x:f>K510-R510</x:f>
        <x:v>0.2455205275211454</x:v>
      </x:c>
      <x:c r="U510" s="7" t="n">
        <x:f>M510-S510-T510</x:f>
        <x:v>0</x:v>
      </x:c>
    </x:row>
    <x:row r="511" ht="27" customHeight="1">
      <x:c r="A511" s="2"/>
      <x:c r="B511" s="2" t="str">
        <x:v>Health Care | price_contribution | CUUR0000SEGB</x:v>
      </x:c>
      <x:c r="C511" s="2" t="str">
        <x:v>2025-06-30</x:v>
      </x:c>
      <x:c r="D511" s="2" t="str">
        <x:v>Two months</x:v>
      </x:c>
      <x:c r="E511" s="2" t="str">
        <x:v>2025-06-11</x:v>
      </x:c>
      <x:c r="F511" s="2" t="str">
        <x:v>Available-history choice</x:v>
      </x:c>
      <x:c r="G511" s="2" t="n">
        <x:v>13</x:v>
      </x:c>
      <x:c r="H511" s="7" t="n">
        <x:v>1.410070510963585</x:v>
      </x:c>
      <x:c r="I511" s="7" t="n">
        <x:v>0.6976862088531262</x:v>
      </x:c>
      <x:c r="J511" s="7" t="n">
        <x:v>0.47653467264787697</x:v>
      </x:c>
      <x:c r="K511" s="7" t="n">
        <x:f>H511+I511*J511</x:f>
        <x:v>1.7425421801103478</x:v>
      </x:c>
      <x:c r="L511" s="7" t="n">
        <x:v>1</x:v>
      </x:c>
      <x:c r="M511" s="7" t="n">
        <x:f>K511-L511</x:f>
        <x:v>0.7425421801103478</x:v>
      </x:c>
      <x:c r="N511" s="7" t="n">
        <x:f>M511^2</x:f>
        <x:v>0.5513688892430282</x:v>
      </x:c>
      <x:c r="O511" s="7" t="n">
        <x:v>1</x:v>
      </x:c>
      <x:c r="P511" s="7" t="n">
        <x:v>1.25</x:v>
      </x:c>
      <x:c r="Q511" s="7" t="n">
        <x:v>0.5057825004843641</x:v>
      </x:c>
      <x:c r="R511" s="7" t="n">
        <x:f>H511+I511*Q511</x:f>
        <x:v>1.7629479862307753</x:v>
      </x:c>
      <x:c r="S511" s="7" t="n">
        <x:f>R511-L511</x:f>
        <x:v>0.7629479862307753</x:v>
      </x:c>
      <x:c r="T511" s="7" t="n">
        <x:f>K511-R511</x:f>
        <x:v>-0.020405806120427528</x:v>
      </x:c>
      <x:c r="U511" s="7" t="n">
        <x:f>M511-S511-T511</x:f>
        <x:v>0</x:v>
      </x:c>
    </x:row>
    <x:row r="512" ht="27" customHeight="1">
      <x:c r="A512" s="2"/>
      <x:c r="B512" s="2" t="str">
        <x:v>Health Care | price_contribution | CUUR0000SEGB</x:v>
      </x:c>
      <x:c r="C512" s="2" t="str">
        <x:v>2025-06-30</x:v>
      </x:c>
      <x:c r="D512" s="2" t="str">
        <x:v>Pre-earnings</x:v>
      </x:c>
      <x:c r="E512" s="2" t="str">
        <x:v>2025-07-28</x:v>
      </x:c>
      <x:c r="F512" s="2" t="str">
        <x:v>Available-history choice</x:v>
      </x:c>
      <x:c r="G512" s="2" t="n">
        <x:v>17</x:v>
      </x:c>
      <x:c r="H512" s="7" t="n">
        <x:v>1.1683726059882393</x:v>
      </x:c>
      <x:c r="I512" s="7" t="n">
        <x:v>0.7429839252380669</x:v>
      </x:c>
      <x:c r="J512" s="7" t="n">
        <x:v>0.5057825004843641</x:v>
      </x:c>
      <x:c r="K512" s="7" t="n">
        <x:f>H512+I512*J512</x:f>
        <x:v>1.5441608735148367</x:v>
      </x:c>
      <x:c r="L512" s="7" t="n">
        <x:v>1</x:v>
      </x:c>
      <x:c r="M512" s="7" t="n">
        <x:f>K512-L512</x:f>
        <x:v>0.5441608735148367</x:v>
      </x:c>
      <x:c r="N512" s="7" t="n">
        <x:f>M512^2</x:f>
        <x:v>0.2961110562644301</x:v>
      </x:c>
      <x:c r="O512" s="7" t="n">
        <x:v>1</x:v>
      </x:c>
      <x:c r="P512" s="7" t="n">
        <x:v>1.25</x:v>
      </x:c>
      <x:c r="Q512" s="7" t="n">
        <x:v>0.5057825004843641</x:v>
      </x:c>
      <x:c r="R512" s="7" t="n">
        <x:f>H512+I512*Q512</x:f>
        <x:v>1.5441608735148367</x:v>
      </x:c>
      <x:c r="S512" s="7" t="n">
        <x:f>R512-L512</x:f>
        <x:v>0.5441608735148367</x:v>
      </x:c>
      <x:c r="T512" s="7" t="n">
        <x:f>K512-R512</x:f>
        <x:v>0</x:v>
      </x:c>
      <x:c r="U512" s="7" t="n">
        <x:f>M512-S512-T512</x:f>
        <x:v>0</x:v>
      </x:c>
    </x:row>
    <x:row r="513" ht="27" customHeight="1">
      <x:c r="A513" s="2"/>
      <x:c r="B513" s="2" t="str">
        <x:v>Health Care | price_contribution | CUUR0000SEGB</x:v>
      </x:c>
      <x:c r="C513" s="2" t="str">
        <x:v>2025-09-30</x:v>
      </x:c>
      <x:c r="D513" s="2" t="str">
        <x:v>Origin</x:v>
      </x:c>
      <x:c r="E513" s="2" t="str">
        <x:v>2025-07-01</x:v>
      </x:c>
      <x:c r="F513" s="2" t="str">
        <x:v>Available-history choice</x:v>
      </x:c>
      <x:c r="G513" s="2" t="n">
        <x:v>17</x:v>
      </x:c>
      <x:c r="H513" s="7" t="n">
        <x:v>1.1683726059882393</x:v>
      </x:c>
      <x:c r="I513" s="7" t="n">
        <x:v>0.7429839252380669</x:v>
      </x:c>
      <x:c r="J513" s="7" t="n">
        <x:v>0.4348919757399594</x:v>
      </x:c>
      <x:c r="K513" s="7" t="n">
        <x:f>H513+I513*J513</x:f>
        <x:v>1.4914903531780526</x:v>
      </x:c>
      <x:c r="L513" s="7" t="n">
        <x:v>1</x:v>
      </x:c>
      <x:c r="M513" s="7" t="n">
        <x:f>K513-L513</x:f>
        <x:v>0.49149035317805256</x:v>
      </x:c>
      <x:c r="N513" s="7" t="n">
        <x:f>M513^2</x:f>
        <x:v>0.24156276726708684</x:v>
      </x:c>
      <x:c r="O513" s="7" t="n">
        <x:v>1</x:v>
      </x:c>
      <x:c r="P513" s="7" t="n">
        <x:v>1.25</x:v>
      </x:c>
      <x:c r="Q513" s="7" t="n">
        <x:v>1.0082264270475205</x:v>
      </x:c>
      <x:c r="R513" s="7" t="n">
        <x:f>H513+I513*Q513</x:f>
        <x:v>1.9174686342847576</x:v>
      </x:c>
      <x:c r="S513" s="7" t="n">
        <x:f>R513-L513</x:f>
        <x:v>0.9174686342847576</x:v>
      </x:c>
      <x:c r="T513" s="7" t="n">
        <x:f>K513-R513</x:f>
        <x:v>-0.425978281106705</x:v>
      </x:c>
      <x:c r="U513" s="7" t="n">
        <x:f>M513-S513-T513</x:f>
        <x:v>0</x:v>
      </x:c>
    </x:row>
    <x:row r="514" ht="27" customHeight="1">
      <x:c r="A514" s="2"/>
      <x:c r="B514" s="2" t="str">
        <x:v>Health Care | price_contribution | CUUR0000SEGB</x:v>
      </x:c>
      <x:c r="C514" s="2" t="str">
        <x:v>2025-09-30</x:v>
      </x:c>
      <x:c r="D514" s="2" t="str">
        <x:v>One month</x:v>
      </x:c>
      <x:c r="E514" s="2" t="str">
        <x:v>2025-08-12</x:v>
      </x:c>
      <x:c r="F514" s="2" t="str">
        <x:v>Available-history choice</x:v>
      </x:c>
      <x:c r="G514" s="2" t="n">
        <x:v>14</x:v>
      </x:c>
      <x:c r="H514" s="7" t="n">
        <x:v>1.2787592702220674</x:v>
      </x:c>
      <x:c r="I514" s="7" t="n">
        <x:v>0.7204074003654459</x:v>
      </x:c>
      <x:c r="J514" s="7" t="n">
        <x:v>0.4930266357360269</x:v>
      </x:c>
      <x:c r="K514" s="7" t="n">
        <x:f>H514+I514*J514</x:f>
        <x:v>1.6339393071835802</x:v>
      </x:c>
      <x:c r="L514" s="7" t="n">
        <x:v>1</x:v>
      </x:c>
      <x:c r="M514" s="7" t="n">
        <x:f>K514-L514</x:f>
        <x:v>0.6339393071835802</x:v>
      </x:c>
      <x:c r="N514" s="7" t="n">
        <x:f>M514^2</x:f>
        <x:v>0.4018790451923976</x:v>
      </x:c>
      <x:c r="O514" s="7" t="n">
        <x:v>1</x:v>
      </x:c>
      <x:c r="P514" s="7" t="n">
        <x:v>1</x:v>
      </x:c>
      <x:c r="Q514" s="7" t="n">
        <x:v>1.0082264270475205</x:v>
      </x:c>
      <x:c r="R514" s="7" t="n">
        <x:f>H514+I514*Q514</x:f>
        <x:v>2.0050930495111134</x:v>
      </x:c>
      <x:c r="S514" s="7" t="n">
        <x:f>R514-L514</x:f>
        <x:v>1.0050930495111134</x:v>
      </x:c>
      <x:c r="T514" s="7" t="n">
        <x:f>K514-R514</x:f>
        <x:v>-0.3711537423275333</x:v>
      </x:c>
      <x:c r="U514" s="7" t="n">
        <x:f>M514-S514-T514</x:f>
        <x:v>0</x:v>
      </x:c>
    </x:row>
    <x:row r="515" ht="27" customHeight="1">
      <x:c r="A515" s="2"/>
      <x:c r="B515" s="2" t="str">
        <x:v>Health Care | price_contribution | CUUR0000SEGB</x:v>
      </x:c>
      <x:c r="C515" s="2" t="str">
        <x:v>2025-09-30</x:v>
      </x:c>
      <x:c r="D515" s="2" t="str">
        <x:v>Two months</x:v>
      </x:c>
      <x:c r="E515" s="2" t="str">
        <x:v>2025-09-11</x:v>
      </x:c>
      <x:c r="F515" s="2" t="str">
        <x:v>Available-history choice</x:v>
      </x:c>
      <x:c r="G515" s="2" t="n">
        <x:v>14</x:v>
      </x:c>
      <x:c r="H515" s="7" t="n">
        <x:v>1.2787592702220674</x:v>
      </x:c>
      <x:c r="I515" s="7" t="n">
        <x:v>0.7204074003654459</x:v>
      </x:c>
      <x:c r="J515" s="7" t="n">
        <x:v>0.7635763995639921</x:v>
      </x:c>
      <x:c r="K515" s="7" t="n">
        <x:f>H515+I515*J515</x:f>
        <x:v>1.82884535921237</x:v>
      </x:c>
      <x:c r="L515" s="7" t="n">
        <x:v>1</x:v>
      </x:c>
      <x:c r="M515" s="7" t="n">
        <x:f>K515-L515</x:f>
        <x:v>0.8288453592123699</x:v>
      </x:c>
      <x:c r="N515" s="7" t="n">
        <x:f>M515^2</x:f>
        <x:v>0.6869846294878825</x:v>
      </x:c>
      <x:c r="O515" s="7" t="n">
        <x:v>1</x:v>
      </x:c>
      <x:c r="P515" s="7" t="n">
        <x:v>1</x:v>
      </x:c>
      <x:c r="Q515" s="7" t="n">
        <x:v>1.0082264270475205</x:v>
      </x:c>
      <x:c r="R515" s="7" t="n">
        <x:f>H515+I515*Q515</x:f>
        <x:v>2.0050930495111134</x:v>
      </x:c>
      <x:c r="S515" s="7" t="n">
        <x:f>R515-L515</x:f>
        <x:v>1.0050930495111134</x:v>
      </x:c>
      <x:c r="T515" s="7" t="n">
        <x:f>K515-R515</x:f>
        <x:v>-0.17624769029874354</x:v>
      </x:c>
      <x:c r="U515" s="7" t="n">
        <x:f>M515-S515-T515</x:f>
        <x:v>0</x:v>
      </x:c>
    </x:row>
    <x:row r="516" ht="27" customHeight="1">
      <x:c r="A516" s="2"/>
      <x:c r="B516" s="2" t="str">
        <x:v>Health Care | price_contribution | CUUR0000SEGB</x:v>
      </x:c>
      <x:c r="C516" s="2" t="str">
        <x:v>2025-09-30</x:v>
      </x:c>
      <x:c r="D516" s="2" t="str">
        <x:v>Pre-earnings</x:v>
      </x:c>
      <x:c r="E516" s="2" t="str">
        <x:v>2025-10-23</x:v>
      </x:c>
      <x:c r="F516" s="2" t="str">
        <x:v>Available-history choice</x:v>
      </x:c>
      <x:c r="G516" s="2" t="n">
        <x:v>18</x:v>
      </x:c>
      <x:c r="H516" s="7" t="n">
        <x:v>1.116866358983772</x:v>
      </x:c>
      <x:c r="I516" s="7" t="n">
        <x:v>0.7512278657849448</x:v>
      </x:c>
      <x:c r="J516" s="7" t="n">
        <x:v>0.7549675714320525</x:v>
      </x:c>
      <x:c r="K516" s="7" t="n">
        <x:f>H516+I516*J516</x:f>
        <x:v>1.6840190364075156</x:v>
      </x:c>
      <x:c r="L516" s="7" t="n">
        <x:v>1</x:v>
      </x:c>
      <x:c r="M516" s="7" t="n">
        <x:f>K516-L516</x:f>
        <x:v>0.6840190364075156</x:v>
      </x:c>
      <x:c r="N516" s="7" t="n">
        <x:f>M516^2</x:f>
        <x:v>0.46788204216786616</x:v>
      </x:c>
      <x:c r="O516" s="7" t="n">
        <x:v>1</x:v>
      </x:c>
      <x:c r="P516" s="7" t="n">
        <x:v>1</x:v>
      </x:c>
      <x:c r="Q516" s="7" t="n">
        <x:v>1.0082264270475205</x:v>
      </x:c>
      <x:c r="R516" s="7" t="n">
        <x:f>H516+I516*Q516</x:f>
        <x:v>1.8742741460026613</x:v>
      </x:c>
      <x:c r="S516" s="7" t="n">
        <x:f>R516-L516</x:f>
        <x:v>0.8742741460026613</x:v>
      </x:c>
      <x:c r="T516" s="7" t="n">
        <x:f>K516-R516</x:f>
        <x:v>-0.1902551095951457</x:v>
      </x:c>
      <x:c r="U516" s="7" t="n">
        <x:f>M516-S516-T516</x:f>
        <x:v>0</x:v>
      </x:c>
    </x:row>
    <x:row r="517" ht="27" customHeight="1">
      <x:c r="A517" s="2"/>
      <x:c r="B517" s="2" t="str">
        <x:v>Health Care | price_contribution | CUUR0000SEGB</x:v>
      </x:c>
      <x:c r="C517" s="2" t="str">
        <x:v>2025-12-31</x:v>
      </x:c>
      <x:c r="D517" s="2" t="str">
        <x:v>Origin</x:v>
      </x:c>
      <x:c r="E517" s="2" t="str">
        <x:v>2025-10-01</x:v>
      </x:c>
      <x:c r="F517" s="2" t="str">
        <x:v>Available-history choice</x:v>
      </x:c>
      <x:c r="G517" s="2" t="n">
        <x:v>18</x:v>
      </x:c>
      <x:c r="H517" s="7" t="n">
        <x:v>1.116866358983772</x:v>
      </x:c>
      <x:c r="I517" s="7" t="n">
        <x:v>0.7512278657849448</x:v>
      </x:c>
      <x:c r="J517" s="7" t="n">
        <x:v>0.9122013216203761</x:v>
      </x:c>
      <x:c r="K517" s="7" t="n">
        <x:f>H517+I517*J517</x:f>
        <x:v>1.8021374109908532</x:v>
      </x:c>
      <x:c r="L517" s="7" t="n">
        <x:v>1</x:v>
      </x:c>
      <x:c r="M517" s="7" t="n">
        <x:f>K517-L517</x:f>
        <x:v>0.8021374109908532</x:v>
      </x:c>
      <x:c r="N517" s="7" t="n">
        <x:f>M517^2</x:f>
        <x:v>0.643424426111109</x:v>
      </x:c>
      <x:c r="O517" s="7" t="n">
        <x:v>1</x:v>
      </x:c>
      <x:c r="P517" s="7" t="n">
        <x:v>1</x:v>
      </x:c>
      <x:c r="Q517" s="7"/>
      <x:c r="R517" s="7"/>
      <x:c r="S517" s="7"/>
      <x:c r="T517" s="7"/>
      <x:c r="U517" s="7"/>
    </x:row>
    <x:row r="518" ht="27" customHeight="1">
      <x:c r="A518" s="2"/>
      <x:c r="B518" s="2" t="str">
        <x:v>Health Care | price_contribution | CUUR0000SEGB</x:v>
      </x:c>
      <x:c r="C518" s="2" t="str">
        <x:v>2026-03-31</x:v>
      </x:c>
      <x:c r="D518" s="2" t="str">
        <x:v>One month</x:v>
      </x:c>
      <x:c r="E518" s="2" t="str">
        <x:v>2026-02-13</x:v>
      </x:c>
      <x:c r="F518" s="2" t="str">
        <x:v>Available-history choice</x:v>
      </x:c>
      <x:c r="G518" s="2" t="n">
        <x:v>15</x:v>
      </x:c>
      <x:c r="H518" s="7" t="n">
        <x:v>1.1412920590782236</x:v>
      </x:c>
      <x:c r="I518" s="7" t="n">
        <x:v>0.7422720897848771</x:v>
      </x:c>
      <x:c r="J518" s="7" t="n">
        <x:v>1.96236328719539</x:v>
      </x:c>
      <x:c r="K518" s="7" t="n">
        <x:f>H518+I518*J518</x:f>
        <x:v>2.597899557181867</x:v>
      </x:c>
      <x:c r="L518" s="7" t="n">
        <x:v>2</x:v>
      </x:c>
      <x:c r="M518" s="7" t="n">
        <x:f>K518-L518</x:f>
        <x:v>0.5978995571818668</x:v>
      </x:c>
      <x:c r="N518" s="7" t="n">
        <x:f>M518^2</x:f>
        <x:v>0.35748388047827245</x:v>
      </x:c>
      <x:c r="O518" s="7" t="n">
        <x:v>1</x:v>
      </x:c>
      <x:c r="P518" s="7" t="n">
        <x:v>1</x:v>
      </x:c>
      <x:c r="Q518" s="7" t="n">
        <x:v>1.9491325309717533</x:v>
      </x:c>
      <x:c r="R518" s="7" t="n">
        <x:f>H518+I518*Q518</x:f>
        <x:v>2.5880787361103135</x:v>
      </x:c>
      <x:c r="S518" s="7" t="n">
        <x:f>R518-L518</x:f>
        <x:v>0.5880787361103135</x:v>
      </x:c>
      <x:c r="T518" s="7" t="n">
        <x:f>K518-R518</x:f>
        <x:v>0.009820821071553354</x:v>
      </x:c>
      <x:c r="U518" s="7" t="n">
        <x:f>M518-S518-T518</x:f>
        <x:v>0</x:v>
      </x:c>
    </x:row>
    <x:row r="519" ht="27" customHeight="1">
      <x:c r="A519" s="2"/>
      <x:c r="B519" s="2" t="str">
        <x:v>Health Care | price_contribution | CUUR0000SEGB</x:v>
      </x:c>
      <x:c r="C519" s="2" t="str">
        <x:v>2026-03-31</x:v>
      </x:c>
      <x:c r="D519" s="2" t="str">
        <x:v>Two months</x:v>
      </x:c>
      <x:c r="E519" s="2" t="str">
        <x:v>2026-03-11</x:v>
      </x:c>
      <x:c r="F519" s="2" t="str">
        <x:v>Available-history choice</x:v>
      </x:c>
      <x:c r="G519" s="2" t="n">
        <x:v>15</x:v>
      </x:c>
      <x:c r="H519" s="7" t="n">
        <x:v>1.1412920590782236</x:v>
      </x:c>
      <x:c r="I519" s="7" t="n">
        <x:v>0.7422720897848771</x:v>
      </x:c>
      <x:c r="J519" s="7" t="n">
        <x:v>1.7987129738262553</x:v>
      </x:c>
      <x:c r="K519" s="7" t="n">
        <x:f>H519+I519*J519</x:f>
        <x:v>2.476426497083409</x:v>
      </x:c>
      <x:c r="L519" s="7" t="n">
        <x:v>2</x:v>
      </x:c>
      <x:c r="M519" s="7" t="n">
        <x:f>K519-L519</x:f>
        <x:v>0.4764264970834091</x:v>
      </x:c>
      <x:c r="N519" s="7" t="n">
        <x:f>M519^2</x:f>
        <x:v>0.22698220712316763</x:v>
      </x:c>
      <x:c r="O519" s="7" t="n">
        <x:v>1</x:v>
      </x:c>
      <x:c r="P519" s="7" t="n">
        <x:v>1</x:v>
      </x:c>
      <x:c r="Q519" s="7" t="n">
        <x:v>1.9491325309717533</x:v>
      </x:c>
      <x:c r="R519" s="7" t="n">
        <x:f>H519+I519*Q519</x:f>
        <x:v>2.5880787361103135</x:v>
      </x:c>
      <x:c r="S519" s="7" t="n">
        <x:f>R519-L519</x:f>
        <x:v>0.5880787361103135</x:v>
      </x:c>
      <x:c r="T519" s="7" t="n">
        <x:f>K519-R519</x:f>
        <x:v>-0.11165223902690435</x:v>
      </x:c>
      <x:c r="U519" s="7" t="n">
        <x:f>M519-S519-T519</x:f>
        <x:v>0</x:v>
      </x:c>
    </x:row>
    <x:row r="520" ht="27" customHeight="1">
      <x:c r="A520" s="2"/>
      <x:c r="B520" s="2" t="str">
        <x:v>Health Care | price_contribution | CUUR0000SEGB</x:v>
      </x:c>
      <x:c r="C520" s="2" t="str">
        <x:v>2026-03-31</x:v>
      </x:c>
      <x:c r="D520" s="2" t="str">
        <x:v>Pre-earnings</x:v>
      </x:c>
      <x:c r="E520" s="2" t="str">
        <x:v>2026-04-23</x:v>
      </x:c>
      <x:c r="F520" s="2" t="str">
        <x:v>Available-history choice</x:v>
      </x:c>
      <x:c r="G520" s="2" t="n">
        <x:v>19</x:v>
      </x:c>
      <x:c r="H520" s="7" t="n">
        <x:v>1.0474973721280845</x:v>
      </x:c>
      <x:c r="I520" s="7" t="n">
        <x:v>0.7605774211647279</x:v>
      </x:c>
      <x:c r="J520" s="7" t="n">
        <x:v>1.9491325309717533</x:v>
      </x:c>
      <x:c r="K520" s="7" t="n">
        <x:f>H520+I520*J520</x:f>
        <x:v>2.52996356604286</x:v>
      </x:c>
      <x:c r="L520" s="7" t="n">
        <x:v>2</x:v>
      </x:c>
      <x:c r="M520" s="7" t="n">
        <x:f>K520-L520</x:f>
        <x:v>0.5299635660428601</x:v>
      </x:c>
      <x:c r="N520" s="7" t="n">
        <x:f>M520^2</x:f>
        <x:v>0.2808613813328649</x:v>
      </x:c>
      <x:c r="O520" s="7" t="n">
        <x:v>1</x:v>
      </x:c>
      <x:c r="P520" s="7" t="n">
        <x:v>1</x:v>
      </x:c>
      <x:c r="Q520" s="7" t="n">
        <x:v>1.9491325309717533</x:v>
      </x:c>
      <x:c r="R520" s="7" t="n">
        <x:f>H520+I520*Q520</x:f>
        <x:v>2.52996356604286</x:v>
      </x:c>
      <x:c r="S520" s="7" t="n">
        <x:f>R520-L520</x:f>
        <x:v>0.5299635660428601</x:v>
      </x:c>
      <x:c r="T520" s="7" t="n">
        <x:f>K520-R520</x:f>
        <x:v>0</x:v>
      </x:c>
      <x:c r="U520" s="7" t="n">
        <x:f>M520-S520-T520</x:f>
        <x:v>0</x:v>
      </x:c>
    </x:row>
    <x:row r="521" ht="27" customHeight="1">
      <x:c r="A521" s="2"/>
      <x:c r="B521" s="2" t="str">
        <x:v>Beauty | price_contribution | CUUR0000SEGB02</x:v>
      </x:c>
      <x:c r="C521" s="2" t="str">
        <x:v>2024-09-30</x:v>
      </x:c>
      <x:c r="D521" s="2" t="str">
        <x:v>Origin</x:v>
      </x:c>
      <x:c r="E521" s="2" t="str">
        <x:v>2024-07-01</x:v>
      </x:c>
      <x:c r="F521" s="2" t="str">
        <x:v>Available-history choice</x:v>
      </x:c>
      <x:c r="G521" s="2" t="n">
        <x:v>13</x:v>
      </x:c>
      <x:c r="H521" s="7" t="n">
        <x:v>3.4190727616086347</x:v>
      </x:c>
      <x:c r="I521" s="7" t="n">
        <x:v>0.9269150746894717</x:v>
      </x:c>
      <x:c r="J521" s="7" t="n">
        <x:v>-0.7105888009532602</x:v>
      </x:c>
      <x:c r="K521" s="7" t="n">
        <x:f>H521+I521*J521</x:f>
        <x:v>2.7604172900995416</x:v>
      </x:c>
      <x:c r="L521" s="7" t="n">
        <x:v>1</x:v>
      </x:c>
      <x:c r="M521" s="7" t="n">
        <x:f>K521-L521</x:f>
        <x:v>1.7604172900995416</x:v>
      </x:c>
      <x:c r="N521" s="7" t="n">
        <x:f>M521^2</x:f>
        <x:v>3.099069035281414</x:v>
      </x:c>
      <x:c r="O521" s="7" t="n">
        <x:v>4</x:v>
      </x:c>
      <x:c r="P521" s="7" t="n">
        <x:v>5.75</x:v>
      </x:c>
      <x:c r="Q521" s="7" t="n">
        <x:v>-0.3714085127806688</x:v>
      </x:c>
      <x:c r="R521" s="7" t="n">
        <x:f>H521+I521*Q521</x:f>
        <x:v>3.0748086122442357</x:v>
      </x:c>
      <x:c r="S521" s="7" t="n">
        <x:f>R521-L521</x:f>
        <x:v>2.0748086122442357</x:v>
      </x:c>
      <x:c r="T521" s="7" t="n">
        <x:f>K521-R521</x:f>
        <x:v>-0.3143913221446941</x:v>
      </x:c>
      <x:c r="U521" s="7" t="n">
        <x:f>M521-S521-T521</x:f>
        <x:v>0</x:v>
      </x:c>
    </x:row>
    <x:row r="522" ht="27" customHeight="1">
      <x:c r="A522" s="2"/>
      <x:c r="B522" s="2" t="str">
        <x:v>Beauty | price_contribution | CUUR0000SEGB02</x:v>
      </x:c>
      <x:c r="C522" s="2" t="str">
        <x:v>2024-09-30</x:v>
      </x:c>
      <x:c r="D522" s="2" t="str">
        <x:v>Two months</x:v>
      </x:c>
      <x:c r="E522" s="2" t="str">
        <x:v>2024-10-01</x:v>
      </x:c>
      <x:c r="F522" s="2" t="str">
        <x:v>Available-history choice</x:v>
      </x:c>
      <x:c r="G522" s="2" t="n">
        <x:v>14</x:v>
      </x:c>
      <x:c r="H522" s="7" t="n">
        <x:v>3.331605891535138</x:v>
      </x:c>
      <x:c r="I522" s="7" t="n">
        <x:v>0.9423566400153798</x:v>
      </x:c>
      <x:c r="J522" s="7" t="n">
        <x:v>-0.28630283025909975</x:v>
      </x:c>
      <x:c r="K522" s="7" t="n">
        <x:f>H522+I522*J522</x:f>
        <x:v>3.061806518385279</x:v>
      </x:c>
      <x:c r="L522" s="7" t="n">
        <x:v>1</x:v>
      </x:c>
      <x:c r="M522" s="7" t="n">
        <x:f>K522-L522</x:f>
        <x:v>2.061806518385279</x:v>
      </x:c>
      <x:c r="N522" s="7" t="n">
        <x:f>M522^2</x:f>
        <x:v>4.251046119256026</x:v>
      </x:c>
      <x:c r="O522" s="7" t="n">
        <x:v>3</x:v>
      </x:c>
      <x:c r="P522" s="7" t="n">
        <x:v>4.5</x:v>
      </x:c>
      <x:c r="Q522" s="7" t="n">
        <x:v>-0.3714085127806688</x:v>
      </x:c>
      <x:c r="R522" s="7" t="n">
        <x:f>H522+I522*Q522</x:f>
        <x:v>2.9816066133580374</x:v>
      </x:c>
      <x:c r="S522" s="7" t="n">
        <x:f>R522-L522</x:f>
        <x:v>1.9816066133580374</x:v>
      </x:c>
      <x:c r="T522" s="7" t="n">
        <x:f>K522-R522</x:f>
        <x:v>0.0801999050272415</x:v>
      </x:c>
      <x:c r="U522" s="7" t="n">
        <x:f>M522-S522-T522</x:f>
        <x:v>0</x:v>
      </x:c>
    </x:row>
    <x:row r="523" ht="27" customHeight="1">
      <x:c r="A523" s="2"/>
      <x:c r="B523" s="2" t="str">
        <x:v>Beauty | price_contribution | CUUR0000SEGB02</x:v>
      </x:c>
      <x:c r="C523" s="2" t="str">
        <x:v>2024-09-30</x:v>
      </x:c>
      <x:c r="D523" s="2" t="str">
        <x:v>Pre-earnings</x:v>
      </x:c>
      <x:c r="E523" s="2" t="str">
        <x:v>2024-10-17</x:v>
      </x:c>
      <x:c r="F523" s="2" t="str">
        <x:v>Available-history choice</x:v>
      </x:c>
      <x:c r="G523" s="2" t="n">
        <x:v>14</x:v>
      </x:c>
      <x:c r="H523" s="7" t="n">
        <x:v>3.331605891535138</x:v>
      </x:c>
      <x:c r="I523" s="7" t="n">
        <x:v>0.9423566400153798</x:v>
      </x:c>
      <x:c r="J523" s="7" t="n">
        <x:v>-0.3714085127806688</x:v>
      </x:c>
      <x:c r="K523" s="7" t="n">
        <x:f>H523+I523*J523</x:f>
        <x:v>2.9816066133580374</x:v>
      </x:c>
      <x:c r="L523" s="7" t="n">
        <x:v>1</x:v>
      </x:c>
      <x:c r="M523" s="7" t="n">
        <x:f>K523-L523</x:f>
        <x:v>1.9816066133580374</x:v>
      </x:c>
      <x:c r="N523" s="7" t="n">
        <x:f>M523^2</x:f>
        <x:v>3.9267647701043105</x:v>
      </x:c>
      <x:c r="O523" s="7" t="n">
        <x:v>3</x:v>
      </x:c>
      <x:c r="P523" s="7" t="n">
        <x:v>4.5</x:v>
      </x:c>
      <x:c r="Q523" s="7" t="n">
        <x:v>-0.3714085127806688</x:v>
      </x:c>
      <x:c r="R523" s="7" t="n">
        <x:f>H523+I523*Q523</x:f>
        <x:v>2.9816066133580374</x:v>
      </x:c>
      <x:c r="S523" s="7" t="n">
        <x:f>R523-L523</x:f>
        <x:v>1.9816066133580374</x:v>
      </x:c>
      <x:c r="T523" s="7" t="n">
        <x:f>K523-R523</x:f>
        <x:v>0</x:v>
      </x:c>
      <x:c r="U523" s="7" t="n">
        <x:f>M523-S523-T523</x:f>
        <x:v>0</x:v>
      </x:c>
    </x:row>
    <x:row r="524" ht="27" customHeight="1">
      <x:c r="A524" s="2"/>
      <x:c r="B524" s="2" t="str">
        <x:v>Beauty | price_contribution | CUUR0000SEGB02</x:v>
      </x:c>
      <x:c r="C524" s="2" t="str">
        <x:v>2024-12-31</x:v>
      </x:c>
      <x:c r="D524" s="2" t="str">
        <x:v>Origin</x:v>
      </x:c>
      <x:c r="E524" s="2" t="str">
        <x:v>2024-10-01</x:v>
      </x:c>
      <x:c r="F524" s="2" t="str">
        <x:v>Available-history choice</x:v>
      </x:c>
      <x:c r="G524" s="2" t="n">
        <x:v>14</x:v>
      </x:c>
      <x:c r="H524" s="7" t="n">
        <x:v>3.331605891535138</x:v>
      </x:c>
      <x:c r="I524" s="7" t="n">
        <x:v>0.9423566400153798</x:v>
      </x:c>
      <x:c r="J524" s="7" t="n">
        <x:v>-0.016418353623381954</x:v>
      </x:c>
      <x:c r="K524" s="7" t="n">
        <x:f>H524+I524*J524</x:f>
        <x:v>3.3161339469800235</x:v>
      </x:c>
      <x:c r="L524" s="7" t="n">
        <x:v>2</x:v>
      </x:c>
      <x:c r="M524" s="7" t="n">
        <x:f>K524-L524</x:f>
        <x:v>1.3161339469800235</x:v>
      </x:c>
      <x:c r="N524" s="7" t="n">
        <x:f>M524^2</x:f>
        <x:v>1.7322085663932154</x:v>
      </x:c>
      <x:c r="O524" s="7" t="n">
        <x:v>3</x:v>
      </x:c>
      <x:c r="P524" s="7" t="n">
        <x:v>4.5</x:v>
      </x:c>
      <x:c r="Q524" s="7" t="n">
        <x:v>-0.5082703089794416</x:v>
      </x:c>
      <x:c r="R524" s="7" t="n">
        <x:f>H524+I524*Q524</x:f>
        <x:v>2.8526339909456926</x:v>
      </x:c>
      <x:c r="S524" s="7" t="n">
        <x:f>R524-L524</x:f>
        <x:v>0.8526339909456926</x:v>
      </x:c>
      <x:c r="T524" s="7" t="n">
        <x:f>K524-R524</x:f>
        <x:v>0.4634999560343309</x:v>
      </x:c>
      <x:c r="U524" s="7" t="n">
        <x:f>M524-S524-T524</x:f>
        <x:v>0</x:v>
      </x:c>
    </x:row>
    <x:row r="525" ht="27" customHeight="1">
      <x:c r="A525" s="2"/>
      <x:c r="B525" s="2" t="str">
        <x:v>Beauty | price_contribution | CUUR0000SEGB02</x:v>
      </x:c>
      <x:c r="C525" s="2" t="str">
        <x:v>2024-12-31</x:v>
      </x:c>
      <x:c r="D525" s="2" t="str">
        <x:v>Two months</x:v>
      </x:c>
      <x:c r="E525" s="2" t="str">
        <x:v>2025-01-01</x:v>
      </x:c>
      <x:c r="F525" s="2" t="str">
        <x:v>Available-history choice</x:v>
      </x:c>
      <x:c r="G525" s="2" t="n">
        <x:v>15</x:v>
      </x:c>
      <x:c r="H525" s="7" t="n">
        <x:v>3.1145883988274963</x:v>
      </x:c>
      <x:c r="I525" s="7" t="n">
        <x:v>0.9945238475452968</x:v>
      </x:c>
      <x:c r="J525" s="7" t="n">
        <x:v>-0.3882803162885473</x:v>
      </x:c>
      <x:c r="K525" s="7" t="n">
        <x:f>H525+I525*J525</x:f>
        <x:v>2.7284343647461053</x:v>
      </x:c>
      <x:c r="L525" s="7" t="n">
        <x:v>2</x:v>
      </x:c>
      <x:c r="M525" s="7" t="n">
        <x:f>K525-L525</x:f>
        <x:v>0.7284343647461053</x:v>
      </x:c>
      <x:c r="N525" s="7" t="n">
        <x:f>M525^2</x:f>
        <x:v>0.5306166237430621</x:v>
      </x:c>
      <x:c r="O525" s="7" t="n">
        <x:v>1</x:v>
      </x:c>
      <x:c r="P525" s="7" t="n">
        <x:v>3</x:v>
      </x:c>
      <x:c r="Q525" s="7" t="n">
        <x:v>-0.5082703089794416</x:v>
      </x:c>
      <x:c r="R525" s="7" t="n">
        <x:f>H525+I525*Q525</x:f>
        <x:v>2.6091014555482253</x:v>
      </x:c>
      <x:c r="S525" s="7" t="n">
        <x:f>R525-L525</x:f>
        <x:v>0.6091014555482253</x:v>
      </x:c>
      <x:c r="T525" s="7" t="n">
        <x:f>K525-R525</x:f>
        <x:v>0.11933290919788009</x:v>
      </x:c>
      <x:c r="U525" s="7" t="n">
        <x:f>M525-S525-T525</x:f>
        <x:v>0</x:v>
      </x:c>
    </x:row>
    <x:row r="526" ht="27" customHeight="1">
      <x:c r="A526" s="2"/>
      <x:c r="B526" s="2" t="str">
        <x:v>Beauty | price_contribution | CUUR0000SEGB02</x:v>
      </x:c>
      <x:c r="C526" s="2" t="str">
        <x:v>2024-12-31</x:v>
      </x:c>
      <x:c r="D526" s="2" t="str">
        <x:v>Pre-earnings</x:v>
      </x:c>
      <x:c r="E526" s="2" t="str">
        <x:v>2025-01-21</x:v>
      </x:c>
      <x:c r="F526" s="2" t="str">
        <x:v>Available-history choice</x:v>
      </x:c>
      <x:c r="G526" s="2" t="n">
        <x:v>15</x:v>
      </x:c>
      <x:c r="H526" s="7" t="n">
        <x:v>3.1145883988274963</x:v>
      </x:c>
      <x:c r="I526" s="7" t="n">
        <x:v>0.9945238475452968</x:v>
      </x:c>
      <x:c r="J526" s="7" t="n">
        <x:v>-0.5082703089794416</x:v>
      </x:c>
      <x:c r="K526" s="7" t="n">
        <x:f>H526+I526*J526</x:f>
        <x:v>2.6091014555482253</x:v>
      </x:c>
      <x:c r="L526" s="7" t="n">
        <x:v>2</x:v>
      </x:c>
      <x:c r="M526" s="7" t="n">
        <x:f>K526-L526</x:f>
        <x:v>0.6091014555482253</x:v>
      </x:c>
      <x:c r="N526" s="7" t="n">
        <x:f>M526^2</x:f>
        <x:v>0.3710045831509666</x:v>
      </x:c>
      <x:c r="O526" s="7" t="n">
        <x:v>1</x:v>
      </x:c>
      <x:c r="P526" s="7" t="n">
        <x:v>3</x:v>
      </x:c>
      <x:c r="Q526" s="7" t="n">
        <x:v>-0.5082703089794416</x:v>
      </x:c>
      <x:c r="R526" s="7" t="n">
        <x:f>H526+I526*Q526</x:f>
        <x:v>2.6091014555482253</x:v>
      </x:c>
      <x:c r="S526" s="7" t="n">
        <x:f>R526-L526</x:f>
        <x:v>0.6091014555482253</x:v>
      </x:c>
      <x:c r="T526" s="7" t="n">
        <x:f>K526-R526</x:f>
        <x:v>0</x:v>
      </x:c>
      <x:c r="U526" s="7" t="n">
        <x:f>M526-S526-T526</x:f>
        <x:v>0</x:v>
      </x:c>
    </x:row>
    <x:row r="527" ht="27" customHeight="1">
      <x:c r="A527" s="2"/>
      <x:c r="B527" s="2" t="str">
        <x:v>Beauty | price_contribution | CUUR0000SEGB02</x:v>
      </x:c>
      <x:c r="C527" s="2" t="str">
        <x:v>2025-03-31</x:v>
      </x:c>
      <x:c r="D527" s="2" t="str">
        <x:v>Origin</x:v>
      </x:c>
      <x:c r="E527" s="2" t="str">
        <x:v>2025-01-01</x:v>
      </x:c>
      <x:c r="F527" s="2" t="str">
        <x:v>Available-history choice</x:v>
      </x:c>
      <x:c r="G527" s="2" t="n">
        <x:v>15</x:v>
      </x:c>
      <x:c r="H527" s="7" t="n">
        <x:v>3.1145883988274963</x:v>
      </x:c>
      <x:c r="I527" s="7" t="n">
        <x:v>0.9945238475452968</x:v>
      </x:c>
      <x:c r="J527" s="7" t="n">
        <x:v>-0.1326392405395893</x:v>
      </x:c>
      <x:c r="K527" s="7" t="n">
        <x:f>H527+I527*J527</x:f>
        <x:v>2.982675510990578</x:v>
      </x:c>
      <x:c r="L527" s="7" t="n">
        <x:v>3</x:v>
      </x:c>
      <x:c r="M527" s="7" t="n">
        <x:f>K527-L527</x:f>
        <x:v>-0.017324489009422184</x:v>
      </x:c>
      <x:c r="N527" s="7" t="n">
        <x:f>M527^2</x:f>
        <x:v>0.00030013791943759004</x:v>
      </x:c>
      <x:c r="O527" s="7" t="n">
        <x:v>1</x:v>
      </x:c>
      <x:c r="P527" s="7" t="n">
        <x:v>3</x:v>
      </x:c>
      <x:c r="Q527" s="7" t="n">
        <x:v>-0.42034549280647315</x:v>
      </x:c>
      <x:c r="R527" s="7" t="n">
        <x:f>H527+I527*Q527</x:f>
        <x:v>2.696544782023279</x:v>
      </x:c>
      <x:c r="S527" s="7" t="n">
        <x:f>R527-L527</x:f>
        <x:v>-0.30345521797672115</x:v>
      </x:c>
      <x:c r="T527" s="7" t="n">
        <x:f>K527-R527</x:f>
        <x:v>0.28613072896729896</x:v>
      </x:c>
      <x:c r="U527" s="7" t="n">
        <x:f>M527-S527-T527</x:f>
        <x:v>0</x:v>
      </x:c>
    </x:row>
    <x:row r="528" ht="27" customHeight="1">
      <x:c r="A528" s="2"/>
      <x:c r="B528" s="2" t="str">
        <x:v>Beauty | price_contribution | CUUR0000SEGB02</x:v>
      </x:c>
      <x:c r="C528" s="2" t="str">
        <x:v>2025-03-31</x:v>
      </x:c>
      <x:c r="D528" s="2" t="str">
        <x:v>Two months</x:v>
      </x:c>
      <x:c r="E528" s="2" t="str">
        <x:v>2025-04-01</x:v>
      </x:c>
      <x:c r="F528" s="2" t="str">
        <x:v>Available-history choice</x:v>
      </x:c>
      <x:c r="G528" s="2" t="n">
        <x:v>16</x:v>
      </x:c>
      <x:c r="H528" s="7" t="n">
        <x:v>3.0537999405231164</x:v>
      </x:c>
      <x:c r="I528" s="7" t="n">
        <x:v>1.0097294320897239</x:v>
      </x:c>
      <x:c r="J528" s="7" t="n">
        <x:v>-0.3095113188887333</x:v>
      </x:c>
      <x:c r="K528" s="7" t="n">
        <x:f>H528+I528*J528</x:f>
        <x:v>2.7412772522762543</x:v>
      </x:c>
      <x:c r="L528" s="7" t="n">
        <x:v>3</x:v>
      </x:c>
      <x:c r="M528" s="7" t="n">
        <x:f>K528-L528</x:f>
        <x:v>-0.2587227477237457</x:v>
      </x:c>
      <x:c r="N528" s="7" t="n">
        <x:f>M528^2</x:f>
        <x:v>0.06693746018972496</x:v>
      </x:c>
      <x:c r="O528" s="7" t="n">
        <x:v>2</x:v>
      </x:c>
      <x:c r="P528" s="7" t="n">
        <x:v>2.5</x:v>
      </x:c>
      <x:c r="Q528" s="7" t="n">
        <x:v>-0.42034549280647315</x:v>
      </x:c>
      <x:c r="R528" s="7" t="n">
        <x:f>H528+I528*Q528</x:f>
        <x:v>2.629364724790161</x:v>
      </x:c>
      <x:c r="S528" s="7" t="n">
        <x:f>R528-L528</x:f>
        <x:v>-0.37063527520983897</x:v>
      </x:c>
      <x:c r="T528" s="7" t="n">
        <x:f>K528-R528</x:f>
        <x:v>0.11191252748609326</x:v>
      </x:c>
      <x:c r="U528" s="7" t="n">
        <x:f>M528-S528-T528</x:f>
        <x:v>0</x:v>
      </x:c>
    </x:row>
    <x:row r="529" ht="27" customHeight="1">
      <x:c r="A529" s="2"/>
      <x:c r="B529" s="2" t="str">
        <x:v>Beauty | price_contribution | CUUR0000SEGB02</x:v>
      </x:c>
      <x:c r="C529" s="2" t="str">
        <x:v>2025-03-31</x:v>
      </x:c>
      <x:c r="D529" s="2" t="str">
        <x:v>Pre-earnings</x:v>
      </x:c>
      <x:c r="E529" s="2" t="str">
        <x:v>2025-04-23</x:v>
      </x:c>
      <x:c r="F529" s="2" t="str">
        <x:v>Available-history choice</x:v>
      </x:c>
      <x:c r="G529" s="2" t="n">
        <x:v>16</x:v>
      </x:c>
      <x:c r="H529" s="7" t="n">
        <x:v>3.0537999405231164</x:v>
      </x:c>
      <x:c r="I529" s="7" t="n">
        <x:v>1.0097294320897239</x:v>
      </x:c>
      <x:c r="J529" s="7" t="n">
        <x:v>-0.42034549280647315</x:v>
      </x:c>
      <x:c r="K529" s="7" t="n">
        <x:f>H529+I529*J529</x:f>
        <x:v>2.629364724790161</x:v>
      </x:c>
      <x:c r="L529" s="7" t="n">
        <x:v>3</x:v>
      </x:c>
      <x:c r="M529" s="7" t="n">
        <x:f>K529-L529</x:f>
        <x:v>-0.37063527520983897</x:v>
      </x:c>
      <x:c r="N529" s="7" t="n">
        <x:f>M529^2</x:f>
        <x:v>0.13737050722987307</x:v>
      </x:c>
      <x:c r="O529" s="7" t="n">
        <x:v>2</x:v>
      </x:c>
      <x:c r="P529" s="7" t="n">
        <x:v>2.5</x:v>
      </x:c>
      <x:c r="Q529" s="7" t="n">
        <x:v>-0.42034549280647315</x:v>
      </x:c>
      <x:c r="R529" s="7" t="n">
        <x:f>H529+I529*Q529</x:f>
        <x:v>2.629364724790161</x:v>
      </x:c>
      <x:c r="S529" s="7" t="n">
        <x:f>R529-L529</x:f>
        <x:v>-0.37063527520983897</x:v>
      </x:c>
      <x:c r="T529" s="7" t="n">
        <x:f>K529-R529</x:f>
        <x:v>0</x:v>
      </x:c>
      <x:c r="U529" s="7" t="n">
        <x:f>M529-S529-T529</x:f>
        <x:v>0</x:v>
      </x:c>
    </x:row>
    <x:row r="530" ht="27" customHeight="1">
      <x:c r="A530" s="2"/>
      <x:c r="B530" s="2" t="str">
        <x:v>Beauty | price_contribution | CUUR0000SEGB02</x:v>
      </x:c>
      <x:c r="C530" s="2" t="str">
        <x:v>2025-06-30</x:v>
      </x:c>
      <x:c r="D530" s="2" t="str">
        <x:v>Origin</x:v>
      </x:c>
      <x:c r="E530" s="2" t="str">
        <x:v>2025-04-01</x:v>
      </x:c>
      <x:c r="F530" s="2" t="str">
        <x:v>Available-history choice</x:v>
      </x:c>
      <x:c r="G530" s="2" t="n">
        <x:v>16</x:v>
      </x:c>
      <x:c r="H530" s="7" t="n">
        <x:v>3.0537999405231164</x:v>
      </x:c>
      <x:c r="I530" s="7" t="n">
        <x:v>1.0097294320897239</x:v>
      </x:c>
      <x:c r="J530" s="7" t="n">
        <x:v>-0.3229231642615238</x:v>
      </x:c>
      <x:c r="K530" s="7" t="n">
        <x:f>H530+I530*J530</x:f>
        <x:v>2.727734917264711</x:v>
      </x:c>
      <x:c r="L530" s="7" t="n">
        <x:v>1</x:v>
      </x:c>
      <x:c r="M530" s="7" t="n">
        <x:f>K530-L530</x:f>
        <x:v>1.7277349172647112</x:v>
      </x:c>
      <x:c r="N530" s="7" t="n">
        <x:f>M530^2</x:f>
        <x:v>2.9850679443356984</x:v>
      </x:c>
      <x:c r="O530" s="7" t="n">
        <x:v>2</x:v>
      </x:c>
      <x:c r="P530" s="7" t="n">
        <x:v>2.5</x:v>
      </x:c>
      <x:c r="Q530" s="7" t="n">
        <x:v>0.06623166364128075</x:v>
      </x:c>
      <x:c r="R530" s="7" t="n">
        <x:f>H530+I530*Q530</x:f>
        <x:v>3.1206760006379843</x:v>
      </x:c>
      <x:c r="S530" s="7" t="n">
        <x:f>R530-L530</x:f>
        <x:v>2.1206760006379843</x:v>
      </x:c>
      <x:c r="T530" s="7" t="n">
        <x:f>K530-R530</x:f>
        <x:v>-0.39294108337327316</x:v>
      </x:c>
      <x:c r="U530" s="7" t="n">
        <x:f>M530-S530-T530</x:f>
        <x:v>0</x:v>
      </x:c>
    </x:row>
    <x:row r="531" ht="27" customHeight="1">
      <x:c r="A531" s="2"/>
      <x:c r="B531" s="2" t="str">
        <x:v>Beauty | price_contribution | CUUR0000SEGB02</x:v>
      </x:c>
      <x:c r="C531" s="2" t="str">
        <x:v>2025-06-30</x:v>
      </x:c>
      <x:c r="D531" s="2" t="str">
        <x:v>Two months</x:v>
      </x:c>
      <x:c r="E531" s="2" t="str">
        <x:v>2025-07-01</x:v>
      </x:c>
      <x:c r="F531" s="2" t="str">
        <x:v>Available-history choice</x:v>
      </x:c>
      <x:c r="G531" s="2" t="n">
        <x:v>17</x:v>
      </x:c>
      <x:c r="H531" s="7" t="n">
        <x:v>3.086630304343101</x:v>
      </x:c>
      <x:c r="I531" s="7" t="n">
        <x:v>1.0017468530241134</x:v>
      </x:c>
      <x:c r="J531" s="7" t="n">
        <x:v>-0.15897474867299088</x:v>
      </x:c>
      <x:c r="K531" s="7" t="n">
        <x:f>H531+I531*J531</x:f>
        <x:v>2.927377850149633</x:v>
      </x:c>
      <x:c r="L531" s="7" t="n">
        <x:v>1</x:v>
      </x:c>
      <x:c r="M531" s="7" t="n">
        <x:f>K531-L531</x:f>
        <x:v>1.9273778501496328</x:v>
      </x:c>
      <x:c r="N531" s="7" t="n">
        <x:f>M531^2</x:f>
        <x:v>3.7147853772474204</x:v>
      </x:c>
      <x:c r="O531" s="7" t="n">
        <x:v>3</x:v>
      </x:c>
      <x:c r="P531" s="7" t="n">
        <x:v>2.25</x:v>
      </x:c>
      <x:c r="Q531" s="7" t="n">
        <x:v>0.06623166364128075</x:v>
      </x:c>
      <x:c r="R531" s="7" t="n">
        <x:f>H531+I531*Q531</x:f>
        <x:v>3.1529776649663055</x:v>
      </x:c>
      <x:c r="S531" s="7" t="n">
        <x:f>R531-L531</x:f>
        <x:v>2.1529776649663055</x:v>
      </x:c>
      <x:c r="T531" s="7" t="n">
        <x:f>K531-R531</x:f>
        <x:v>-0.22559981481667268</x:v>
      </x:c>
      <x:c r="U531" s="7" t="n">
        <x:f>M531-S531-T531</x:f>
        <x:v>0</x:v>
      </x:c>
    </x:row>
    <x:row r="532" ht="27" customHeight="1">
      <x:c r="A532" s="2"/>
      <x:c r="B532" s="2" t="str">
        <x:v>Beauty | price_contribution | CUUR0000SEGB02</x:v>
      </x:c>
      <x:c r="C532" s="2" t="str">
        <x:v>2025-06-30</x:v>
      </x:c>
      <x:c r="D532" s="2" t="str">
        <x:v>Pre-earnings</x:v>
      </x:c>
      <x:c r="E532" s="2" t="str">
        <x:v>2025-07-28</x:v>
      </x:c>
      <x:c r="F532" s="2" t="str">
        <x:v>Available-history choice</x:v>
      </x:c>
      <x:c r="G532" s="2" t="n">
        <x:v>17</x:v>
      </x:c>
      <x:c r="H532" s="7" t="n">
        <x:v>3.086630304343101</x:v>
      </x:c>
      <x:c r="I532" s="7" t="n">
        <x:v>1.0017468530241134</x:v>
      </x:c>
      <x:c r="J532" s="7" t="n">
        <x:v>0.06623166364128075</x:v>
      </x:c>
      <x:c r="K532" s="7" t="n">
        <x:f>H532+I532*J532</x:f>
        <x:v>3.1529776649663055</x:v>
      </x:c>
      <x:c r="L532" s="7" t="n">
        <x:v>1</x:v>
      </x:c>
      <x:c r="M532" s="7" t="n">
        <x:f>K532-L532</x:f>
        <x:v>2.1529776649663055</x:v>
      </x:c>
      <x:c r="N532" s="7" t="n">
        <x:f>M532^2</x:f>
        <x:v>4.635312825843765</x:v>
      </x:c>
      <x:c r="O532" s="7" t="n">
        <x:v>3</x:v>
      </x:c>
      <x:c r="P532" s="7" t="n">
        <x:v>2.25</x:v>
      </x:c>
      <x:c r="Q532" s="7" t="n">
        <x:v>0.06623166364128075</x:v>
      </x:c>
      <x:c r="R532" s="7" t="n">
        <x:f>H532+I532*Q532</x:f>
        <x:v>3.1529776649663055</x:v>
      </x:c>
      <x:c r="S532" s="7" t="n">
        <x:f>R532-L532</x:f>
        <x:v>2.1529776649663055</x:v>
      </x:c>
      <x:c r="T532" s="7" t="n">
        <x:f>K532-R532</x:f>
        <x:v>0</x:v>
      </x:c>
      <x:c r="U532" s="7" t="n">
        <x:f>M532-S532-T532</x:f>
        <x:v>0</x:v>
      </x:c>
    </x:row>
    <x:row r="533" ht="27" customHeight="1">
      <x:c r="A533" s="2"/>
      <x:c r="B533" s="2" t="str">
        <x:v>Beauty | price_contribution | CUUR0000SEGB02</x:v>
      </x:c>
      <x:c r="C533" s="2" t="str">
        <x:v>2025-09-30</x:v>
      </x:c>
      <x:c r="D533" s="2" t="str">
        <x:v>Origin</x:v>
      </x:c>
      <x:c r="E533" s="2" t="str">
        <x:v>2025-07-01</x:v>
      </x:c>
      <x:c r="F533" s="2" t="str">
        <x:v>Available-history choice</x:v>
      </x:c>
      <x:c r="G533" s="2" t="n">
        <x:v>17</x:v>
      </x:c>
      <x:c r="H533" s="7" t="n">
        <x:v>3.086630304343101</x:v>
      </x:c>
      <x:c r="I533" s="7" t="n">
        <x:v>1.0017468530241134</x:v>
      </x:c>
      <x:c r="J533" s="7" t="n">
        <x:v>-0.6473170962005614</x:v>
      </x:c>
      <x:c r="K533" s="7" t="n">
        <x:f>H533+I533*J533</x:f>
        <x:v>2.4381824403154813</x:v>
      </x:c>
      <x:c r="L533" s="7" t="n">
        <x:v>2</x:v>
      </x:c>
      <x:c r="M533" s="7" t="n">
        <x:f>K533-L533</x:f>
        <x:v>0.43818244031548126</x:v>
      </x:c>
      <x:c r="N533" s="7" t="n">
        <x:f>M533^2</x:f>
        <x:v>0.19200385100083028</x:v>
      </x:c>
      <x:c r="O533" s="7" t="n">
        <x:v>3</x:v>
      </x:c>
      <x:c r="P533" s="7" t="n">
        <x:v>2.25</x:v>
      </x:c>
      <x:c r="Q533" s="7" t="n">
        <x:v>0.44640749502971033</x:v>
      </x:c>
      <x:c r="R533" s="7" t="n">
        <x:f>H533+I533*Q533</x:f>
        <x:v>3.533817607655491</x:v>
      </x:c>
      <x:c r="S533" s="7" t="n">
        <x:f>R533-L533</x:f>
        <x:v>1.5338176076554908</x:v>
      </x:c>
      <x:c r="T533" s="7" t="n">
        <x:f>K533-R533</x:f>
        <x:v>-1.0956351673400095</x:v>
      </x:c>
      <x:c r="U533" s="7" t="n">
        <x:f>M533-S533-T533</x:f>
        <x:v>0</x:v>
      </x:c>
    </x:row>
    <x:row r="534" ht="27" customHeight="1">
      <x:c r="A534" s="2"/>
      <x:c r="B534" s="2" t="str">
        <x:v>Beauty | price_contribution | CUUR0000SEGB02</x:v>
      </x:c>
      <x:c r="C534" s="2" t="str">
        <x:v>2025-09-30</x:v>
      </x:c>
      <x:c r="D534" s="2" t="str">
        <x:v>Two months</x:v>
      </x:c>
      <x:c r="E534" s="2" t="str">
        <x:v>2025-10-01</x:v>
      </x:c>
      <x:c r="F534" s="2" t="str">
        <x:v>Available-history choice</x:v>
      </x:c>
      <x:c r="G534" s="2" t="n">
        <x:v>18</x:v>
      </x:c>
      <x:c r="H534" s="7" t="n">
        <x:v>2.9259927026587045</x:v>
      </x:c>
      <x:c r="I534" s="7" t="n">
        <x:v>1.0331023140653053</x:v>
      </x:c>
      <x:c r="J534" s="7" t="n">
        <x:v>0.40842984243576463</x:v>
      </x:c>
      <x:c r="K534" s="7" t="n">
        <x:f>H534+I534*J534</x:f>
        <x:v>3.347942518012421</x:v>
      </x:c>
      <x:c r="L534" s="7" t="n">
        <x:v>2</x:v>
      </x:c>
      <x:c r="M534" s="7" t="n">
        <x:f>K534-L534</x:f>
        <x:v>1.3479425180124212</x:v>
      </x:c>
      <x:c r="N534" s="7" t="n">
        <x:f>M534^2</x:f>
        <x:v>1.8169490318656663</x:v>
      </x:c>
      <x:c r="O534" s="7" t="n">
        <x:v>1</x:v>
      </x:c>
      <x:c r="P534" s="7" t="n">
        <x:v>1.75</x:v>
      </x:c>
      <x:c r="Q534" s="7" t="n">
        <x:v>0.44640749502971033</x:v>
      </x:c>
      <x:c r="R534" s="7" t="n">
        <x:f>H534+I534*Q534</x:f>
        <x:v>3.3871773187899947</x:v>
      </x:c>
      <x:c r="S534" s="7" t="n">
        <x:f>R534-L534</x:f>
        <x:v>1.3871773187899947</x:v>
      </x:c>
      <x:c r="T534" s="7" t="n">
        <x:f>K534-R534</x:f>
        <x:v>-0.039234800777573575</x:v>
      </x:c>
      <x:c r="U534" s="7" t="n">
        <x:f>M534-S534-T534</x:f>
        <x:v>0</x:v>
      </x:c>
    </x:row>
    <x:row r="535" ht="27" customHeight="1">
      <x:c r="A535" s="2"/>
      <x:c r="B535" s="2" t="str">
        <x:v>Beauty | price_contribution | CUUR0000SEGB02</x:v>
      </x:c>
      <x:c r="C535" s="2" t="str">
        <x:v>2025-09-30</x:v>
      </x:c>
      <x:c r="D535" s="2" t="str">
        <x:v>Pre-earnings</x:v>
      </x:c>
      <x:c r="E535" s="2" t="str">
        <x:v>2025-10-23</x:v>
      </x:c>
      <x:c r="F535" s="2" t="str">
        <x:v>Available-history choice</x:v>
      </x:c>
      <x:c r="G535" s="2" t="n">
        <x:v>18</x:v>
      </x:c>
      <x:c r="H535" s="7" t="n">
        <x:v>2.9259927026587045</x:v>
      </x:c>
      <x:c r="I535" s="7" t="n">
        <x:v>1.0331023140653053</x:v>
      </x:c>
      <x:c r="J535" s="7" t="n">
        <x:v>0.33913536558449753</x:v>
      </x:c>
      <x:c r="K535" s="7" t="n">
        <x:f>H535+I535*J535</x:f>
        <x:v>3.2763542336254323</x:v>
      </x:c>
      <x:c r="L535" s="7" t="n">
        <x:v>2</x:v>
      </x:c>
      <x:c r="M535" s="7" t="n">
        <x:f>K535-L535</x:f>
        <x:v>1.2763542336254323</x:v>
      </x:c>
      <x:c r="N535" s="7" t="n">
        <x:f>M535^2</x:f>
        <x:v>1.6290801296935646</x:v>
      </x:c>
      <x:c r="O535" s="7" t="n">
        <x:v>1</x:v>
      </x:c>
      <x:c r="P535" s="7" t="n">
        <x:v>1.75</x:v>
      </x:c>
      <x:c r="Q535" s="7" t="n">
        <x:v>0.44640749502971033</x:v>
      </x:c>
      <x:c r="R535" s="7" t="n">
        <x:f>H535+I535*Q535</x:f>
        <x:v>3.3871773187899947</x:v>
      </x:c>
      <x:c r="S535" s="7" t="n">
        <x:f>R535-L535</x:f>
        <x:v>1.3871773187899947</x:v>
      </x:c>
      <x:c r="T535" s="7" t="n">
        <x:f>K535-R535</x:f>
        <x:v>-0.11082308516456241</x:v>
      </x:c>
      <x:c r="U535" s="7" t="n">
        <x:f>M535-S535-T535</x:f>
        <x:v>0</x:v>
      </x:c>
    </x:row>
    <x:row r="536" ht="27" customHeight="1">
      <x:c r="A536" s="2"/>
      <x:c r="B536" s="2" t="str">
        <x:v>Beauty | price_contribution | CUUR0000SEGB02</x:v>
      </x:c>
      <x:c r="C536" s="2" t="str">
        <x:v>2025-12-31</x:v>
      </x:c>
      <x:c r="D536" s="2" t="str">
        <x:v>Origin</x:v>
      </x:c>
      <x:c r="E536" s="2" t="str">
        <x:v>2025-10-01</x:v>
      </x:c>
      <x:c r="F536" s="2" t="str">
        <x:v>Available-history choice</x:v>
      </x:c>
      <x:c r="G536" s="2" t="n">
        <x:v>18</x:v>
      </x:c>
      <x:c r="H536" s="7" t="n">
        <x:v>2.9259927026587045</x:v>
      </x:c>
      <x:c r="I536" s="7" t="n">
        <x:v>1.0331023140653053</x:v>
      </x:c>
      <x:c r="J536" s="7" t="n">
        <x:v>0.786664794073233</x:v>
      </x:c>
      <x:c r="K536" s="7" t="n">
        <x:f>H536+I536*J536</x:f>
        <x:v>3.7386979218094685</x:v>
      </x:c>
      <x:c r="L536" s="7" t="n">
        <x:v>2</x:v>
      </x:c>
      <x:c r="M536" s="7" t="n">
        <x:f>K536-L536</x:f>
        <x:v>1.7386979218094685</x:v>
      </x:c>
      <x:c r="N536" s="7" t="n">
        <x:f>M536^2</x:f>
        <x:v>3.0230704633045646</x:v>
      </x:c>
      <x:c r="O536" s="7" t="n">
        <x:v>1</x:v>
      </x:c>
      <x:c r="P536" s="7" t="n">
        <x:v>1.75</x:v>
      </x:c>
      <x:c r="Q536" s="7"/>
      <x:c r="R536" s="7"/>
      <x:c r="S536" s="7"/>
      <x:c r="T536" s="7"/>
      <x:c r="U536" s="7"/>
    </x:row>
    <x:row r="537" ht="27" customHeight="1">
      <x:c r="A537" s="2"/>
      <x:c r="B537" s="2" t="str">
        <x:v>Beauty | price_contribution | CUUR0000SEGB02</x:v>
      </x:c>
      <x:c r="C537" s="2" t="str">
        <x:v>2026-03-31</x:v>
      </x:c>
      <x:c r="D537" s="2" t="str">
        <x:v>Pre-earnings</x:v>
      </x:c>
      <x:c r="E537" s="2" t="str">
        <x:v>2026-04-23</x:v>
      </x:c>
      <x:c r="F537" s="2" t="str">
        <x:v>Available-history choice</x:v>
      </x:c>
      <x:c r="G537" s="2" t="n">
        <x:v>19</x:v>
      </x:c>
      <x:c r="H537" s="7" t="n">
        <x:v>2.8363444037933174</x:v>
      </x:c>
      <x:c r="I537" s="7" t="n">
        <x:v>1.0462754344959981</x:v>
      </x:c>
      <x:c r="J537" s="7" t="n">
        <x:v>1.6103546932900725</x:v>
      </x:c>
      <x:c r="K537" s="7" t="n">
        <x:f>H537+I537*J537</x:f>
        <x:v>4.521218960208058</x:v>
      </x:c>
      <x:c r="L537" s="7" t="n">
        <x:v>1</x:v>
      </x:c>
      <x:c r="M537" s="7" t="n">
        <x:f>K537-L537</x:f>
        <x:v>3.521218960208058</x:v>
      </x:c>
      <x:c r="N537" s="7" t="n">
        <x:f>M537^2</x:f>
        <x:v>12.398982965728718</x:v>
      </x:c>
      <x:c r="O537" s="7" t="n">
        <x:v>2</x:v>
      </x:c>
      <x:c r="P537" s="7" t="n">
        <x:v>2</x:v>
      </x:c>
      <x:c r="Q537" s="7" t="n">
        <x:v>1.6103546932900725</x:v>
      </x:c>
      <x:c r="R537" s="7" t="n">
        <x:f>H537+I537*Q537</x:f>
        <x:v>4.521218960208058</x:v>
      </x:c>
      <x:c r="S537" s="7" t="n">
        <x:f>R537-L537</x:f>
        <x:v>3.521218960208058</x:v>
      </x:c>
      <x:c r="T537" s="7" t="n">
        <x:f>K537-R537</x:f>
        <x:v>0</x:v>
      </x:c>
      <x:c r="U537" s="7" t="n">
        <x:f>M537-S537-T537</x:f>
        <x:v>0</x:v>
      </x:c>
    </x:row>
    <x:row r="538" ht="27" customHeight="1">
      <x:c r="A538" s="2"/>
      <x:c r="B538" s="2" t="str">
        <x:v>Baby, Feminine &amp; Family Care | organic_volume_growth | PCENDC96</x:v>
      </x:c>
      <x:c r="C538" s="2" t="str">
        <x:v>2024-09-30</x:v>
      </x:c>
      <x:c r="D538" s="2" t="str">
        <x:v>Origin</x:v>
      </x:c>
      <x:c r="E538" s="2" t="str">
        <x:v>2024-07-01</x:v>
      </x:c>
      <x:c r="F538" s="2" t="str">
        <x:v>Available-history choice</x:v>
      </x:c>
      <x:c r="G538" s="2" t="n">
        <x:v>13</x:v>
      </x:c>
      <x:c r="H538" s="7" t="n">
        <x:v>-2.2156902053612186</x:v>
      </x:c>
      <x:c r="I538" s="7" t="n">
        <x:v>0.11530623229139224</x:v>
      </x:c>
      <x:c r="J538" s="7" t="n">
        <x:v>1.8076142102986026</x:v>
      </x:c>
      <x:c r="K538" s="7" t="n">
        <x:f>H538+I538*J538</x:f>
        <x:v>-2.0072610213353066</x:v>
      </x:c>
      <x:c r="L538" s="7" t="n">
        <x:v>-1</x:v>
      </x:c>
      <x:c r="M538" s="7" t="n">
        <x:f>K538-L538</x:f>
        <x:v>-1.0072610213353066</x:v>
      </x:c>
      <x:c r="N538" s="7" t="n">
        <x:f>M538^2</x:f>
        <x:v>1.014574765101445</x:v>
      </x:c>
      <x:c r="O538" s="7" t="n">
        <x:v>-3</x:v>
      </x:c>
      <x:c r="P538" s="7" t="n">
        <x:v>-2</x:v>
      </x:c>
      <x:c r="Q538" s="7" t="n">
        <x:v>1.8541066532038464</x:v>
      </x:c>
      <x:c r="R538" s="7" t="n">
        <x:f>H538+I538*Q538</x:f>
        <x:v>-2.0019001529138802</x:v>
      </x:c>
      <x:c r="S538" s="7" t="n">
        <x:f>R538-L538</x:f>
        <x:v>-1.0019001529138802</x:v>
      </x:c>
      <x:c r="T538" s="7" t="n">
        <x:f>K538-R538</x:f>
        <x:v>-0.005360868421426357</x:v>
      </x:c>
      <x:c r="U538" s="7" t="n">
        <x:f>M538-S538-T538</x:f>
        <x:v>0</x:v>
      </x:c>
    </x:row>
    <x:row r="539" ht="27" customHeight="1">
      <x:c r="A539" s="2"/>
      <x:c r="B539" s="2" t="str">
        <x:v>Beauty | organic_volume_growth | PCENDC96</x:v>
      </x:c>
      <x:c r="C539" s="2" t="str">
        <x:v>2024-09-30</x:v>
      </x:c>
      <x:c r="D539" s="2" t="str">
        <x:v>Origin</x:v>
      </x:c>
      <x:c r="E539" s="2" t="str">
        <x:v>2024-07-01</x:v>
      </x:c>
      <x:c r="F539" s="2" t="str">
        <x:v>Available-history choice</x:v>
      </x:c>
      <x:c r="G539" s="2" t="n">
        <x:v>13</x:v>
      </x:c>
      <x:c r="H539" s="7" t="n">
        <x:v>-1.103509477415869</x:v>
      </x:c>
      <x:c r="I539" s="7" t="n">
        <x:v>0.22431613883722168</x:v>
      </x:c>
      <x:c r="J539" s="7" t="n">
        <x:v>1.8076142102986026</x:v>
      </x:c>
      <x:c r="K539" s="7" t="n">
        <x:f>H539+I539*J539</x:f>
        <x:v>-0.6980324372543927</x:v>
      </x:c>
      <x:c r="L539" s="7" t="n">
        <x:v>0</x:v>
      </x:c>
      <x:c r="M539" s="7" t="n">
        <x:f>K539-L539</x:f>
        <x:v>-0.6980324372543927</x:v>
      </x:c>
      <x:c r="N539" s="7" t="n">
        <x:f>M539^2</x:f>
        <x:v>0.4872492834593076</x:v>
      </x:c>
      <x:c r="O539" s="7" t="n">
        <x:v>1</x:v>
      </x:c>
      <x:c r="P539" s="7" t="n">
        <x:v>-0.25</x:v>
      </x:c>
      <x:c r="Q539" s="7" t="n">
        <x:v>1.8541066532038464</x:v>
      </x:c>
      <x:c r="R539" s="7" t="n">
        <x:f>H539+I539*Q539</x:f>
        <x:v>-0.6876034319767785</x:v>
      </x:c>
      <x:c r="S539" s="7" t="n">
        <x:f>R539-L539</x:f>
        <x:v>-0.6876034319767785</x:v>
      </x:c>
      <x:c r="T539" s="7" t="n">
        <x:f>K539-R539</x:f>
        <x:v>-0.010429005277614145</x:v>
      </x:c>
      <x:c r="U539" s="7" t="n">
        <x:f>M539-S539-T539</x:f>
        <x:v>0</x:v>
      </x:c>
    </x:row>
    <x:row r="540" ht="27" customHeight="1">
      <x:c r="A540" s="2"/>
      <x:c r="B540" s="2" t="str">
        <x:v>Fabric &amp; Home Care | organic_volume_growth | PCENDC96</x:v>
      </x:c>
      <x:c r="C540" s="2" t="str">
        <x:v>2024-09-30</x:v>
      </x:c>
      <x:c r="D540" s="2" t="str">
        <x:v>Origin</x:v>
      </x:c>
      <x:c r="E540" s="2" t="str">
        <x:v>2024-07-01</x:v>
      </x:c>
      <x:c r="F540" s="2" t="str">
        <x:v>Available-history choice</x:v>
      </x:c>
      <x:c r="G540" s="2" t="n">
        <x:v>8</x:v>
      </x:c>
      <x:c r="H540" s="7" t="n">
        <x:v>-3.3135121298678065</x:v>
      </x:c>
      <x:c r="I540" s="7" t="n">
        <x:v>2.5134614690964026</x:v>
      </x:c>
      <x:c r="J540" s="7" t="n">
        <x:v>1.8076142102986026</x:v>
      </x:c>
      <x:c r="K540" s="7" t="n">
        <x:f>H540+I540*J540</x:f>
        <x:v>1.2298565387088525</x:v>
      </x:c>
      <x:c r="L540" s="7" t="n">
        <x:v>1</x:v>
      </x:c>
      <x:c r="M540" s="7" t="n">
        <x:f>K540-L540</x:f>
        <x:v>0.22985653870885248</x:v>
      </x:c>
      <x:c r="N540" s="7" t="n">
        <x:f>M540^2</x:f>
        <x:v>0.052834028387214196</x:v>
      </x:c>
      <x:c r="O540" s="7" t="n">
        <x:v>1</x:v>
      </x:c>
      <x:c r="P540" s="7" t="n">
        <x:v>0</x:v>
      </x:c>
      <x:c r="Q540" s="7" t="n">
        <x:v>1.8541066532038464</x:v>
      </x:c>
      <x:c r="R540" s="7" t="n">
        <x:f>H540+I540*Q540</x:f>
        <x:v>1.346713502555347</x:v>
      </x:c>
      <x:c r="S540" s="7" t="n">
        <x:f>R540-L540</x:f>
        <x:v>0.34671350255534694</x:v>
      </x:c>
      <x:c r="T540" s="7" t="n">
        <x:f>K540-R540</x:f>
        <x:v>-0.11685696384649447</x:v>
      </x:c>
      <x:c r="U540" s="7" t="n">
        <x:f>M540-S540-T540</x:f>
        <x:v>0</x:v>
      </x:c>
    </x:row>
    <x:row r="541" ht="27" customHeight="1">
      <x:c r="A541" s="2"/>
      <x:c r="B541" s="2" t="str">
        <x:v>Baby, Feminine &amp; Family Care | organic_volume_growth | PCENDC96</x:v>
      </x:c>
      <x:c r="C541" s="2" t="str">
        <x:v>2024-09-30</x:v>
      </x:c>
      <x:c r="D541" s="2" t="str">
        <x:v>One month</x:v>
      </x:c>
      <x:c r="E541" s="2" t="str">
        <x:v>2024-08-30</x:v>
      </x:c>
      <x:c r="F541" s="2" t="str">
        <x:v>Available-history choice</x:v>
      </x:c>
      <x:c r="G541" s="2" t="n">
        <x:v>10</x:v>
      </x:c>
      <x:c r="H541" s="7" t="n">
        <x:v>-2.9551265161396167</x:v>
      </x:c>
      <x:c r="I541" s="7" t="n">
        <x:v>1.012625503576683</x:v>
      </x:c>
      <x:c r="J541" s="7" t="n">
        <x:v>1.8769844426292925</x:v>
      </x:c>
      <x:c r="K541" s="7" t="n">
        <x:f>H541+I541*J541</x:f>
        <x:v>-1.05444419971653</x:v>
      </x:c>
      <x:c r="L541" s="7" t="n">
        <x:v>-1</x:v>
      </x:c>
      <x:c r="M541" s="7" t="n">
        <x:f>K541-L541</x:f>
        <x:v>-0.05444419971652992</x:v>
      </x:c>
      <x:c r="N541" s="7" t="n">
        <x:f>M541^2</x:f>
        <x:v>0.0029641708827733964</x:v>
      </x:c>
      <x:c r="O541" s="7" t="n">
        <x:v>-1</x:v>
      </x:c>
      <x:c r="P541" s="7" t="n">
        <x:v>-2.25</x:v>
      </x:c>
      <x:c r="Q541" s="7" t="n">
        <x:v>1.8541066532038464</x:v>
      </x:c>
      <x:c r="R541" s="7" t="n">
        <x:f>H541+I541*Q541</x:f>
        <x:v>-1.0776108327541936</x:v>
      </x:c>
      <x:c r="S541" s="7" t="n">
        <x:f>R541-L541</x:f>
        <x:v>-0.07761083275419356</x:v>
      </x:c>
      <x:c r="T541" s="7" t="n">
        <x:f>K541-R541</x:f>
        <x:v>0.023166633037663642</x:v>
      </x:c>
      <x:c r="U541" s="7" t="n">
        <x:f>M541-S541-T541</x:f>
        <x:v>0</x:v>
      </x:c>
    </x:row>
    <x:row r="542" ht="27" customHeight="1">
      <x:c r="A542" s="2"/>
      <x:c r="B542" s="2" t="str">
        <x:v>Beauty | organic_volume_growth | PCENDC96</x:v>
      </x:c>
      <x:c r="C542" s="2" t="str">
        <x:v>2024-09-30</x:v>
      </x:c>
      <x:c r="D542" s="2" t="str">
        <x:v>One month</x:v>
      </x:c>
      <x:c r="E542" s="2" t="str">
        <x:v>2024-08-30</x:v>
      </x:c>
      <x:c r="F542" s="2" t="str">
        <x:v>Available-history choice</x:v>
      </x:c>
      <x:c r="G542" s="2" t="n">
        <x:v>10</x:v>
      </x:c>
      <x:c r="H542" s="7" t="n">
        <x:v>-1.2568117040506988</x:v>
      </x:c>
      <x:c r="I542" s="7" t="n">
        <x:v>0.4843119461531559</x:v>
      </x:c>
      <x:c r="J542" s="7" t="n">
        <x:v>1.8769844426292925</x:v>
      </x:c>
      <x:c r="K542" s="7" t="n">
        <x:f>H542+I542*J542</x:f>
        <x:v>-0.34776571574170945</x:v>
      </x:c>
      <x:c r="L542" s="7" t="n">
        <x:v>0</x:v>
      </x:c>
      <x:c r="M542" s="7" t="n">
        <x:f>K542-L542</x:f>
        <x:v>-0.34776571574170945</x:v>
      </x:c>
      <x:c r="N542" s="7" t="n">
        <x:f>M542^2</x:f>
        <x:v>0.12094099304534346</x:v>
      </x:c>
      <x:c r="O542" s="7" t="n">
        <x:v>1</x:v>
      </x:c>
      <x:c r="P542" s="7" t="n">
        <x:v>0.25</x:v>
      </x:c>
      <x:c r="Q542" s="7" t="n">
        <x:v>1.8541066532038464</x:v>
      </x:c>
      <x:c r="R542" s="7" t="n">
        <x:f>H542+I542*Q542</x:f>
        <x:v>-0.3588457024620294</x:v>
      </x:c>
      <x:c r="S542" s="7" t="n">
        <x:f>R542-L542</x:f>
        <x:v>-0.3588457024620294</x:v>
      </x:c>
      <x:c r="T542" s="7" t="n">
        <x:f>K542-R542</x:f>
        <x:v>0.011079986720319956</x:v>
      </x:c>
      <x:c r="U542" s="7" t="n">
        <x:f>M542-S542-T542</x:f>
        <x:v>0</x:v>
      </x:c>
    </x:row>
    <x:row r="543" ht="27" customHeight="1">
      <x:c r="A543" s="2"/>
      <x:c r="B543" s="2" t="str">
        <x:v>Fabric &amp; Home Care | organic_volume_growth | PCENDC96</x:v>
      </x:c>
      <x:c r="C543" s="2" t="str">
        <x:v>2024-09-30</x:v>
      </x:c>
      <x:c r="D543" s="2" t="str">
        <x:v>One month</x:v>
      </x:c>
      <x:c r="E543" s="2" t="str">
        <x:v>2024-08-30</x:v>
      </x:c>
      <x:c r="F543" s="2" t="str">
        <x:v>Available-history choice</x:v>
      </x:c>
      <x:c r="G543" s="2" t="n">
        <x:v>8</x:v>
      </x:c>
      <x:c r="H543" s="7" t="n">
        <x:v>-3.523730216141538</x:v>
      </x:c>
      <x:c r="I543" s="7" t="n">
        <x:v>2.7834636089842175</x:v>
      </x:c>
      <x:c r="J543" s="7" t="n">
        <x:v>1.8769844426292925</x:v>
      </x:c>
      <x:c r="K543" s="7" t="n">
        <x:f>H543+I543*J543</x:f>
        <x:v>1.7007876745466222</x:v>
      </x:c>
      <x:c r="L543" s="7" t="n">
        <x:v>1</x:v>
      </x:c>
      <x:c r="M543" s="7" t="n">
        <x:f>K543-L543</x:f>
        <x:v>0.7007876745466222</x:v>
      </x:c>
      <x:c r="N543" s="7" t="n">
        <x:f>M543^2</x:f>
        <x:v>0.49110336479646244</x:v>
      </x:c>
      <x:c r="O543" s="7" t="n">
        <x:v>3</x:v>
      </x:c>
      <x:c r="P543" s="7" t="n">
        <x:v>1.25</x:v>
      </x:c>
      <x:c r="Q543" s="7" t="n">
        <x:v>1.8541066532038464</x:v>
      </x:c>
      <x:c r="R543" s="7" t="n">
        <x:f>H543+I543*Q543</x:f>
        <x:v>1.637108180226889</x:v>
      </x:c>
      <x:c r="S543" s="7" t="n">
        <x:f>R543-L543</x:f>
        <x:v>0.637108180226889</x:v>
      </x:c>
      <x:c r="T543" s="7" t="n">
        <x:f>K543-R543</x:f>
        <x:v>0.06367949431973319</x:v>
      </x:c>
      <x:c r="U543" s="7" t="n">
        <x:f>M543-S543-T543</x:f>
        <x:v>0</x:v>
      </x:c>
    </x:row>
    <x:row r="544" ht="27" customHeight="1">
      <x:c r="A544" s="2"/>
      <x:c r="B544" s="2" t="str">
        <x:v>Baby, Feminine &amp; Family Care | organic_volume_growth | PCENDC96</x:v>
      </x:c>
      <x:c r="C544" s="2" t="str">
        <x:v>2024-09-30</x:v>
      </x:c>
      <x:c r="D544" s="2" t="str">
        <x:v>Two months</x:v>
      </x:c>
      <x:c r="E544" s="2" t="str">
        <x:v>2024-09-27</x:v>
      </x:c>
      <x:c r="F544" s="2" t="str">
        <x:v>Available-history choice</x:v>
      </x:c>
      <x:c r="G544" s="2" t="n">
        <x:v>10</x:v>
      </x:c>
      <x:c r="H544" s="7" t="n">
        <x:v>-2.6267193577305967</x:v>
      </x:c>
      <x:c r="I544" s="7" t="n">
        <x:v>0.8967705015755335</x:v>
      </x:c>
      <x:c r="J544" s="7" t="n">
        <x:v>2.202595864225132</x:v>
      </x:c>
      <x:c r="K544" s="7" t="n">
        <x:f>H544+I544*J544</x:f>
        <x:v>-0.6514963598012293</x:v>
      </x:c>
      <x:c r="L544" s="7" t="n">
        <x:v>-1</x:v>
      </x:c>
      <x:c r="M544" s="7" t="n">
        <x:f>K544-L544</x:f>
        <x:v>0.34850364019877067</x:v>
      </x:c>
      <x:c r="N544" s="7" t="n">
        <x:f>M544^2</x:f>
        <x:v>0.1214547872317942</x:v>
      </x:c>
      <x:c r="O544" s="7" t="n">
        <x:v>-1</x:v>
      </x:c>
      <x:c r="P544" s="7" t="n">
        <x:v>-2.25</x:v>
      </x:c>
      <x:c r="Q544" s="7" t="n">
        <x:v>2.309344790547807</x:v>
      </x:c>
      <x:c r="R544" s="7" t="n">
        <x:f>H544+I544*Q544</x:f>
        <x:v>-0.5557670716001946</x:v>
      </x:c>
      <x:c r="S544" s="7" t="n">
        <x:f>R544-L544</x:f>
        <x:v>0.44423292839980544</x:v>
      </x:c>
      <x:c r="T544" s="7" t="n">
        <x:f>K544-R544</x:f>
        <x:v>-0.09572928820103477</x:v>
      </x:c>
      <x:c r="U544" s="7" t="n">
        <x:f>M544-S544-T544</x:f>
        <x:v>0</x:v>
      </x:c>
    </x:row>
    <x:row r="545" ht="27" customHeight="1">
      <x:c r="A545" s="2"/>
      <x:c r="B545" s="2" t="str">
        <x:v>Beauty | organic_volume_growth | PCENDC96</x:v>
      </x:c>
      <x:c r="C545" s="2" t="str">
        <x:v>2024-09-30</x:v>
      </x:c>
      <x:c r="D545" s="2" t="str">
        <x:v>Two months</x:v>
      </x:c>
      <x:c r="E545" s="2" t="str">
        <x:v>2024-09-27</x:v>
      </x:c>
      <x:c r="F545" s="2" t="str">
        <x:v>Available-history choice</x:v>
      </x:c>
      <x:c r="G545" s="2" t="n">
        <x:v>10</x:v>
      </x:c>
      <x:c r="H545" s="7" t="n">
        <x:v>-1.147867532132199</x:v>
      </x:c>
      <x:c r="I545" s="7" t="n">
        <x:v>0.4977624153842298</x:v>
      </x:c>
      <x:c r="J545" s="7" t="n">
        <x:v>2.202595864225132</x:v>
      </x:c>
      <x:c r="K545" s="7" t="n">
        <x:f>H545+I545*J545</x:f>
        <x:v>-0.05149809464018218</x:v>
      </x:c>
      <x:c r="L545" s="7" t="n">
        <x:v>0</x:v>
      </x:c>
      <x:c r="M545" s="7" t="n">
        <x:f>K545-L545</x:f>
        <x:v>-0.05149809464018218</x:v>
      </x:c>
      <x:c r="N545" s="7" t="n">
        <x:f>M545^2</x:f>
        <x:v>0.0026520537515691603</x:v>
      </x:c>
      <x:c r="O545" s="7" t="n">
        <x:v>1</x:v>
      </x:c>
      <x:c r="P545" s="7" t="n">
        <x:v>0.25</x:v>
      </x:c>
      <x:c r="Q545" s="7" t="n">
        <x:v>2.309344790547807</x:v>
      </x:c>
      <x:c r="R545" s="7" t="n">
        <x:f>H545+I545*Q545</x:f>
        <x:v>0.0016375087658657694</x:v>
      </x:c>
      <x:c r="S545" s="7" t="n">
        <x:f>R545-L545</x:f>
        <x:v>0.0016375087658657694</x:v>
      </x:c>
      <x:c r="T545" s="7" t="n">
        <x:f>K545-R545</x:f>
        <x:v>-0.05313560340604795</x:v>
      </x:c>
      <x:c r="U545" s="7" t="n">
        <x:f>M545-S545-T545</x:f>
        <x:v>0</x:v>
      </x:c>
    </x:row>
    <x:row r="546" ht="27" customHeight="1">
      <x:c r="A546" s="2"/>
      <x:c r="B546" s="2" t="str">
        <x:v>Fabric &amp; Home Care | organic_volume_growth | PCENDC96</x:v>
      </x:c>
      <x:c r="C546" s="2" t="str">
        <x:v>2024-09-30</x:v>
      </x:c>
      <x:c r="D546" s="2" t="str">
        <x:v>Two months</x:v>
      </x:c>
      <x:c r="E546" s="2" t="str">
        <x:v>2024-09-27</x:v>
      </x:c>
      <x:c r="F546" s="2" t="str">
        <x:v>Available-history choice</x:v>
      </x:c>
      <x:c r="G546" s="2" t="n">
        <x:v>8</x:v>
      </x:c>
      <x:c r="H546" s="7" t="n">
        <x:v>-2.7554164467887263</x:v>
      </x:c>
      <x:c r="I546" s="7" t="n">
        <x:v>2.3474175191585807</x:v>
      </x:c>
      <x:c r="J546" s="7" t="n">
        <x:v>2.202595864225132</x:v>
      </x:c>
      <x:c r="K546" s="7" t="n">
        <x:f>H546+I546*J546</x:f>
        <x:v>2.4149956725195834</x:v>
      </x:c>
      <x:c r="L546" s="7" t="n">
        <x:v>1</x:v>
      </x:c>
      <x:c r="M546" s="7" t="n">
        <x:f>K546-L546</x:f>
        <x:v>1.4149956725195834</x:v>
      </x:c>
      <x:c r="N546" s="7" t="n">
        <x:f>M546^2</x:f>
        <x:v>2.002212753249148</x:v>
      </x:c>
      <x:c r="O546" s="7" t="n">
        <x:v>3</x:v>
      </x:c>
      <x:c r="P546" s="7" t="n">
        <x:v>1.25</x:v>
      </x:c>
      <x:c r="Q546" s="7" t="n">
        <x:v>2.309344790547807</x:v>
      </x:c>
      <x:c r="R546" s="7" t="n">
        <x:f>H546+I546*Q546</x:f>
        <x:v>2.665579972320799</x:v>
      </x:c>
      <x:c r="S546" s="7" t="n">
        <x:f>R546-L546</x:f>
        <x:v>1.6655799723207991</x:v>
      </x:c>
      <x:c r="T546" s="7" t="n">
        <x:f>K546-R546</x:f>
        <x:v>-0.25058429980121577</x:v>
      </x:c>
      <x:c r="U546" s="7" t="n">
        <x:f>M546-S546-T546</x:f>
        <x:v>0</x:v>
      </x:c>
    </x:row>
    <x:row r="547" ht="27" customHeight="1">
      <x:c r="A547" s="2"/>
      <x:c r="B547" s="2" t="str">
        <x:v>Baby, Feminine &amp; Family Care | organic_volume_growth | PCENDC96</x:v>
      </x:c>
      <x:c r="C547" s="2" t="str">
        <x:v>2024-09-30</x:v>
      </x:c>
      <x:c r="D547" s="2" t="str">
        <x:v>Pre-earnings</x:v>
      </x:c>
      <x:c r="E547" s="2" t="str">
        <x:v>2024-10-17</x:v>
      </x:c>
      <x:c r="F547" s="2" t="str">
        <x:v>Available-history choice</x:v>
      </x:c>
      <x:c r="G547" s="2" t="n">
        <x:v>14</x:v>
      </x:c>
      <x:c r="H547" s="7" t="n">
        <x:v>-2.080534591525106</x:v>
      </x:c>
      <x:c r="I547" s="7" t="n">
        <x:v>0.0992450761549538</x:v>
      </x:c>
      <x:c r="J547" s="7" t="n">
        <x:v>2.202595864225132</x:v>
      </x:c>
      <x:c r="K547" s="7" t="n">
        <x:f>H547+I547*J547</x:f>
        <x:v>-1.8619377972414963</x:v>
      </x:c>
      <x:c r="L547" s="7" t="n">
        <x:v>-1</x:v>
      </x:c>
      <x:c r="M547" s="7" t="n">
        <x:f>K547-L547</x:f>
        <x:v>-0.8619377972414963</x:v>
      </x:c>
      <x:c r="N547" s="7" t="n">
        <x:f>M547^2</x:f>
        <x:v>0.7429367663135228</x:v>
      </x:c>
      <x:c r="O547" s="7" t="n">
        <x:v>-1</x:v>
      </x:c>
      <x:c r="P547" s="7" t="n">
        <x:v>-2.25</x:v>
      </x:c>
      <x:c r="Q547" s="7" t="n">
        <x:v>2.309344790547807</x:v>
      </x:c>
      <x:c r="R547" s="7" t="n">
        <x:f>H547+I547*Q547</x:f>
        <x:v>-1.851343491919143</x:v>
      </x:c>
      <x:c r="S547" s="7" t="n">
        <x:f>R547-L547</x:f>
        <x:v>-0.8513434919191429</x:v>
      </x:c>
      <x:c r="T547" s="7" t="n">
        <x:f>K547-R547</x:f>
        <x:v>-0.010594305322353392</x:v>
      </x:c>
      <x:c r="U547" s="7" t="n">
        <x:f>M547-S547-T547</x:f>
        <x:v>0</x:v>
      </x:c>
    </x:row>
    <x:row r="548" ht="27" customHeight="1">
      <x:c r="A548" s="2"/>
      <x:c r="B548" s="2" t="str">
        <x:v>Beauty | organic_volume_growth | PCENDC96</x:v>
      </x:c>
      <x:c r="C548" s="2" t="str">
        <x:v>2024-09-30</x:v>
      </x:c>
      <x:c r="D548" s="2" t="str">
        <x:v>Pre-earnings</x:v>
      </x:c>
      <x:c r="E548" s="2" t="str">
        <x:v>2024-10-17</x:v>
      </x:c>
      <x:c r="F548" s="2" t="str">
        <x:v>Available-history choice</x:v>
      </x:c>
      <x:c r="G548" s="2" t="n">
        <x:v>14</x:v>
      </x:c>
      <x:c r="H548" s="7" t="n">
        <x:v>-0.9203128740214753</x:v>
      </x:c>
      <x:c r="I548" s="7" t="n">
        <x:v>0.21362431278660504</x:v>
      </x:c>
      <x:c r="J548" s="7" t="n">
        <x:v>2.202595864225132</x:v>
      </x:c>
      <x:c r="K548" s="7" t="n">
        <x:f>H548+I548*J548</x:f>
        <x:v>-0.44978484617976305</x:v>
      </x:c>
      <x:c r="L548" s="7" t="n">
        <x:v>0</x:v>
      </x:c>
      <x:c r="M548" s="7" t="n">
        <x:f>K548-L548</x:f>
        <x:v>-0.44978484617976305</x:v>
      </x:c>
      <x:c r="N548" s="7" t="n">
        <x:f>M548^2</x:f>
        <x:v>0.20230640785295312</x:v>
      </x:c>
      <x:c r="O548" s="7" t="n">
        <x:v>1</x:v>
      </x:c>
      <x:c r="P548" s="7" t="n">
        <x:v>0.25</x:v>
      </x:c>
      <x:c r="Q548" s="7" t="n">
        <x:v>2.309344790547807</x:v>
      </x:c>
      <x:c r="R548" s="7" t="n">
        <x:f>H548+I548*Q548</x:f>
        <x:v>-0.4269806801533737</x:v>
      </x:c>
      <x:c r="S548" s="7" t="n">
        <x:f>R548-L548</x:f>
        <x:v>-0.4269806801533737</x:v>
      </x:c>
      <x:c r="T548" s="7" t="n">
        <x:f>K548-R548</x:f>
        <x:v>-0.02280416602638935</x:v>
      </x:c>
      <x:c r="U548" s="7" t="n">
        <x:f>M548-S548-T548</x:f>
        <x:v>0</x:v>
      </x:c>
    </x:row>
    <x:row r="549" ht="27" customHeight="1">
      <x:c r="A549" s="2"/>
      <x:c r="B549" s="2" t="str">
        <x:v>Fabric &amp; Home Care | organic_volume_growth | PCENDC96</x:v>
      </x:c>
      <x:c r="C549" s="2" t="str">
        <x:v>2024-09-30</x:v>
      </x:c>
      <x:c r="D549" s="2" t="str">
        <x:v>Pre-earnings</x:v>
      </x:c>
      <x:c r="E549" s="2" t="str">
        <x:v>2024-10-17</x:v>
      </x:c>
      <x:c r="F549" s="2" t="str">
        <x:v>Available-history choice</x:v>
      </x:c>
      <x:c r="G549" s="2" t="n">
        <x:v>8</x:v>
      </x:c>
      <x:c r="H549" s="7" t="n">
        <x:v>-2.7554164467887263</x:v>
      </x:c>
      <x:c r="I549" s="7" t="n">
        <x:v>2.3474175191585807</x:v>
      </x:c>
      <x:c r="J549" s="7" t="n">
        <x:v>2.202595864225132</x:v>
      </x:c>
      <x:c r="K549" s="7" t="n">
        <x:f>H549+I549*J549</x:f>
        <x:v>2.4149956725195834</x:v>
      </x:c>
      <x:c r="L549" s="7" t="n">
        <x:v>1</x:v>
      </x:c>
      <x:c r="M549" s="7" t="n">
        <x:f>K549-L549</x:f>
        <x:v>1.4149956725195834</x:v>
      </x:c>
      <x:c r="N549" s="7" t="n">
        <x:f>M549^2</x:f>
        <x:v>2.002212753249148</x:v>
      </x:c>
      <x:c r="O549" s="7" t="n">
        <x:v>3</x:v>
      </x:c>
      <x:c r="P549" s="7" t="n">
        <x:v>1.25</x:v>
      </x:c>
      <x:c r="Q549" s="7" t="n">
        <x:v>2.309344790547807</x:v>
      </x:c>
      <x:c r="R549" s="7" t="n">
        <x:f>H549+I549*Q549</x:f>
        <x:v>2.665579972320799</x:v>
      </x:c>
      <x:c r="S549" s="7" t="n">
        <x:f>R549-L549</x:f>
        <x:v>1.6655799723207991</x:v>
      </x:c>
      <x:c r="T549" s="7" t="n">
        <x:f>K549-R549</x:f>
        <x:v>-0.25058429980121577</x:v>
      </x:c>
      <x:c r="U549" s="7" t="n">
        <x:f>M549-S549-T549</x:f>
        <x:v>0</x:v>
      </x:c>
    </x:row>
    <x:row r="550" ht="27" customHeight="1">
      <x:c r="A550" s="2"/>
      <x:c r="B550" s="2" t="str">
        <x:v>Baby, Feminine &amp; Family Care | organic_volume_growth | PCENDC96</x:v>
      </x:c>
      <x:c r="C550" s="2" t="str">
        <x:v>2024-12-31</x:v>
      </x:c>
      <x:c r="D550" s="2" t="str">
        <x:v>Origin</x:v>
      </x:c>
      <x:c r="E550" s="2" t="str">
        <x:v>2024-10-01</x:v>
      </x:c>
      <x:c r="F550" s="2" t="str">
        <x:v>Available-history choice</x:v>
      </x:c>
      <x:c r="G550" s="2" t="n">
        <x:v>14</x:v>
      </x:c>
      <x:c r="H550" s="7" t="n">
        <x:v>-2.080534591525106</x:v>
      </x:c>
      <x:c r="I550" s="7" t="n">
        <x:v>0.0992450761549538</x:v>
      </x:c>
      <x:c r="J550" s="7" t="n">
        <x:v>2.1970378321914286</x:v>
      </x:c>
      <x:c r="K550" s="7" t="n">
        <x:f>H550+I550*J550</x:f>
        <x:v>-1.862489404553953</x:v>
      </x:c>
      <x:c r="L550" s="7" t="n">
        <x:v>4</x:v>
      </x:c>
      <x:c r="M550" s="7" t="n">
        <x:f>K550-L550</x:f>
        <x:v>-5.862489404553953</x:v>
      </x:c>
      <x:c r="N550" s="7" t="n">
        <x:f>M550^2</x:f>
        <x:v>34.36878201850736</x:v>
      </x:c>
      <x:c r="O550" s="7" t="n">
        <x:v>-1</x:v>
      </x:c>
      <x:c r="P550" s="7" t="n">
        <x:v>-2.25</x:v>
      </x:c>
      <x:c r="Q550" s="7" t="n">
        <x:v>2.1803629338301267</x:v>
      </x:c>
      <x:c r="R550" s="7" t="n">
        <x:f>H550+I550*Q550</x:f>
        <x:v>-1.8641443061116965</x:v>
      </x:c>
      <x:c r="S550" s="7" t="n">
        <x:f>R550-L550</x:f>
        <x:v>-5.8641443061116965</x:v>
      </x:c>
      <x:c r="T550" s="7" t="n">
        <x:f>K550-R550</x:f>
        <x:v>0.0016549015577433934</x:v>
      </x:c>
      <x:c r="U550" s="7" t="n">
        <x:f>M550-S550-T550</x:f>
        <x:v>0</x:v>
      </x:c>
    </x:row>
    <x:row r="551" ht="27" customHeight="1">
      <x:c r="A551" s="2"/>
      <x:c r="B551" s="2" t="str">
        <x:v>Beauty | organic_volume_growth | PCENDC96</x:v>
      </x:c>
      <x:c r="C551" s="2" t="str">
        <x:v>2024-12-31</x:v>
      </x:c>
      <x:c r="D551" s="2" t="str">
        <x:v>Origin</x:v>
      </x:c>
      <x:c r="E551" s="2" t="str">
        <x:v>2024-10-01</x:v>
      </x:c>
      <x:c r="F551" s="2" t="str">
        <x:v>Available-history choice</x:v>
      </x:c>
      <x:c r="G551" s="2" t="n">
        <x:v>14</x:v>
      </x:c>
      <x:c r="H551" s="7" t="n">
        <x:v>-0.9203128740214753</x:v>
      </x:c>
      <x:c r="I551" s="7" t="n">
        <x:v>0.21362431278660504</x:v>
      </x:c>
      <x:c r="J551" s="7" t="n">
        <x:v>2.1970378321914286</x:v>
      </x:c>
      <x:c r="K551" s="7" t="n">
        <x:f>H551+I551*J551</x:f>
        <x:v>-0.4509721769534089</x:v>
      </x:c>
      <x:c r="L551" s="7" t="n">
        <x:v>0</x:v>
      </x:c>
      <x:c r="M551" s="7" t="n">
        <x:f>K551-L551</x:f>
        <x:v>-0.4509721769534089</x:v>
      </x:c>
      <x:c r="N551" s="7" t="n">
        <x:f>M551^2</x:f>
        <x:v>0.20337590438609676</x:v>
      </x:c>
      <x:c r="O551" s="7" t="n">
        <x:v>1</x:v>
      </x:c>
      <x:c r="P551" s="7" t="n">
        <x:v>0.25</x:v>
      </x:c>
      <x:c r="Q551" s="7" t="n">
        <x:v>2.1803629338301267</x:v>
      </x:c>
      <x:c r="R551" s="7" t="n">
        <x:f>H551+I551*Q551</x:f>
        <x:v>-0.4545343406566285</x:v>
      </x:c>
      <x:c r="S551" s="7" t="n">
        <x:f>R551-L551</x:f>
        <x:v>-0.4545343406566285</x:v>
      </x:c>
      <x:c r="T551" s="7" t="n">
        <x:f>K551-R551</x:f>
        <x:v>0.0035621637032196007</x:v>
      </x:c>
      <x:c r="U551" s="7" t="n">
        <x:f>M551-S551-T551</x:f>
        <x:v>0</x:v>
      </x:c>
    </x:row>
    <x:row r="552" ht="27" customHeight="1">
      <x:c r="A552" s="2"/>
      <x:c r="B552" s="2" t="str">
        <x:v>Fabric &amp; Home Care | organic_volume_growth | PCENDC96</x:v>
      </x:c>
      <x:c r="C552" s="2" t="str">
        <x:v>2024-12-31</x:v>
      </x:c>
      <x:c r="D552" s="2" t="str">
        <x:v>Origin</x:v>
      </x:c>
      <x:c r="E552" s="2" t="str">
        <x:v>2024-10-01</x:v>
      </x:c>
      <x:c r="F552" s="2" t="str">
        <x:v>Available-history choice</x:v>
      </x:c>
      <x:c r="G552" s="2" t="n">
        <x:v>8</x:v>
      </x:c>
      <x:c r="H552" s="7" t="n">
        <x:v>-2.7554164467887263</x:v>
      </x:c>
      <x:c r="I552" s="7" t="n">
        <x:v>2.3474175191585807</x:v>
      </x:c>
      <x:c r="J552" s="7" t="n">
        <x:v>2.1970378321914286</x:v>
      </x:c>
      <x:c r="K552" s="7" t="n">
        <x:f>H552+I552*J552</x:f>
        <x:v>2.4019486507516232</x:v>
      </x:c>
      <x:c r="L552" s="7" t="n">
        <x:v>2</x:v>
      </x:c>
      <x:c r="M552" s="7" t="n">
        <x:f>K552-L552</x:f>
        <x:v>0.4019486507516232</x:v>
      </x:c>
      <x:c r="N552" s="7" t="n">
        <x:f>M552^2</x:f>
        <x:v>0.1615627178410504</x:v>
      </x:c>
      <x:c r="O552" s="7" t="n">
        <x:v>3</x:v>
      </x:c>
      <x:c r="P552" s="7" t="n">
        <x:v>1.25</x:v>
      </x:c>
      <x:c r="Q552" s="7" t="n">
        <x:v>2.1803629338301267</x:v>
      </x:c>
      <x:c r="R552" s="7" t="n">
        <x:f>H552+I552*Q552</x:f>
        <x:v>2.3628057022081146</x:v>
      </x:c>
      <x:c r="S552" s="7" t="n">
        <x:f>R552-L552</x:f>
        <x:v>0.3628057022081146</x:v>
      </x:c>
      <x:c r="T552" s="7" t="n">
        <x:f>K552-R552</x:f>
        <x:v>0.03914294854350864</x:v>
      </x:c>
      <x:c r="U552" s="7" t="n">
        <x:f>M552-S552-T552</x:f>
        <x:v>0</x:v>
      </x:c>
    </x:row>
    <x:row r="553" ht="27" customHeight="1">
      <x:c r="A553" s="2"/>
      <x:c r="B553" s="2" t="str">
        <x:v>Baby, Feminine &amp; Family Care | organic_volume_growth | PCENDC96</x:v>
      </x:c>
      <x:c r="C553" s="2" t="str">
        <x:v>2024-12-31</x:v>
      </x:c>
      <x:c r="D553" s="2" t="str">
        <x:v>One month</x:v>
      </x:c>
      <x:c r="E553" s="2" t="str">
        <x:v>2024-11-27</x:v>
      </x:c>
      <x:c r="F553" s="2" t="str">
        <x:v>Available-history choice</x:v>
      </x:c>
      <x:c r="G553" s="2" t="n">
        <x:v>11</x:v>
      </x:c>
      <x:c r="H553" s="7" t="n">
        <x:v>-2.642882524087833</x:v>
      </x:c>
      <x:c r="I553" s="7" t="n">
        <x:v>0.8751356035148301</x:v>
      </x:c>
      <x:c r="J553" s="7" t="n">
        <x:v>2.2281213186692517</x:v>
      </x:c>
      <x:c r="K553" s="7" t="n">
        <x:f>H553+I553*J553</x:f>
        <x:v>-0.6929742291699581</x:v>
      </x:c>
      <x:c r="L553" s="7" t="n">
        <x:v>4</x:v>
      </x:c>
      <x:c r="M553" s="7" t="n">
        <x:f>K553-L553</x:f>
        <x:v>-4.692974229169958</x:v>
      </x:c>
      <x:c r="N553" s="7" t="n">
        <x:f>M553^2</x:f>
        <x:v>22.02400711565336</x:v>
      </x:c>
      <x:c r="O553" s="7" t="n">
        <x:v>-1</x:v>
      </x:c>
      <x:c r="P553" s="7" t="n">
        <x:v>-1.75</x:v>
      </x:c>
      <x:c r="Q553" s="7" t="n">
        <x:v>2.1803629338301267</x:v>
      </x:c>
      <x:c r="R553" s="7" t="n">
        <x:f>H553+I553*Q553</x:f>
        <x:v>-0.7347692921090394</x:v>
      </x:c>
      <x:c r="S553" s="7" t="n">
        <x:f>R553-L553</x:f>
        <x:v>-4.734769292109039</x:v>
      </x:c>
      <x:c r="T553" s="7" t="n">
        <x:f>K553-R553</x:f>
        <x:v>0.04179506293908131</x:v>
      </x:c>
      <x:c r="U553" s="7" t="n">
        <x:f>M553-S553-T553</x:f>
        <x:v>-2.220446049250313e-16</x:v>
      </x:c>
    </x:row>
    <x:row r="554" ht="27" customHeight="1">
      <x:c r="A554" s="2"/>
      <x:c r="B554" s="2" t="str">
        <x:v>Beauty | organic_volume_growth | PCENDC96</x:v>
      </x:c>
      <x:c r="C554" s="2" t="str">
        <x:v>2024-12-31</x:v>
      </x:c>
      <x:c r="D554" s="2" t="str">
        <x:v>One month</x:v>
      </x:c>
      <x:c r="E554" s="2" t="str">
        <x:v>2024-11-27</x:v>
      </x:c>
      <x:c r="F554" s="2" t="str">
        <x:v>Available-history choice</x:v>
      </x:c>
      <x:c r="G554" s="2" t="n">
        <x:v>11</x:v>
      </x:c>
      <x:c r="H554" s="7" t="n">
        <x:v>-1.1463472912570327</x:v>
      </x:c>
      <x:c r="I554" s="7" t="n">
        <x:v>0.4997973048133796</x:v>
      </x:c>
      <x:c r="J554" s="7" t="n">
        <x:v>2.2281213186692517</x:v>
      </x:c>
      <x:c r="K554" s="7" t="n">
        <x:f>H554+I554*J554</x:f>
        <x:v>-0.032738261388907564</x:v>
      </x:c>
      <x:c r="L554" s="7" t="n">
        <x:v>0</x:v>
      </x:c>
      <x:c r="M554" s="7" t="n">
        <x:f>K554-L554</x:f>
        <x:v>-0.032738261388907564</x:v>
      </x:c>
      <x:c r="N554" s="7" t="n">
        <x:f>M554^2</x:f>
        <x:v>0.0010717937587684358</x:v>
      </x:c>
      <x:c r="O554" s="7" t="n">
        <x:v>0</x:v>
      </x:c>
      <x:c r="P554" s="7" t="n">
        <x:v>0.25</x:v>
      </x:c>
      <x:c r="Q554" s="7" t="n">
        <x:v>2.1803629338301267</x:v>
      </x:c>
      <x:c r="R554" s="7" t="n">
        <x:f>H554+I554*Q554</x:f>
        <x:v>-0.056607773413742235</x:v>
      </x:c>
      <x:c r="S554" s="7" t="n">
        <x:f>R554-L554</x:f>
        <x:v>-0.056607773413742235</x:v>
      </x:c>
      <x:c r="T554" s="7" t="n">
        <x:f>K554-R554</x:f>
        <x:v>0.02386951202483467</x:v>
      </x:c>
      <x:c r="U554" s="7" t="n">
        <x:f>M554-S554-T554</x:f>
        <x:v>0</x:v>
      </x:c>
    </x:row>
    <x:row r="555" ht="27" customHeight="1">
      <x:c r="A555" s="2"/>
      <x:c r="B555" s="2" t="str">
        <x:v>Fabric &amp; Home Care | organic_volume_growth | PCENDC96</x:v>
      </x:c>
      <x:c r="C555" s="2" t="str">
        <x:v>2024-12-31</x:v>
      </x:c>
      <x:c r="D555" s="2" t="str">
        <x:v>One month</x:v>
      </x:c>
      <x:c r="E555" s="2" t="str">
        <x:v>2024-11-27</x:v>
      </x:c>
      <x:c r="F555" s="2" t="str">
        <x:v>Available-history choice</x:v>
      </x:c>
      <x:c r="G555" s="2" t="n">
        <x:v>8</x:v>
      </x:c>
      <x:c r="H555" s="7" t="n">
        <x:v>-3.0697902044802077</x:v>
      </x:c>
      <x:c r="I555" s="7" t="n">
        <x:v>2.343372897616352</x:v>
      </x:c>
      <x:c r="J555" s="7" t="n">
        <x:v>2.2281213186692517</x:v>
      </x:c>
      <x:c r="K555" s="7" t="n">
        <x:f>H555+I555*J555</x:f>
        <x:v>2.151528906290524</x:v>
      </x:c>
      <x:c r="L555" s="7" t="n">
        <x:v>2</x:v>
      </x:c>
      <x:c r="M555" s="7" t="n">
        <x:f>K555-L555</x:f>
        <x:v>0.15152890629052385</x:v>
      </x:c>
      <x:c r="N555" s="7" t="n">
        <x:f>M555^2</x:f>
        <x:v>0.022961009441602356</x:v>
      </x:c>
      <x:c r="O555" s="7" t="n">
        <x:v>1</x:v>
      </x:c>
      <x:c r="P555" s="7" t="n">
        <x:v>1.5</x:v>
      </x:c>
      <x:c r="Q555" s="7" t="n">
        <x:v>2.1803629338301267</x:v>
      </x:c>
      <x:c r="R555" s="7" t="n">
        <x:f>H555+I555*Q555</x:f>
        <x:v>2.039613201624587</x:v>
      </x:c>
      <x:c r="S555" s="7" t="n">
        <x:f>R555-L555</x:f>
        <x:v>0.039613201624586925</x:v>
      </x:c>
      <x:c r="T555" s="7" t="n">
        <x:f>K555-R555</x:f>
        <x:v>0.11191570466593692</x:v>
      </x:c>
      <x:c r="U555" s="7" t="n">
        <x:f>M555-S555-T555</x:f>
        <x:v>0</x:v>
      </x:c>
    </x:row>
    <x:row r="556" ht="27" customHeight="1">
      <x:c r="A556" s="2"/>
      <x:c r="B556" s="2" t="str">
        <x:v>Baby, Feminine &amp; Family Care | organic_volume_growth | PCENDC96</x:v>
      </x:c>
      <x:c r="C556" s="2" t="str">
        <x:v>2024-12-31</x:v>
      </x:c>
      <x:c r="D556" s="2" t="str">
        <x:v>Two months</x:v>
      </x:c>
      <x:c r="E556" s="2" t="str">
        <x:v>2024-12-20</x:v>
      </x:c>
      <x:c r="F556" s="2" t="str">
        <x:v>Available-history choice</x:v>
      </x:c>
      <x:c r="G556" s="2" t="n">
        <x:v>11</x:v>
      </x:c>
      <x:c r="H556" s="7" t="n">
        <x:v>-2.6432234040712053</x:v>
      </x:c>
      <x:c r="I556" s="7" t="n">
        <x:v>0.8743165448993253</x:v>
      </x:c>
      <x:c r="J556" s="7" t="n">
        <x:v>2.2104342232004415</x:v>
      </x:c>
      <x:c r="K556" s="7" t="n">
        <x:f>H556+I556*J556</x:f>
        <x:v>-0.7106041913153711</x:v>
      </x:c>
      <x:c r="L556" s="7" t="n">
        <x:v>4</x:v>
      </x:c>
      <x:c r="M556" s="7" t="n">
        <x:f>K556-L556</x:f>
        <x:v>-4.710604191315371</x:v>
      </x:c>
      <x:c r="N556" s="7" t="n">
        <x:f>M556^2</x:f>
        <x:v>22.189791847237938</x:v>
      </x:c>
      <x:c r="O556" s="7" t="n">
        <x:v>-1</x:v>
      </x:c>
      <x:c r="P556" s="7" t="n">
        <x:v>-1.75</x:v>
      </x:c>
      <x:c r="Q556" s="7" t="n">
        <x:v>2.158677588195279</x:v>
      </x:c>
      <x:c r="R556" s="7" t="n">
        <x:f>H556+I556*Q556</x:f>
        <x:v>-0.7558558736087002</x:v>
      </x:c>
      <x:c r="S556" s="7" t="n">
        <x:f>R556-L556</x:f>
        <x:v>-4.7558558736087</x:v>
      </x:c>
      <x:c r="T556" s="7" t="n">
        <x:f>K556-R556</x:f>
        <x:v>0.0452516822933291</x:v>
      </x:c>
      <x:c r="U556" s="7" t="n">
        <x:f>M556-S556-T556</x:f>
        <x:v>6.661338147750939e-16</x:v>
      </x:c>
    </x:row>
    <x:row r="557" ht="27" customHeight="1">
      <x:c r="A557" s="2"/>
      <x:c r="B557" s="2" t="str">
        <x:v>Beauty | organic_volume_growth | PCENDC96</x:v>
      </x:c>
      <x:c r="C557" s="2" t="str">
        <x:v>2024-12-31</x:v>
      </x:c>
      <x:c r="D557" s="2" t="str">
        <x:v>Two months</x:v>
      </x:c>
      <x:c r="E557" s="2" t="str">
        <x:v>2024-12-20</x:v>
      </x:c>
      <x:c r="F557" s="2" t="str">
        <x:v>Available-history choice</x:v>
      </x:c>
      <x:c r="G557" s="2" t="n">
        <x:v>11</x:v>
      </x:c>
      <x:c r="H557" s="7" t="n">
        <x:v>-1.1466345937277818</x:v>
      </x:c>
      <x:c r="I557" s="7" t="n">
        <x:v>0.4994398431462382</x:v>
      </x:c>
      <x:c r="J557" s="7" t="n">
        <x:v>2.2104342232004415</x:v>
      </x:c>
      <x:c r="K557" s="7" t="n">
        <x:f>H557+I557*J557</x:f>
        <x:v>-0.04265567200747644</x:v>
      </x:c>
      <x:c r="L557" s="7" t="n">
        <x:v>0</x:v>
      </x:c>
      <x:c r="M557" s="7" t="n">
        <x:f>K557-L557</x:f>
        <x:v>-0.04265567200747644</x:v>
      </x:c>
      <x:c r="N557" s="7" t="n">
        <x:f>M557^2</x:f>
        <x:v>0.0018195063544094092</x:v>
      </x:c>
      <x:c r="O557" s="7" t="n">
        <x:v>0</x:v>
      </x:c>
      <x:c r="P557" s="7" t="n">
        <x:v>0.25</x:v>
      </x:c>
      <x:c r="Q557" s="7" t="n">
        <x:v>2.158677588195279</x:v>
      </x:c>
      <x:c r="R557" s="7" t="n">
        <x:f>H557+I557*Q557</x:f>
        <x:v>-0.06850499767623175</x:v>
      </x:c>
      <x:c r="S557" s="7" t="n">
        <x:f>R557-L557</x:f>
        <x:v>-0.06850499767623175</x:v>
      </x:c>
      <x:c r="T557" s="7" t="n">
        <x:f>K557-R557</x:f>
        <x:v>0.025849325668755307</x:v>
      </x:c>
      <x:c r="U557" s="7" t="n">
        <x:f>M557-S557-T557</x:f>
        <x:v>0</x:v>
      </x:c>
    </x:row>
    <x:row r="558" ht="27" customHeight="1">
      <x:c r="A558" s="2"/>
      <x:c r="B558" s="2" t="str">
        <x:v>Fabric &amp; Home Care | organic_volume_growth | PCENDC96</x:v>
      </x:c>
      <x:c r="C558" s="2" t="str">
        <x:v>2024-12-31</x:v>
      </x:c>
      <x:c r="D558" s="2" t="str">
        <x:v>Two months</x:v>
      </x:c>
      <x:c r="E558" s="2" t="str">
        <x:v>2024-12-20</x:v>
      </x:c>
      <x:c r="F558" s="2" t="str">
        <x:v>Available-history choice</x:v>
      </x:c>
      <x:c r="G558" s="2" t="n">
        <x:v>8</x:v>
      </x:c>
      <x:c r="H558" s="7" t="n">
        <x:v>-3.0698143906116173</x:v>
      </x:c>
      <x:c r="I558" s="7" t="n">
        <x:v>2.3391202433654232</x:v>
      </x:c>
      <x:c r="J558" s="7" t="n">
        <x:v>2.2104342232004415</x:v>
      </x:c>
      <x:c r="K558" s="7" t="n">
        <x:f>H558+I558*J558</x:f>
        <x:v>2.1006570475042596</x:v>
      </x:c>
      <x:c r="L558" s="7" t="n">
        <x:v>2</x:v>
      </x:c>
      <x:c r="M558" s="7" t="n">
        <x:f>K558-L558</x:f>
        <x:v>0.10065704750425963</x:v>
      </x:c>
      <x:c r="N558" s="7" t="n">
        <x:f>M558^2</x:f>
        <x:v>0.01013184121227478</x:v>
      </x:c>
      <x:c r="O558" s="7" t="n">
        <x:v>1</x:v>
      </x:c>
      <x:c r="P558" s="7" t="n">
        <x:v>1.5</x:v>
      </x:c>
      <x:c r="Q558" s="7" t="n">
        <x:v>2.158677588195279</x:v>
      </x:c>
      <x:c r="R558" s="7" t="n">
        <x:f>H558+I558*Q558</x:f>
        <x:v>1.979592054835209</x:v>
      </x:c>
      <x:c r="S558" s="7" t="n">
        <x:f>R558-L558</x:f>
        <x:v>-0.02040794516479094</x:v>
      </x:c>
      <x:c r="T558" s="7" t="n">
        <x:f>K558-R558</x:f>
        <x:v>0.12106499266905058</x:v>
      </x:c>
      <x:c r="U558" s="7" t="n">
        <x:f>M558-S558-T558</x:f>
        <x:v>0</x:v>
      </x:c>
    </x:row>
    <x:row r="559" ht="27" customHeight="1">
      <x:c r="A559" s="2"/>
      <x:c r="B559" s="2" t="str">
        <x:v>Baby, Feminine &amp; Family Care | organic_volume_growth | PCENDC96</x:v>
      </x:c>
      <x:c r="C559" s="2" t="str">
        <x:v>2024-12-31</x:v>
      </x:c>
      <x:c r="D559" s="2" t="str">
        <x:v>Pre-earnings</x:v>
      </x:c>
      <x:c r="E559" s="2" t="str">
        <x:v>2025-01-21</x:v>
      </x:c>
      <x:c r="F559" s="2" t="str">
        <x:v>Available-history choice</x:v>
      </x:c>
      <x:c r="G559" s="2" t="n">
        <x:v>15</x:v>
      </x:c>
      <x:c r="H559" s="7" t="n">
        <x:v>-2.016433027926543</x:v>
      </x:c>
      <x:c r="I559" s="7" t="n">
        <x:v>0.09687124776088432</x:v>
      </x:c>
      <x:c r="J559" s="7" t="n">
        <x:v>2.2104342232004415</x:v>
      </x:c>
      <x:c r="K559" s="7" t="n">
        <x:f>H559+I559*J559</x:f>
        <x:v>-1.8023055066317553</x:v>
      </x:c>
      <x:c r="L559" s="7" t="n">
        <x:v>4</x:v>
      </x:c>
      <x:c r="M559" s="7" t="n">
        <x:f>K559-L559</x:f>
        <x:v>-5.802305506631756</x:v>
      </x:c>
      <x:c r="N559" s="7" t="n">
        <x:f>M559^2</x:f>
        <x:v>33.666749192289195</x:v>
      </x:c>
      <x:c r="O559" s="7" t="n">
        <x:v>-1</x:v>
      </x:c>
      <x:c r="P559" s="7" t="n">
        <x:v>-1.75</x:v>
      </x:c>
      <x:c r="Q559" s="7" t="n">
        <x:v>2.158677588195279</x:v>
      </x:c>
      <x:c r="R559" s="7" t="n">
        <x:f>H559+I559*Q559</x:f>
        <x:v>-1.8073192364446098</x:v>
      </x:c>
      <x:c r="S559" s="7" t="n">
        <x:f>R559-L559</x:f>
        <x:v>-5.807319236444609</x:v>
      </x:c>
      <x:c r="T559" s="7" t="n">
        <x:f>K559-R559</x:f>
        <x:v>0.005013729812854528</x:v>
      </x:c>
      <x:c r="U559" s="7" t="n">
        <x:f>M559-S559-T559</x:f>
        <x:v>-8.881784197001252e-16</x:v>
      </x:c>
    </x:row>
    <x:row r="560" ht="27" customHeight="1">
      <x:c r="A560" s="2"/>
      <x:c r="B560" s="2" t="str">
        <x:v>Beauty | organic_volume_growth | PCENDC96</x:v>
      </x:c>
      <x:c r="C560" s="2" t="str">
        <x:v>2024-12-31</x:v>
      </x:c>
      <x:c r="D560" s="2" t="str">
        <x:v>Pre-earnings</x:v>
      </x:c>
      <x:c r="E560" s="2" t="str">
        <x:v>2025-01-21</x:v>
      </x:c>
      <x:c r="F560" s="2" t="str">
        <x:v>Available-history choice</x:v>
      </x:c>
      <x:c r="G560" s="2" t="n">
        <x:v>15</x:v>
      </x:c>
      <x:c r="H560" s="7" t="n">
        <x:v>-0.8874082431352992</x:v>
      </x:c>
      <x:c r="I560" s="7" t="n">
        <x:v>0.21240577859322493</x:v>
      </x:c>
      <x:c r="J560" s="7" t="n">
        <x:v>2.2104342232004415</x:v>
      </x:c>
      <x:c r="K560" s="7" t="n">
        <x:f>H560+I560*J560</x:f>
        <x:v>-0.4178992409272991</x:v>
      </x:c>
      <x:c r="L560" s="7" t="n">
        <x:v>0</x:v>
      </x:c>
      <x:c r="M560" s="7" t="n">
        <x:f>K560-L560</x:f>
        <x:v>-0.4178992409272991</x:v>
      </x:c>
      <x:c r="N560" s="7" t="n">
        <x:f>M560^2</x:f>
        <x:v>0.17463977556761276</x:v>
      </x:c>
      <x:c r="O560" s="7" t="n">
        <x:v>0</x:v>
      </x:c>
      <x:c r="P560" s="7" t="n">
        <x:v>0.25</x:v>
      </x:c>
      <x:c r="Q560" s="7" t="n">
        <x:v>2.158677588195279</x:v>
      </x:c>
      <x:c r="R560" s="7" t="n">
        <x:f>H560+I560*Q560</x:f>
        <x:v>-0.42889264928293597</x:v>
      </x:c>
      <x:c r="S560" s="7" t="n">
        <x:f>R560-L560</x:f>
        <x:v>-0.42889264928293597</x:v>
      </x:c>
      <x:c r="T560" s="7" t="n">
        <x:f>K560-R560</x:f>
        <x:v>0.010993408355636891</x:v>
      </x:c>
      <x:c r="U560" s="7" t="n">
        <x:f>M560-S560-T560</x:f>
        <x:v>0</x:v>
      </x:c>
    </x:row>
    <x:row r="561" ht="27" customHeight="1">
      <x:c r="A561" s="2"/>
      <x:c r="B561" s="2" t="str">
        <x:v>Fabric &amp; Home Care | organic_volume_growth | PCENDC96</x:v>
      </x:c>
      <x:c r="C561" s="2" t="str">
        <x:v>2024-12-31</x:v>
      </x:c>
      <x:c r="D561" s="2" t="str">
        <x:v>Pre-earnings</x:v>
      </x:c>
      <x:c r="E561" s="2" t="str">
        <x:v>2025-01-21</x:v>
      </x:c>
      <x:c r="F561" s="2" t="str">
        <x:v>Available-history choice</x:v>
      </x:c>
      <x:c r="G561" s="2" t="n">
        <x:v>8</x:v>
      </x:c>
      <x:c r="H561" s="7" t="n">
        <x:v>-3.0698143906116173</x:v>
      </x:c>
      <x:c r="I561" s="7" t="n">
        <x:v>2.3391202433654232</x:v>
      </x:c>
      <x:c r="J561" s="7" t="n">
        <x:v>2.2104342232004415</x:v>
      </x:c>
      <x:c r="K561" s="7" t="n">
        <x:f>H561+I561*J561</x:f>
        <x:v>2.1006570475042596</x:v>
      </x:c>
      <x:c r="L561" s="7" t="n">
        <x:v>2</x:v>
      </x:c>
      <x:c r="M561" s="7" t="n">
        <x:f>K561-L561</x:f>
        <x:v>0.10065704750425963</x:v>
      </x:c>
      <x:c r="N561" s="7" t="n">
        <x:f>M561^2</x:f>
        <x:v>0.01013184121227478</x:v>
      </x:c>
      <x:c r="O561" s="7" t="n">
        <x:v>1</x:v>
      </x:c>
      <x:c r="P561" s="7" t="n">
        <x:v>1.5</x:v>
      </x:c>
      <x:c r="Q561" s="7" t="n">
        <x:v>2.158677588195279</x:v>
      </x:c>
      <x:c r="R561" s="7" t="n">
        <x:f>H561+I561*Q561</x:f>
        <x:v>1.979592054835209</x:v>
      </x:c>
      <x:c r="S561" s="7" t="n">
        <x:f>R561-L561</x:f>
        <x:v>-0.02040794516479094</x:v>
      </x:c>
      <x:c r="T561" s="7" t="n">
        <x:f>K561-R561</x:f>
        <x:v>0.12106499266905058</x:v>
      </x:c>
      <x:c r="U561" s="7" t="n">
        <x:f>M561-S561-T561</x:f>
        <x:v>0</x:v>
      </x:c>
    </x:row>
    <x:row r="562" ht="27" customHeight="1">
      <x:c r="A562" s="2"/>
      <x:c r="B562" s="2" t="str">
        <x:v>Baby, Feminine &amp; Family Care | organic_volume_growth | PCENDC96</x:v>
      </x:c>
      <x:c r="C562" s="2" t="str">
        <x:v>2025-03-31</x:v>
      </x:c>
      <x:c r="D562" s="2" t="str">
        <x:v>Origin</x:v>
      </x:c>
      <x:c r="E562" s="2" t="str">
        <x:v>2025-01-01</x:v>
      </x:c>
      <x:c r="F562" s="2" t="str">
        <x:v>Available-history choice</x:v>
      </x:c>
      <x:c r="G562" s="2" t="n">
        <x:v>15</x:v>
      </x:c>
      <x:c r="H562" s="7" t="n">
        <x:v>-2.016433027926543</x:v>
      </x:c>
      <x:c r="I562" s="7" t="n">
        <x:v>0.09687124776088432</x:v>
      </x:c>
      <x:c r="J562" s="7" t="n">
        <x:v>2.3134618459836664</x:v>
      </x:c>
      <x:c r="K562" s="7" t="n">
        <x:f>H562+I562*J562</x:f>
        <x:v>-1.7923250922589065</x:v>
      </x:c>
      <x:c r="L562" s="7" t="n">
        <x:v>-2</x:v>
      </x:c>
      <x:c r="M562" s="7" t="n">
        <x:f>K562-L562</x:f>
        <x:v>0.20767490774109354</x:v>
      </x:c>
      <x:c r="N562" s="7" t="n">
        <x:f>M562^2</x:f>
        <x:v>0.04312886730527171</x:v>
      </x:c>
      <x:c r="O562" s="7" t="n">
        <x:v>-1</x:v>
      </x:c>
      <x:c r="P562" s="7" t="n">
        <x:v>-1.75</x:v>
      </x:c>
      <x:c r="Q562" s="7" t="n">
        <x:v>2.6571575328934394</x:v>
      </x:c>
      <x:c r="R562" s="7" t="n">
        <x:f>H562+I562*Q562</x:f>
        <x:v>-1.7590308622179225</x:v>
      </x:c>
      <x:c r="S562" s="7" t="n">
        <x:f>R562-L562</x:f>
        <x:v>0.2409691377820775</x:v>
      </x:c>
      <x:c r="T562" s="7" t="n">
        <x:f>K562-R562</x:f>
        <x:v>-0.033294230040983974</x:v>
      </x:c>
      <x:c r="U562" s="7" t="n">
        <x:f>M562-S562-T562</x:f>
        <x:v>0</x:v>
      </x:c>
    </x:row>
    <x:row r="563" ht="27" customHeight="1">
      <x:c r="A563" s="2"/>
      <x:c r="B563" s="2" t="str">
        <x:v>Beauty | organic_volume_growth | PCENDC96</x:v>
      </x:c>
      <x:c r="C563" s="2" t="str">
        <x:v>2025-03-31</x:v>
      </x:c>
      <x:c r="D563" s="2" t="str">
        <x:v>Origin</x:v>
      </x:c>
      <x:c r="E563" s="2" t="str">
        <x:v>2025-01-01</x:v>
      </x:c>
      <x:c r="F563" s="2" t="str">
        <x:v>Available-history choice</x:v>
      </x:c>
      <x:c r="G563" s="2" t="n">
        <x:v>15</x:v>
      </x:c>
      <x:c r="H563" s="7" t="n">
        <x:v>-0.8874082431352992</x:v>
      </x:c>
      <x:c r="I563" s="7" t="n">
        <x:v>0.21240577859322493</x:v>
      </x:c>
      <x:c r="J563" s="7" t="n">
        <x:v>2.3134618459836664</x:v>
      </x:c>
      <x:c r="K563" s="7" t="n">
        <x:f>H563+I563*J563</x:f>
        <x:v>-0.3960155784934191</x:v>
      </x:c>
      <x:c r="L563" s="7" t="n">
        <x:v>1</x:v>
      </x:c>
      <x:c r="M563" s="7" t="n">
        <x:f>K563-L563</x:f>
        <x:v>-1.3960155784934192</x:v>
      </x:c>
      <x:c r="N563" s="7" t="n">
        <x:f>M563^2</x:f>
        <x:v>1.9488594953963159</x:v>
      </x:c>
      <x:c r="O563" s="7" t="n">
        <x:v>0</x:v>
      </x:c>
      <x:c r="P563" s="7" t="n">
        <x:v>0.25</x:v>
      </x:c>
      <x:c r="Q563" s="7" t="n">
        <x:v>2.6571575328934394</x:v>
      </x:c>
      <x:c r="R563" s="7" t="n">
        <x:f>H563+I563*Q563</x:f>
        <x:v>-0.3230126285162155</x:v>
      </x:c>
      <x:c r="S563" s="7" t="n">
        <x:f>R563-L563</x:f>
        <x:v>-1.3230126285162154</x:v>
      </x:c>
      <x:c r="T563" s="7" t="n">
        <x:f>K563-R563</x:f>
        <x:v>-0.07300294997720363</x:v>
      </x:c>
      <x:c r="U563" s="7" t="n">
        <x:f>M563-S563-T563</x:f>
        <x:v>-1.6653345369377348e-16</x:v>
      </x:c>
    </x:row>
    <x:row r="564" ht="27" customHeight="1">
      <x:c r="A564" s="2"/>
      <x:c r="B564" s="2" t="str">
        <x:v>Fabric &amp; Home Care | organic_volume_growth | PCENDC96</x:v>
      </x:c>
      <x:c r="C564" s="2" t="str">
        <x:v>2025-03-31</x:v>
      </x:c>
      <x:c r="D564" s="2" t="str">
        <x:v>Origin</x:v>
      </x:c>
      <x:c r="E564" s="2" t="str">
        <x:v>2025-01-01</x:v>
      </x:c>
      <x:c r="F564" s="2" t="str">
        <x:v>Available-history choice</x:v>
      </x:c>
      <x:c r="G564" s="2" t="n">
        <x:v>8</x:v>
      </x:c>
      <x:c r="H564" s="7" t="n">
        <x:v>-3.0698143906116173</x:v>
      </x:c>
      <x:c r="I564" s="7" t="n">
        <x:v>2.3391202433654232</x:v>
      </x:c>
      <x:c r="J564" s="7" t="n">
        <x:v>2.3134618459836664</x:v>
      </x:c>
      <x:c r="K564" s="7" t="n">
        <x:f>H564+I564*J564</x:f>
        <x:v>2.3416510455823176</x:v>
      </x:c>
      <x:c r="L564" s="7" t="n">
        <x:v>0</x:v>
      </x:c>
      <x:c r="M564" s="7" t="n">
        <x:f>K564-L564</x:f>
        <x:v>2.3416510455823176</x:v>
      </x:c>
      <x:c r="N564" s="7" t="n">
        <x:f>M564^2</x:f>
        <x:v>5.483329619276762</x:v>
      </x:c>
      <x:c r="O564" s="7" t="n">
        <x:v>1</x:v>
      </x:c>
      <x:c r="P564" s="7" t="n">
        <x:v>1.5</x:v>
      </x:c>
      <x:c r="Q564" s="7" t="n">
        <x:v>2.6571575328934394</x:v>
      </x:c>
      <x:c r="R564" s="7" t="n">
        <x:f>H564+I564*Q564</x:f>
        <x:v>3.145596584390352</x:v>
      </x:c>
      <x:c r="S564" s="7" t="n">
        <x:f>R564-L564</x:f>
        <x:v>3.145596584390352</x:v>
      </x:c>
      <x:c r="T564" s="7" t="n">
        <x:f>K564-R564</x:f>
        <x:v>-0.8039455388080343</x:v>
      </x:c>
      <x:c r="U564" s="7" t="n">
        <x:f>M564-S564-T564</x:f>
        <x:v>0</x:v>
      </x:c>
    </x:row>
    <x:row r="565" ht="27" customHeight="1">
      <x:c r="A565" s="2"/>
      <x:c r="B565" s="2" t="str">
        <x:v>Baby, Feminine &amp; Family Care | organic_volume_growth | PCENDC96</x:v>
      </x:c>
      <x:c r="C565" s="2" t="str">
        <x:v>2025-03-31</x:v>
      </x:c>
      <x:c r="D565" s="2" t="str">
        <x:v>One month</x:v>
      </x:c>
      <x:c r="E565" s="2" t="str">
        <x:v>2025-02-28</x:v>
      </x:c>
      <x:c r="F565" s="2" t="str">
        <x:v>Available-history choice</x:v>
      </x:c>
      <x:c r="G565" s="2" t="n">
        <x:v>12</x:v>
      </x:c>
      <x:c r="H565" s="7" t="n">
        <x:v>-2.4428140846381052</x:v>
      </x:c>
      <x:c r="I565" s="7" t="n">
        <x:v>1.0875923435027448</x:v>
      </x:c>
      <x:c r="J565" s="7" t="n">
        <x:v>2.01451850150427</x:v>
      </x:c>
      <x:c r="K565" s="7" t="n">
        <x:f>H565+I565*J565</x:f>
        <x:v>-0.25183918655743875</x:v>
      </x:c>
      <x:c r="L565" s="7" t="n">
        <x:v>-2</x:v>
      </x:c>
      <x:c r="M565" s="7" t="n">
        <x:f>K565-L565</x:f>
        <x:v>1.7481608134425612</x:v>
      </x:c>
      <x:c r="N565" s="7" t="n">
        <x:f>M565^2</x:f>
        <x:v>3.0560662296561576</x:v>
      </x:c>
      <x:c r="O565" s="7" t="n">
        <x:v>4</x:v>
      </x:c>
      <x:c r="P565" s="7" t="n">
        <x:v>-0.25</x:v>
      </x:c>
      <x:c r="Q565" s="7" t="n">
        <x:v>2.6571575328934394</x:v>
      </x:c>
      <x:c r="R565" s="7" t="n">
        <x:f>H565+I565*Q565</x:f>
        <x:v>0.4470901036174424</x:v>
      </x:c>
      <x:c r="S565" s="7" t="n">
        <x:f>R565-L565</x:f>
        <x:v>2.4470901036174424</x:v>
      </x:c>
      <x:c r="T565" s="7" t="n">
        <x:f>K565-R565</x:f>
        <x:v>-0.6989292901748811</x:v>
      </x:c>
      <x:c r="U565" s="7" t="n">
        <x:f>M565-S565-T565</x:f>
        <x:v>0</x:v>
      </x:c>
    </x:row>
    <x:row r="566" ht="27" customHeight="1">
      <x:c r="A566" s="2"/>
      <x:c r="B566" s="2" t="str">
        <x:v>Beauty | organic_volume_growth | PCENDC96</x:v>
      </x:c>
      <x:c r="C566" s="2" t="str">
        <x:v>2025-03-31</x:v>
      </x:c>
      <x:c r="D566" s="2" t="str">
        <x:v>One month</x:v>
      </x:c>
      <x:c r="E566" s="2" t="str">
        <x:v>2025-02-28</x:v>
      </x:c>
      <x:c r="F566" s="2" t="str">
        <x:v>Available-history choice</x:v>
      </x:c>
      <x:c r="G566" s="2" t="n">
        <x:v>12</x:v>
      </x:c>
      <x:c r="H566" s="7" t="n">
        <x:v>-1.142271200336447</x:v>
      </x:c>
      <x:c r="I566" s="7" t="n">
        <x:v>0.5040833707665615</x:v>
      </x:c>
      <x:c r="J566" s="7" t="n">
        <x:v>2.01451850150427</x:v>
      </x:c>
      <x:c r="K566" s="7" t="n">
        <x:f>H566+I566*J566</x:f>
        <x:v>-0.12678592362657226</x:v>
      </x:c>
      <x:c r="L566" s="7" t="n">
        <x:v>1</x:v>
      </x:c>
      <x:c r="M566" s="7" t="n">
        <x:f>K566-L566</x:f>
        <x:v>-1.1267859236265723</x:v>
      </x:c>
      <x:c r="N566" s="7" t="n">
        <x:f>M566^2</x:f>
        <x:v>1.2696465176829876</x:v>
      </x:c>
      <x:c r="O566" s="7" t="n">
        <x:v>0</x:v>
      </x:c>
      <x:c r="P566" s="7" t="n">
        <x:v>0.5</x:v>
      </x:c>
      <x:c r="Q566" s="7" t="n">
        <x:v>2.6571575328934394</x:v>
      </x:c>
      <x:c r="R566" s="7" t="n">
        <x:f>H566+I566*Q566</x:f>
        <x:v>0.19715772550223853</x:v>
      </x:c>
      <x:c r="S566" s="7" t="n">
        <x:f>R566-L566</x:f>
        <x:v>-0.8028422744977615</x:v>
      </x:c>
      <x:c r="T566" s="7" t="n">
        <x:f>K566-R566</x:f>
        <x:v>-0.3239436491288108</x:v>
      </x:c>
      <x:c r="U566" s="7" t="n">
        <x:f>M566-S566-T566</x:f>
        <x:v>0</x:v>
      </x:c>
    </x:row>
    <x:row r="567" ht="27" customHeight="1">
      <x:c r="A567" s="2"/>
      <x:c r="B567" s="2" t="str">
        <x:v>Fabric &amp; Home Care | organic_volume_growth | PCENDC96</x:v>
      </x:c>
      <x:c r="C567" s="2" t="str">
        <x:v>2025-03-31</x:v>
      </x:c>
      <x:c r="D567" s="2" t="str">
        <x:v>One month</x:v>
      </x:c>
      <x:c r="E567" s="2" t="str">
        <x:v>2025-02-28</x:v>
      </x:c>
      <x:c r="F567" s="2" t="str">
        <x:v>Available-history choice</x:v>
      </x:c>
      <x:c r="G567" s="2" t="n">
        <x:v>8</x:v>
      </x:c>
      <x:c r="H567" s="7" t="n">
        <x:v>-2.8842663994425966</x:v>
      </x:c>
      <x:c r="I567" s="7" t="n">
        <x:v>2.244547535287521</x:v>
      </x:c>
      <x:c r="J567" s="7" t="n">
        <x:v>2.01451850150427</x:v>
      </x:c>
      <x:c r="K567" s="7" t="n">
        <x:f>H567+I567*J567</x:f>
        <x:v>1.6374161378999226</x:v>
      </x:c>
      <x:c r="L567" s="7" t="n">
        <x:v>0</x:v>
      </x:c>
      <x:c r="M567" s="7" t="n">
        <x:f>K567-L567</x:f>
        <x:v>1.6374161378999226</x:v>
      </x:c>
      <x:c r="N567" s="7" t="n">
        <x:f>M567^2</x:f>
        <x:v>2.6811316086550985</x:v>
      </x:c>
      <x:c r="O567" s="7" t="n">
        <x:v>2</x:v>
      </x:c>
      <x:c r="P567" s="7" t="n">
        <x:v>1.75</x:v>
      </x:c>
      <x:c r="Q567" s="7" t="n">
        <x:v>2.6571575328934394</x:v>
      </x:c>
      <x:c r="R567" s="7" t="n">
        <x:f>H567+I567*Q567</x:f>
        <x:v>3.0798499918840427</x:v>
      </x:c>
      <x:c r="S567" s="7" t="n">
        <x:f>R567-L567</x:f>
        <x:v>3.0798499918840427</x:v>
      </x:c>
      <x:c r="T567" s="7" t="n">
        <x:f>K567-R567</x:f>
        <x:v>-1.4424338539841202</x:v>
      </x:c>
      <x:c r="U567" s="7" t="n">
        <x:f>M567-S567-T567</x:f>
        <x:v>0</x:v>
      </x:c>
    </x:row>
    <x:row r="568" ht="27" customHeight="1">
      <x:c r="A568" s="2"/>
      <x:c r="B568" s="2" t="str">
        <x:v>Baby, Feminine &amp; Family Care | organic_volume_growth | PCENDC96</x:v>
      </x:c>
      <x:c r="C568" s="2" t="str">
        <x:v>2025-03-31</x:v>
      </x:c>
      <x:c r="D568" s="2" t="str">
        <x:v>Two months</x:v>
      </x:c>
      <x:c r="E568" s="2" t="str">
        <x:v>2025-03-28</x:v>
      </x:c>
      <x:c r="F568" s="2" t="str">
        <x:v>Available-history choice</x:v>
      </x:c>
      <x:c r="G568" s="2" t="n">
        <x:v>12</x:v>
      </x:c>
      <x:c r="H568" s="7" t="n">
        <x:v>-2.4476663664941647</x:v>
      </x:c>
      <x:c r="I568" s="7" t="n">
        <x:v>1.0903620026149121</x:v>
      </x:c>
      <x:c r="J568" s="7" t="n">
        <x:v>2.5268187156605393</x:v>
      </x:c>
      <x:c r="K568" s="7" t="n">
        <x:f>H568+I568*J568</x:f>
        <x:v>0.3074807485583011</x:v>
      </x:c>
      <x:c r="L568" s="7" t="n">
        <x:v>-2</x:v>
      </x:c>
      <x:c r="M568" s="7" t="n">
        <x:f>K568-L568</x:f>
        <x:v>2.307480748558301</x:v>
      </x:c>
      <x:c r="N568" s="7" t="n">
        <x:f>M568^2</x:f>
        <x:v>5.324467404967177</x:v>
      </x:c>
      <x:c r="O568" s="7" t="n">
        <x:v>4</x:v>
      </x:c>
      <x:c r="P568" s="7" t="n">
        <x:v>-0.25</x:v>
      </x:c>
      <x:c r="Q568" s="7" t="n">
        <x:v>2.6670354419376485</x:v>
      </x:c>
      <x:c r="R568" s="7" t="n">
        <x:f>H568+I568*Q568</x:f>
        <x:v>0.46036773902191674</x:v>
      </x:c>
      <x:c r="S568" s="7" t="n">
        <x:f>R568-L568</x:f>
        <x:v>2.4603677390219167</x:v>
      </x:c>
      <x:c r="T568" s="7" t="n">
        <x:f>K568-R568</x:f>
        <x:v>-0.15288699046361565</x:v>
      </x:c>
      <x:c r="U568" s="7" t="n">
        <x:f>M568-S568-T568</x:f>
        <x:v>0</x:v>
      </x:c>
    </x:row>
    <x:row r="569" ht="27" customHeight="1">
      <x:c r="A569" s="2"/>
      <x:c r="B569" s="2" t="str">
        <x:v>Beauty | organic_volume_growth | PCENDC96</x:v>
      </x:c>
      <x:c r="C569" s="2" t="str">
        <x:v>2025-03-31</x:v>
      </x:c>
      <x:c r="D569" s="2" t="str">
        <x:v>Two months</x:v>
      </x:c>
      <x:c r="E569" s="2" t="str">
        <x:v>2025-03-28</x:v>
      </x:c>
      <x:c r="F569" s="2" t="str">
        <x:v>Available-history choice</x:v>
      </x:c>
      <x:c r="G569" s="2" t="n">
        <x:v>12</x:v>
      </x:c>
      <x:c r="H569" s="7" t="n">
        <x:v>-1.1428593444147408</x:v>
      </x:c>
      <x:c r="I569" s="7" t="n">
        <x:v>0.5036106235790575</x:v>
      </x:c>
      <x:c r="J569" s="7" t="n">
        <x:v>2.5268187156605393</x:v>
      </x:c>
      <x:c r="K569" s="7" t="n">
        <x:f>H569+I569*J569</x:f>
        <x:v>0.12967340465029653</x:v>
      </x:c>
      <x:c r="L569" s="7" t="n">
        <x:v>1</x:v>
      </x:c>
      <x:c r="M569" s="7" t="n">
        <x:f>K569-L569</x:f>
        <x:v>-0.8703265953497035</x:v>
      </x:c>
      <x:c r="N569" s="7" t="n">
        <x:f>M569^2</x:f>
        <x:v>0.7574683825730065</x:v>
      </x:c>
      <x:c r="O569" s="7" t="n">
        <x:v>0</x:v>
      </x:c>
      <x:c r="P569" s="7" t="n">
        <x:v>0.5</x:v>
      </x:c>
      <x:c r="Q569" s="7" t="n">
        <x:v>2.6670354419376485</x:v>
      </x:c>
      <x:c r="R569" s="7" t="n">
        <x:f>H569+I569*Q569</x:f>
        <x:v>0.2002880376069256</x:v>
      </x:c>
      <x:c r="S569" s="7" t="n">
        <x:f>R569-L569</x:f>
        <x:v>-0.7997119623930744</x:v>
      </x:c>
      <x:c r="T569" s="7" t="n">
        <x:f>K569-R569</x:f>
        <x:v>-0.07061463295662906</x:v>
      </x:c>
      <x:c r="U569" s="7" t="n">
        <x:f>M569-S569-T569</x:f>
        <x:v>0</x:v>
      </x:c>
    </x:row>
    <x:row r="570" ht="27" customHeight="1">
      <x:c r="A570" s="2"/>
      <x:c r="B570" s="2" t="str">
        <x:v>Fabric &amp; Home Care | organic_volume_growth | PCENDC96</x:v>
      </x:c>
      <x:c r="C570" s="2" t="str">
        <x:v>2025-03-31</x:v>
      </x:c>
      <x:c r="D570" s="2" t="str">
        <x:v>Two months</x:v>
      </x:c>
      <x:c r="E570" s="2" t="str">
        <x:v>2025-03-28</x:v>
      </x:c>
      <x:c r="F570" s="2" t="str">
        <x:v>Available-history choice</x:v>
      </x:c>
      <x:c r="G570" s="2" t="n">
        <x:v>8</x:v>
      </x:c>
      <x:c r="H570" s="7" t="n">
        <x:v>-2.8840934270602387</x:v>
      </x:c>
      <x:c r="I570" s="7" t="n">
        <x:v>2.2392737124125786</x:v>
      </x:c>
      <x:c r="J570" s="7" t="n">
        <x:v>2.5268187156605393</x:v>
      </x:c>
      <x:c r="K570" s="7" t="n">
        <x:f>H570+I570*J570</x:f>
        <x:v>2.774145298950521</x:v>
      </x:c>
      <x:c r="L570" s="7" t="n">
        <x:v>0</x:v>
      </x:c>
      <x:c r="M570" s="7" t="n">
        <x:f>K570-L570</x:f>
        <x:v>2.774145298950521</x:v>
      </x:c>
      <x:c r="N570" s="7" t="n">
        <x:f>M570^2</x:f>
        <x:v>7.695882139689276</x:v>
      </x:c>
      <x:c r="O570" s="7" t="n">
        <x:v>2</x:v>
      </x:c>
      <x:c r="P570" s="7" t="n">
        <x:v>1.75</x:v>
      </x:c>
      <x:c r="Q570" s="7" t="n">
        <x:v>2.6670354419376485</x:v>
      </x:c>
      <x:c r="R570" s="7" t="n">
        <x:f>H570+I570*Q570</x:f>
        <x:v>3.0881289281434015</x:v>
      </x:c>
      <x:c r="S570" s="7" t="n">
        <x:f>R570-L570</x:f>
        <x:v>3.0881289281434015</x:v>
      </x:c>
      <x:c r="T570" s="7" t="n">
        <x:f>K570-R570</x:f>
        <x:v>-0.31398362919288036</x:v>
      </x:c>
      <x:c r="U570" s="7" t="n">
        <x:f>M570-S570-T570</x:f>
        <x:v>0</x:v>
      </x:c>
    </x:row>
    <x:row r="571" ht="27" customHeight="1">
      <x:c r="A571" s="2"/>
      <x:c r="B571" s="2" t="str">
        <x:v>Baby, Feminine &amp; Family Care | organic_volume_growth | PCENDC96</x:v>
      </x:c>
      <x:c r="C571" s="2" t="str">
        <x:v>2025-03-31</x:v>
      </x:c>
      <x:c r="D571" s="2" t="str">
        <x:v>Pre-earnings</x:v>
      </x:c>
      <x:c r="E571" s="2" t="str">
        <x:v>2025-04-23</x:v>
      </x:c>
      <x:c r="F571" s="2" t="str">
        <x:v>Available-history choice</x:v>
      </x:c>
      <x:c r="G571" s="2" t="n">
        <x:v>16</x:v>
      </x:c>
      <x:c r="H571" s="7" t="n">
        <x:v>-1.6011825318370596</x:v>
      </x:c>
      <x:c r="I571" s="7" t="n">
        <x:v>0.078763160307073</x:v>
      </x:c>
      <x:c r="J571" s="7" t="n">
        <x:v>2.5268187156605393</x:v>
      </x:c>
      <x:c r="K571" s="7" t="n">
        <x:f>H571+I571*J571</x:f>
        <x:v>-1.4021623042685762</x:v>
      </x:c>
      <x:c r="L571" s="7" t="n">
        <x:v>-2</x:v>
      </x:c>
      <x:c r="M571" s="7" t="n">
        <x:f>K571-L571</x:f>
        <x:v>0.5978376957314238</x:v>
      </x:c>
      <x:c r="N571" s="7" t="n">
        <x:f>M571^2</x:f>
        <x:v>0.3574099104374584</x:v>
      </x:c>
      <x:c r="O571" s="7" t="n">
        <x:v>4</x:v>
      </x:c>
      <x:c r="P571" s="7" t="n">
        <x:v>-0.25</x:v>
      </x:c>
      <x:c r="Q571" s="7" t="n">
        <x:v>2.6670354419376485</x:v>
      </x:c>
      <x:c r="R571" s="7" t="n">
        <x:f>H571+I571*Q571</x:f>
        <x:v>-1.3911183917790793</x:v>
      </x:c>
      <x:c r="S571" s="7" t="n">
        <x:f>R571-L571</x:f>
        <x:v>0.6088816082209207</x:v>
      </x:c>
      <x:c r="T571" s="7" t="n">
        <x:f>K571-R571</x:f>
        <x:v>-0.011043912489496988</x:v>
      </x:c>
      <x:c r="U571" s="7" t="n">
        <x:f>M571-S571-T571</x:f>
        <x:v>0</x:v>
      </x:c>
    </x:row>
    <x:row r="572" ht="27" customHeight="1">
      <x:c r="A572" s="2"/>
      <x:c r="B572" s="2" t="str">
        <x:v>Beauty | organic_volume_growth | PCENDC96</x:v>
      </x:c>
      <x:c r="C572" s="2" t="str">
        <x:v>2025-03-31</x:v>
      </x:c>
      <x:c r="D572" s="2" t="str">
        <x:v>Pre-earnings</x:v>
      </x:c>
      <x:c r="E572" s="2" t="str">
        <x:v>2025-04-23</x:v>
      </x:c>
      <x:c r="F572" s="2" t="str">
        <x:v>Available-history choice</x:v>
      </x:c>
      <x:c r="G572" s="2" t="n">
        <x:v>16</x:v>
      </x:c>
      <x:c r="H572" s="7" t="n">
        <x:v>-0.8560321226887075</x:v>
      </x:c>
      <x:c r="I572" s="7" t="n">
        <x:v>0.2110375405336471</x:v>
      </x:c>
      <x:c r="J572" s="7" t="n">
        <x:v>2.5268187156605393</x:v>
      </x:c>
      <x:c r="K572" s="7" t="n">
        <x:f>H572+I572*J572</x:f>
        <x:v>-0.3227785155613184</x:v>
      </x:c>
      <x:c r="L572" s="7" t="n">
        <x:v>1</x:v>
      </x:c>
      <x:c r="M572" s="7" t="n">
        <x:f>K572-L572</x:f>
        <x:v>-1.3227785155613185</x:v>
      </x:c>
      <x:c r="N572" s="7" t="n">
        <x:f>M572^2</x:f>
        <x:v>1.7497430012306054</x:v>
      </x:c>
      <x:c r="O572" s="7" t="n">
        <x:v>0</x:v>
      </x:c>
      <x:c r="P572" s="7" t="n">
        <x:v>0.5</x:v>
      </x:c>
      <x:c r="Q572" s="7" t="n">
        <x:v>2.6670354419376485</x:v>
      </x:c>
      <x:c r="R572" s="7" t="n">
        <x:f>H572+I572*Q572</x:f>
        <x:v>-0.2931875225061177</x:v>
      </x:c>
      <x:c r="S572" s="7" t="n">
        <x:f>R572-L572</x:f>
        <x:v>-1.2931875225061176</x:v>
      </x:c>
      <x:c r="T572" s="7" t="n">
        <x:f>K572-R572</x:f>
        <x:v>-0.029590993055200743</x:v>
      </x:c>
      <x:c r="U572" s="7" t="n">
        <x:f>M572-S572-T572</x:f>
        <x:v>-2.220446049250313e-16</x:v>
      </x:c>
    </x:row>
    <x:row r="573" ht="27" customHeight="1">
      <x:c r="A573" s="2"/>
      <x:c r="B573" s="2" t="str">
        <x:v>Fabric &amp; Home Care | organic_volume_growth | PCENDC96</x:v>
      </x:c>
      <x:c r="C573" s="2" t="str">
        <x:v>2025-03-31</x:v>
      </x:c>
      <x:c r="D573" s="2" t="str">
        <x:v>Pre-earnings</x:v>
      </x:c>
      <x:c r="E573" s="2" t="str">
        <x:v>2025-04-23</x:v>
      </x:c>
      <x:c r="F573" s="2" t="str">
        <x:v>Available-history choice</x:v>
      </x:c>
      <x:c r="G573" s="2" t="n">
        <x:v>8</x:v>
      </x:c>
      <x:c r="H573" s="7" t="n">
        <x:v>-2.8840934270602387</x:v>
      </x:c>
      <x:c r="I573" s="7" t="n">
        <x:v>2.2392737124125786</x:v>
      </x:c>
      <x:c r="J573" s="7" t="n">
        <x:v>2.5268187156605393</x:v>
      </x:c>
      <x:c r="K573" s="7" t="n">
        <x:f>H573+I573*J573</x:f>
        <x:v>2.774145298950521</x:v>
      </x:c>
      <x:c r="L573" s="7" t="n">
        <x:v>0</x:v>
      </x:c>
      <x:c r="M573" s="7" t="n">
        <x:f>K573-L573</x:f>
        <x:v>2.774145298950521</x:v>
      </x:c>
      <x:c r="N573" s="7" t="n">
        <x:f>M573^2</x:f>
        <x:v>7.695882139689276</x:v>
      </x:c>
      <x:c r="O573" s="7" t="n">
        <x:v>2</x:v>
      </x:c>
      <x:c r="P573" s="7" t="n">
        <x:v>1.75</x:v>
      </x:c>
      <x:c r="Q573" s="7" t="n">
        <x:v>2.6670354419376485</x:v>
      </x:c>
      <x:c r="R573" s="7" t="n">
        <x:f>H573+I573*Q573</x:f>
        <x:v>3.0881289281434015</x:v>
      </x:c>
      <x:c r="S573" s="7" t="n">
        <x:f>R573-L573</x:f>
        <x:v>3.0881289281434015</x:v>
      </x:c>
      <x:c r="T573" s="7" t="n">
        <x:f>K573-R573</x:f>
        <x:v>-0.31398362919288036</x:v>
      </x:c>
      <x:c r="U573" s="7" t="n">
        <x:f>M573-S573-T573</x:f>
        <x:v>0</x:v>
      </x:c>
    </x:row>
    <x:row r="574" ht="27" customHeight="1">
      <x:c r="A574" s="2"/>
      <x:c r="B574" s="2" t="str">
        <x:v>Baby, Feminine &amp; Family Care | organic_volume_growth | PCENDC96</x:v>
      </x:c>
      <x:c r="C574" s="2" t="str">
        <x:v>2025-06-30</x:v>
      </x:c>
      <x:c r="D574" s="2" t="str">
        <x:v>Origin</x:v>
      </x:c>
      <x:c r="E574" s="2" t="str">
        <x:v>2025-04-01</x:v>
      </x:c>
      <x:c r="F574" s="2" t="str">
        <x:v>Available-history choice</x:v>
      </x:c>
      <x:c r="G574" s="2" t="n">
        <x:v>16</x:v>
      </x:c>
      <x:c r="H574" s="7" t="n">
        <x:v>-1.6011825318370596</x:v>
      </x:c>
      <x:c r="I574" s="7" t="n">
        <x:v>0.078763160307073</x:v>
      </x:c>
      <x:c r="J574" s="7" t="n">
        <x:v>2.4263020900480603</x:v>
      </x:c>
      <x:c r="K574" s="7" t="n">
        <x:f>H574+I574*J574</x:f>
        <x:v>-1.410079311365218</x:v>
      </x:c>
      <x:c r="L574" s="7" t="n">
        <x:v>0</x:v>
      </x:c>
      <x:c r="M574" s="7" t="n">
        <x:f>K574-L574</x:f>
        <x:v>-1.410079311365218</x:v>
      </x:c>
      <x:c r="N574" s="7" t="n">
        <x:f>M574^2</x:f>
        <x:v>1.9883236643402071</x:v>
      </x:c>
      <x:c r="O574" s="7" t="n">
        <x:v>4</x:v>
      </x:c>
      <x:c r="P574" s="7" t="n">
        <x:v>-0.25</x:v>
      </x:c>
      <x:c r="Q574" s="7" t="n">
        <x:v>2.799610454764556</x:v>
      </x:c>
      <x:c r="R574" s="7" t="n">
        <x:f>H574+I574*Q574</x:f>
        <x:v>-1.3806763647910814</x:v>
      </x:c>
      <x:c r="S574" s="7" t="n">
        <x:f>R574-L574</x:f>
        <x:v>-1.3806763647910814</x:v>
      </x:c>
      <x:c r="T574" s="7" t="n">
        <x:f>K574-R574</x:f>
        <x:v>-0.029402946574136557</x:v>
      </x:c>
      <x:c r="U574" s="7" t="n">
        <x:f>M574-S574-T574</x:f>
        <x:v>0</x:v>
      </x:c>
    </x:row>
    <x:row r="575" ht="27" customHeight="1">
      <x:c r="A575" s="2"/>
      <x:c r="B575" s="2" t="str">
        <x:v>Beauty | organic_volume_growth | PCENDC96</x:v>
      </x:c>
      <x:c r="C575" s="2" t="str">
        <x:v>2025-06-30</x:v>
      </x:c>
      <x:c r="D575" s="2" t="str">
        <x:v>Origin</x:v>
      </x:c>
      <x:c r="E575" s="2" t="str">
        <x:v>2025-04-01</x:v>
      </x:c>
      <x:c r="F575" s="2" t="str">
        <x:v>Available-history choice</x:v>
      </x:c>
      <x:c r="G575" s="2" t="n">
        <x:v>16</x:v>
      </x:c>
      <x:c r="H575" s="7" t="n">
        <x:v>-0.8560321226887075</x:v>
      </x:c>
      <x:c r="I575" s="7" t="n">
        <x:v>0.2110375405336471</x:v>
      </x:c>
      <x:c r="J575" s="7" t="n">
        <x:v>2.4263020900480603</x:v>
      </x:c>
      <x:c r="K575" s="7" t="n">
        <x:f>H575+I575*J575</x:f>
        <x:v>-0.3439912970133173</x:v>
      </x:c>
      <x:c r="L575" s="7" t="n">
        <x:v>1</x:v>
      </x:c>
      <x:c r="M575" s="7" t="n">
        <x:f>K575-L575</x:f>
        <x:v>-1.3439912970133174</x:v>
      </x:c>
      <x:c r="N575" s="7" t="n">
        <x:f>M575^2</x:f>
        <x:v>1.8063126064475392</x:v>
      </x:c>
      <x:c r="O575" s="7" t="n">
        <x:v>0</x:v>
      </x:c>
      <x:c r="P575" s="7" t="n">
        <x:v>0.5</x:v>
      </x:c>
      <x:c r="Q575" s="7" t="n">
        <x:v>2.799610454764556</x:v>
      </x:c>
      <x:c r="R575" s="7" t="n">
        <x:f>H575+I575*Q575</x:f>
        <x:v>-0.2652092178629103</x:v>
      </x:c>
      <x:c r="S575" s="7" t="n">
        <x:f>R575-L575</x:f>
        <x:v>-1.2652092178629104</x:v>
      </x:c>
      <x:c r="T575" s="7" t="n">
        <x:f>K575-R575</x:f>
        <x:v>-0.07878207915040703</x:v>
      </x:c>
      <x:c r="U575" s="7" t="n">
        <x:f>M575-S575-T575</x:f>
        <x:v>0</x:v>
      </x:c>
    </x:row>
    <x:row r="576" ht="27" customHeight="1">
      <x:c r="A576" s="2"/>
      <x:c r="B576" s="2" t="str">
        <x:v>Fabric &amp; Home Care | organic_volume_growth | PCENDC96</x:v>
      </x:c>
      <x:c r="C576" s="2" t="str">
        <x:v>2025-06-30</x:v>
      </x:c>
      <x:c r="D576" s="2" t="str">
        <x:v>Origin</x:v>
      </x:c>
      <x:c r="E576" s="2" t="str">
        <x:v>2025-04-01</x:v>
      </x:c>
      <x:c r="F576" s="2" t="str">
        <x:v>Available-history choice</x:v>
      </x:c>
      <x:c r="G576" s="2" t="n">
        <x:v>8</x:v>
      </x:c>
      <x:c r="H576" s="7" t="n">
        <x:v>-2.8840934270602387</x:v>
      </x:c>
      <x:c r="I576" s="7" t="n">
        <x:v>2.2392737124125786</x:v>
      </x:c>
      <x:c r="J576" s="7" t="n">
        <x:v>2.4263020900480603</x:v>
      </x:c>
      <x:c r="K576" s="7" t="n">
        <x:f>H576+I576*J576</x:f>
        <x:v>2.5490610615560794</x:v>
      </x:c>
      <x:c r="L576" s="7" t="n">
        <x:v>0</x:v>
      </x:c>
      <x:c r="M576" s="7" t="n">
        <x:f>K576-L576</x:f>
        <x:v>2.5490610615560794</x:v>
      </x:c>
      <x:c r="N576" s="7" t="n">
        <x:f>M576^2</x:f>
        <x:v>6.497712295541406</x:v>
      </x:c>
      <x:c r="O576" s="7" t="n">
        <x:v>2</x:v>
      </x:c>
      <x:c r="P576" s="7" t="n">
        <x:v>1.75</x:v>
      </x:c>
      <x:c r="Q576" s="7" t="n">
        <x:v>2.799610454764556</x:v>
      </x:c>
      <x:c r="R576" s="7" t="n">
        <x:f>H576+I576*Q576</x:f>
        <x:v>3.3850006692894565</x:v>
      </x:c>
      <x:c r="S576" s="7" t="n">
        <x:f>R576-L576</x:f>
        <x:v>3.3850006692894565</x:v>
      </x:c>
      <x:c r="T576" s="7" t="n">
        <x:f>K576-R576</x:f>
        <x:v>-0.8359396077333772</x:v>
      </x:c>
      <x:c r="U576" s="7" t="n">
        <x:f>M576-S576-T576</x:f>
        <x:v>0</x:v>
      </x:c>
    </x:row>
    <x:row r="577" ht="27" customHeight="1">
      <x:c r="A577" s="2"/>
      <x:c r="B577" s="2" t="str">
        <x:v>Baby, Feminine &amp; Family Care | organic_volume_growth | PCENDC96</x:v>
      </x:c>
      <x:c r="C577" s="2" t="str">
        <x:v>2025-06-30</x:v>
      </x:c>
      <x:c r="D577" s="2" t="str">
        <x:v>One month</x:v>
      </x:c>
      <x:c r="E577" s="2" t="str">
        <x:v>2025-05-30</x:v>
      </x:c>
      <x:c r="F577" s="2" t="str">
        <x:v>Available-history choice</x:v>
      </x:c>
      <x:c r="G577" s="2" t="n">
        <x:v>13</x:v>
      </x:c>
      <x:c r="H577" s="7" t="n">
        <x:v>-2.4748937456328104</x:v>
      </x:c>
      <x:c r="I577" s="7" t="n">
        <x:v>0.9255678727953373</x:v>
      </x:c>
      <x:c r="J577" s="7" t="n">
        <x:v>3.164169292812802</x:v>
      </x:c>
      <x:c r="K577" s="7" t="n">
        <x:f>H577+I577*J577</x:f>
        <x:v>0.4537596958802612</x:v>
      </x:c>
      <x:c r="L577" s="7" t="n">
        <x:v>0</x:v>
      </x:c>
      <x:c r="M577" s="7" t="n">
        <x:f>K577-L577</x:f>
        <x:v>0.4537596958802612</x:v>
      </x:c>
      <x:c r="N577" s="7" t="n">
        <x:f>M577^2</x:f>
        <x:v>0.20589786160534715</x:v>
      </x:c>
      <x:c r="O577" s="7" t="n">
        <x:v>-2</x:v>
      </x:c>
      <x:c r="P577" s="7" t="n">
        <x:v>0</x:v>
      </x:c>
      <x:c r="Q577" s="7" t="n">
        <x:v>2.799610454764556</x:v>
      </x:c>
      <x:c r="R577" s="7" t="n">
        <x:f>H577+I577*Q577</x:f>
        <x:v>0.1163357476392064</x:v>
      </x:c>
      <x:c r="S577" s="7" t="n">
        <x:f>R577-L577</x:f>
        <x:v>0.1163357476392064</x:v>
      </x:c>
      <x:c r="T577" s="7" t="n">
        <x:f>K577-R577</x:f>
        <x:v>0.3374239482410548</x:v>
      </x:c>
      <x:c r="U577" s="7" t="n">
        <x:f>M577-S577-T577</x:f>
        <x:v>0</x:v>
      </x:c>
    </x:row>
    <x:row r="578" ht="27" customHeight="1">
      <x:c r="A578" s="2"/>
      <x:c r="B578" s="2" t="str">
        <x:v>Beauty | organic_volume_growth | PCENDC96</x:v>
      </x:c>
      <x:c r="C578" s="2" t="str">
        <x:v>2025-06-30</x:v>
      </x:c>
      <x:c r="D578" s="2" t="str">
        <x:v>One month</x:v>
      </x:c>
      <x:c r="E578" s="2" t="str">
        <x:v>2025-05-30</x:v>
      </x:c>
      <x:c r="F578" s="2" t="str">
        <x:v>Available-history choice</x:v>
      </x:c>
      <x:c r="G578" s="2" t="n">
        <x:v>13</x:v>
      </x:c>
      <x:c r="H578" s="7" t="n">
        <x:v>-1.1359071858735408</x:v>
      </x:c>
      <x:c r="I578" s="7" t="n">
        <x:v>0.5456886697740604</x:v>
      </x:c>
      <x:c r="J578" s="7" t="n">
        <x:v>3.164169292812802</x:v>
      </x:c>
      <x:c r="K578" s="7" t="n">
        <x:f>H578+I578*J578</x:f>
        <x:v>0.5907441464614065</x:v>
      </x:c>
      <x:c r="L578" s="7" t="n">
        <x:v>1</x:v>
      </x:c>
      <x:c r="M578" s="7" t="n">
        <x:f>K578-L578</x:f>
        <x:v>-0.4092558535385935</x:v>
      </x:c>
      <x:c r="N578" s="7" t="n">
        <x:f>M578^2</x:f>
        <x:v>0.1674903536556027</x:v>
      </x:c>
      <x:c r="O578" s="7" t="n">
        <x:v>1</x:v>
      </x:c>
      <x:c r="P578" s="7" t="n">
        <x:v>0.5</x:v>
      </x:c>
      <x:c r="Q578" s="7" t="n">
        <x:v>2.799610454764556</x:v>
      </x:c>
      <x:c r="R578" s="7" t="n">
        <x:f>H578+I578*Q578</x:f>
        <x:v>0.39180851907248204</x:v>
      </x:c>
      <x:c r="S578" s="7" t="n">
        <x:f>R578-L578</x:f>
        <x:v>-0.608191480927518</x:v>
      </x:c>
      <x:c r="T578" s="7" t="n">
        <x:f>K578-R578</x:f>
        <x:v>0.19893562738892445</x:v>
      </x:c>
      <x:c r="U578" s="7" t="n">
        <x:f>M578-S578-T578</x:f>
        <x:v>0</x:v>
      </x:c>
    </x:row>
    <x:row r="579" ht="27" customHeight="1">
      <x:c r="A579" s="2"/>
      <x:c r="B579" s="2" t="str">
        <x:v>Fabric &amp; Home Care | organic_volume_growth | PCENDC96</x:v>
      </x:c>
      <x:c r="C579" s="2" t="str">
        <x:v>2025-06-30</x:v>
      </x:c>
      <x:c r="D579" s="2" t="str">
        <x:v>One month</x:v>
      </x:c>
      <x:c r="E579" s="2" t="str">
        <x:v>2025-05-30</x:v>
      </x:c>
      <x:c r="F579" s="2" t="str">
        <x:v>Available-history choice</x:v>
      </x:c>
      <x:c r="G579" s="2" t="n">
        <x:v>8</x:v>
      </x:c>
      <x:c r="H579" s="7" t="n">
        <x:v>-0.9276688782993148</x:v>
      </x:c>
      <x:c r="I579" s="7" t="n">
        <x:v>0.9641694559247915</x:v>
      </x:c>
      <x:c r="J579" s="7" t="n">
        <x:v>3.164169292812802</x:v>
      </x:c>
      <x:c r="K579" s="7" t="n">
        <x:f>H579+I579*J579</x:f>
        <x:v>2.123126507205937</x:v>
      </x:c>
      <x:c r="L579" s="7" t="n">
        <x:v>0</x:v>
      </x:c>
      <x:c r="M579" s="7" t="n">
        <x:f>K579-L579</x:f>
        <x:v>2.123126507205937</x:v>
      </x:c>
      <x:c r="N579" s="7" t="n">
        <x:f>M579^2</x:f>
        <x:v>4.507666165600481</x:v>
      </x:c>
      <x:c r="O579" s="7" t="n">
        <x:v>0</x:v>
      </x:c>
      <x:c r="P579" s="7" t="n">
        <x:v>1.5</x:v>
      </x:c>
      <x:c r="Q579" s="7" t="n">
        <x:v>2.799610454764556</x:v>
      </x:c>
      <x:c r="R579" s="7" t="n">
        <x:f>H579+I579*Q579</x:f>
        <x:v>1.7716300106723857</x:v>
      </x:c>
      <x:c r="S579" s="7" t="n">
        <x:f>R579-L579</x:f>
        <x:v>1.7716300106723857</x:v>
      </x:c>
      <x:c r="T579" s="7" t="n">
        <x:f>K579-R579</x:f>
        <x:v>0.3514964965335512</x:v>
      </x:c>
      <x:c r="U579" s="7" t="n">
        <x:f>M579-S579-T579</x:f>
        <x:v>0</x:v>
      </x:c>
    </x:row>
    <x:row r="580" ht="27" customHeight="1">
      <x:c r="A580" s="2"/>
      <x:c r="B580" s="2" t="str">
        <x:v>Baby, Feminine &amp; Family Care | organic_volume_growth | PCENDC96</x:v>
      </x:c>
      <x:c r="C580" s="2" t="str">
        <x:v>2025-06-30</x:v>
      </x:c>
      <x:c r="D580" s="2" t="str">
        <x:v>Two months</x:v>
      </x:c>
      <x:c r="E580" s="2" t="str">
        <x:v>2025-06-27</x:v>
      </x:c>
      <x:c r="F580" s="2" t="str">
        <x:v>Available-history choice</x:v>
      </x:c>
      <x:c r="G580" s="2" t="n">
        <x:v>13</x:v>
      </x:c>
      <x:c r="H580" s="7" t="n">
        <x:v>-2.4761062293851994</x:v>
      </x:c>
      <x:c r="I580" s="7" t="n">
        <x:v>0.9277699235219593</x:v>
      </x:c>
      <x:c r="J580" s="7" t="n">
        <x:v>2.8539910458909246</x:v>
      </x:c>
      <x:c r="K580" s="7" t="n">
        <x:f>H580+I580*J580</x:f>
        <x:v>0.1717408249933805</x:v>
      </x:c>
      <x:c r="L580" s="7" t="n">
        <x:v>0</x:v>
      </x:c>
      <x:c r="M580" s="7" t="n">
        <x:f>K580-L580</x:f>
        <x:v>0.1717408249933805</x:v>
      </x:c>
      <x:c r="N580" s="7" t="n">
        <x:f>M580^2</x:f>
        <x:v>0.02949491096940695</x:v>
      </x:c>
      <x:c r="O580" s="7" t="n">
        <x:v>-2</x:v>
      </x:c>
      <x:c r="P580" s="7" t="n">
        <x:v>0</x:v>
      </x:c>
      <x:c r="Q580" s="7" t="n">
        <x:v>2.8015778549435932</x:v>
      </x:c>
      <x:c r="R580" s="7" t="n">
        <x:f>H580+I580*Q580</x:f>
        <x:v>0.12311344283663272</x:v>
      </x:c>
      <x:c r="S580" s="7" t="n">
        <x:f>R580-L580</x:f>
        <x:v>0.12311344283663272</x:v>
      </x:c>
      <x:c r="T580" s="7" t="n">
        <x:f>K580-R580</x:f>
        <x:v>0.04862738215674778</x:v>
      </x:c>
      <x:c r="U580" s="7" t="n">
        <x:f>M580-S580-T580</x:f>
        <x:v>0</x:v>
      </x:c>
    </x:row>
    <x:row r="581" ht="27" customHeight="1">
      <x:c r="A581" s="2"/>
      <x:c r="B581" s="2" t="str">
        <x:v>Beauty | organic_volume_growth | PCENDC96</x:v>
      </x:c>
      <x:c r="C581" s="2" t="str">
        <x:v>2025-06-30</x:v>
      </x:c>
      <x:c r="D581" s="2" t="str">
        <x:v>Two months</x:v>
      </x:c>
      <x:c r="E581" s="2" t="str">
        <x:v>2025-06-27</x:v>
      </x:c>
      <x:c r="F581" s="2" t="str">
        <x:v>Available-history choice</x:v>
      </x:c>
      <x:c r="G581" s="2" t="n">
        <x:v>13</x:v>
      </x:c>
      <x:c r="H581" s="7" t="n">
        <x:v>-1.1354582985941697</x:v>
      </x:c>
      <x:c r="I581" s="7" t="n">
        <x:v>0.5459227624258393</x:v>
      </x:c>
      <x:c r="J581" s="7" t="n">
        <x:v>2.8539910458909246</x:v>
      </x:c>
      <x:c r="K581" s="7" t="n">
        <x:f>H581+I581*J581</x:f>
        <x:v>0.422600377117214</x:v>
      </x:c>
      <x:c r="L581" s="7" t="n">
        <x:v>1</x:v>
      </x:c>
      <x:c r="M581" s="7" t="n">
        <x:f>K581-L581</x:f>
        <x:v>-0.577399622882786</x:v>
      </x:c>
      <x:c r="N581" s="7" t="n">
        <x:f>M581^2</x:f>
        <x:v>0.3333903245051835</x:v>
      </x:c>
      <x:c r="O581" s="7" t="n">
        <x:v>1</x:v>
      </x:c>
      <x:c r="P581" s="7" t="n">
        <x:v>0.5</x:v>
      </x:c>
      <x:c r="Q581" s="7" t="n">
        <x:v>2.8015778549435932</x:v>
      </x:c>
      <x:c r="R581" s="7" t="n">
        <x:f>H581+I581*Q581</x:f>
        <x:v>0.39398682312769395</x:v>
      </x:c>
      <x:c r="S581" s="7" t="n">
        <x:f>R581-L581</x:f>
        <x:v>-0.606013176872306</x:v>
      </x:c>
      <x:c r="T581" s="7" t="n">
        <x:f>K581-R581</x:f>
        <x:v>0.028613553989520035</x:v>
      </x:c>
      <x:c r="U581" s="7" t="n">
        <x:f>M581-S581-T581</x:f>
        <x:v>0</x:v>
      </x:c>
    </x:row>
    <x:row r="582" ht="27" customHeight="1">
      <x:c r="A582" s="2"/>
      <x:c r="B582" s="2" t="str">
        <x:v>Fabric &amp; Home Care | organic_volume_growth | PCENDC96</x:v>
      </x:c>
      <x:c r="C582" s="2" t="str">
        <x:v>2025-06-30</x:v>
      </x:c>
      <x:c r="D582" s="2" t="str">
        <x:v>Two months</x:v>
      </x:c>
      <x:c r="E582" s="2" t="str">
        <x:v>2025-06-27</x:v>
      </x:c>
      <x:c r="F582" s="2" t="str">
        <x:v>Available-history choice</x:v>
      </x:c>
      <x:c r="G582" s="2" t="n">
        <x:v>8</x:v>
      </x:c>
      <x:c r="H582" s="7" t="n">
        <x:v>-0.941194699681648</x:v>
      </x:c>
      <x:c r="I582" s="7" t="n">
        <x:v>0.9731167648315336</x:v>
      </x:c>
      <x:c r="J582" s="7" t="n">
        <x:v>2.8539910458909246</x:v>
      </x:c>
      <x:c r="K582" s="7" t="n">
        <x:f>H582+I582*J582</x:f>
        <x:v>1.8360718337538935</x:v>
      </x:c>
      <x:c r="L582" s="7" t="n">
        <x:v>0</x:v>
      </x:c>
      <x:c r="M582" s="7" t="n">
        <x:f>K582-L582</x:f>
        <x:v>1.8360718337538935</x:v>
      </x:c>
      <x:c r="N582" s="7" t="n">
        <x:f>M582^2</x:f>
        <x:v>3.371159778704385</x:v>
      </x:c>
      <x:c r="O582" s="7" t="n">
        <x:v>0</x:v>
      </x:c>
      <x:c r="P582" s="7" t="n">
        <x:v>1.5</x:v>
      </x:c>
      <x:c r="Q582" s="7" t="n">
        <x:v>2.8015778549435932</x:v>
      </x:c>
      <x:c r="R582" s="7" t="n">
        <x:f>H582+I582*Q582</x:f>
        <x:v>1.785067678944729</x:v>
      </x:c>
      <x:c r="S582" s="7" t="n">
        <x:f>R582-L582</x:f>
        <x:v>1.785067678944729</x:v>
      </x:c>
      <x:c r="T582" s="7" t="n">
        <x:f>K582-R582</x:f>
        <x:v>0.051004154809164426</x:v>
      </x:c>
      <x:c r="U582" s="7" t="n">
        <x:f>M582-S582-T582</x:f>
        <x:v>0</x:v>
      </x:c>
    </x:row>
    <x:row r="583" ht="27" customHeight="1">
      <x:c r="A583" s="2"/>
      <x:c r="B583" s="2" t="str">
        <x:v>Baby, Feminine &amp; Family Care | organic_volume_growth | PCENDC96</x:v>
      </x:c>
      <x:c r="C583" s="2" t="str">
        <x:v>2025-06-30</x:v>
      </x:c>
      <x:c r="D583" s="2" t="str">
        <x:v>Pre-earnings</x:v>
      </x:c>
      <x:c r="E583" s="2" t="str">
        <x:v>2025-07-28</x:v>
      </x:c>
      <x:c r="F583" s="2" t="str">
        <x:v>Available-history choice</x:v>
      </x:c>
      <x:c r="G583" s="2" t="n">
        <x:v>17</x:v>
      </x:c>
      <x:c r="H583" s="7" t="n">
        <x:v>-1.6379521275411333</x:v>
      </x:c>
      <x:c r="I583" s="7" t="n">
        <x:v>0.07876832669396253</x:v>
      </x:c>
      <x:c r="J583" s="7" t="n">
        <x:v>2.8539910458909246</x:v>
      </x:c>
      <x:c r="K583" s="7" t="n">
        <x:f>H583+I583*J583</x:f>
        <x:v>-1.413148028456753</x:v>
      </x:c>
      <x:c r="L583" s="7" t="n">
        <x:v>0</x:v>
      </x:c>
      <x:c r="M583" s="7" t="n">
        <x:f>K583-L583</x:f>
        <x:v>-1.413148028456753</x:v>
      </x:c>
      <x:c r="N583" s="7" t="n">
        <x:f>M583^2</x:f>
        <x:v>1.996987350331208</x:v>
      </x:c>
      <x:c r="O583" s="7" t="n">
        <x:v>-2</x:v>
      </x:c>
      <x:c r="P583" s="7" t="n">
        <x:v>0</x:v>
      </x:c>
      <x:c r="Q583" s="7" t="n">
        <x:v>2.8015778549435932</x:v>
      </x:c>
      <x:c r="R583" s="7" t="n">
        <x:f>H583+I583*Q583</x:f>
        <x:v>-1.4172765278043655</x:v>
      </x:c>
      <x:c r="S583" s="7" t="n">
        <x:f>R583-L583</x:f>
        <x:v>-1.4172765278043655</x:v>
      </x:c>
      <x:c r="T583" s="7" t="n">
        <x:f>K583-R583</x:f>
        <x:v>0.004128499347612502</x:v>
      </x:c>
      <x:c r="U583" s="7" t="n">
        <x:f>M583-S583-T583</x:f>
        <x:v>0</x:v>
      </x:c>
    </x:row>
    <x:row r="584" ht="27" customHeight="1">
      <x:c r="A584" s="2"/>
      <x:c r="B584" s="2" t="str">
        <x:v>Beauty | organic_volume_growth | PCENDC96</x:v>
      </x:c>
      <x:c r="C584" s="2" t="str">
        <x:v>2025-06-30</x:v>
      </x:c>
      <x:c r="D584" s="2" t="str">
        <x:v>Pre-earnings</x:v>
      </x:c>
      <x:c r="E584" s="2" t="str">
        <x:v>2025-07-28</x:v>
      </x:c>
      <x:c r="F584" s="2" t="str">
        <x:v>Available-history choice</x:v>
      </x:c>
      <x:c r="G584" s="2" t="n">
        <x:v>17</x:v>
      </x:c>
      <x:c r="H584" s="7" t="n">
        <x:v>-0.7824463724972401</x:v>
      </x:c>
      <x:c r="I584" s="7" t="n">
        <x:v>0.2110272012180314</x:v>
      </x:c>
      <x:c r="J584" s="7" t="n">
        <x:v>2.8539910458909246</x:v>
      </x:c>
      <x:c r="K584" s="7" t="n">
        <x:f>H584+I584*J584</x:f>
        <x:v>-0.18017662978155613</x:v>
      </x:c>
      <x:c r="L584" s="7" t="n">
        <x:v>1</x:v>
      </x:c>
      <x:c r="M584" s="7" t="n">
        <x:f>K584-L584</x:f>
        <x:v>-1.1801766297815561</x:v>
      </x:c>
      <x:c r="N584" s="7" t="n">
        <x:f>M584^2</x:f>
        <x:v>1.3928168774825522</x:v>
      </x:c>
      <x:c r="O584" s="7" t="n">
        <x:v>1</x:v>
      </x:c>
      <x:c r="P584" s="7" t="n">
        <x:v>0.5</x:v>
      </x:c>
      <x:c r="Q584" s="7" t="n">
        <x:v>2.8015778549435932</x:v>
      </x:c>
      <x:c r="R584" s="7" t="n">
        <x:f>H584+I584*Q584</x:f>
        <x:v>-0.19123723877407772</x:v>
      </x:c>
      <x:c r="S584" s="7" t="n">
        <x:f>R584-L584</x:f>
        <x:v>-1.1912372387740777</x:v>
      </x:c>
      <x:c r="T584" s="7" t="n">
        <x:f>K584-R584</x:f>
        <x:v>0.011060608992521592</x:v>
      </x:c>
      <x:c r="U584" s="7" t="n">
        <x:f>M584-S584-T584</x:f>
        <x:v>0</x:v>
      </x:c>
    </x:row>
    <x:row r="585" ht="27" customHeight="1">
      <x:c r="A585" s="2"/>
      <x:c r="B585" s="2" t="str">
        <x:v>Fabric &amp; Home Care | organic_volume_growth | PCENDC96</x:v>
      </x:c>
      <x:c r="C585" s="2" t="str">
        <x:v>2025-06-30</x:v>
      </x:c>
      <x:c r="D585" s="2" t="str">
        <x:v>Pre-earnings</x:v>
      </x:c>
      <x:c r="E585" s="2" t="str">
        <x:v>2025-07-28</x:v>
      </x:c>
      <x:c r="F585" s="2" t="str">
        <x:v>Available-history choice</x:v>
      </x:c>
      <x:c r="G585" s="2" t="n">
        <x:v>8</x:v>
      </x:c>
      <x:c r="H585" s="7" t="n">
        <x:v>-0.941194699681648</x:v>
      </x:c>
      <x:c r="I585" s="7" t="n">
        <x:v>0.9731167648315336</x:v>
      </x:c>
      <x:c r="J585" s="7" t="n">
        <x:v>2.8539910458909246</x:v>
      </x:c>
      <x:c r="K585" s="7" t="n">
        <x:f>H585+I585*J585</x:f>
        <x:v>1.8360718337538935</x:v>
      </x:c>
      <x:c r="L585" s="7" t="n">
        <x:v>0</x:v>
      </x:c>
      <x:c r="M585" s="7" t="n">
        <x:f>K585-L585</x:f>
        <x:v>1.8360718337538935</x:v>
      </x:c>
      <x:c r="N585" s="7" t="n">
        <x:f>M585^2</x:f>
        <x:v>3.371159778704385</x:v>
      </x:c>
      <x:c r="O585" s="7" t="n">
        <x:v>0</x:v>
      </x:c>
      <x:c r="P585" s="7" t="n">
        <x:v>1.5</x:v>
      </x:c>
      <x:c r="Q585" s="7" t="n">
        <x:v>2.8015778549435932</x:v>
      </x:c>
      <x:c r="R585" s="7" t="n">
        <x:f>H585+I585*Q585</x:f>
        <x:v>1.785067678944729</x:v>
      </x:c>
      <x:c r="S585" s="7" t="n">
        <x:f>R585-L585</x:f>
        <x:v>1.785067678944729</x:v>
      </x:c>
      <x:c r="T585" s="7" t="n">
        <x:f>K585-R585</x:f>
        <x:v>0.051004154809164426</x:v>
      </x:c>
      <x:c r="U585" s="7" t="n">
        <x:f>M585-S585-T585</x:f>
        <x:v>0</x:v>
      </x:c>
    </x:row>
    <x:row r="586" ht="27" customHeight="1">
      <x:c r="A586" s="2"/>
      <x:c r="B586" s="2" t="str">
        <x:v>Baby, Feminine &amp; Family Care | organic_volume_growth | PCENDC96</x:v>
      </x:c>
      <x:c r="C586" s="2" t="str">
        <x:v>2025-09-30</x:v>
      </x:c>
      <x:c r="D586" s="2" t="str">
        <x:v>Origin</x:v>
      </x:c>
      <x:c r="E586" s="2" t="str">
        <x:v>2025-07-01</x:v>
      </x:c>
      <x:c r="F586" s="2" t="str">
        <x:v>Available-history choice</x:v>
      </x:c>
      <x:c r="G586" s="2" t="n">
        <x:v>17</x:v>
      </x:c>
      <x:c r="H586" s="7" t="n">
        <x:v>-1.6379521275411333</x:v>
      </x:c>
      <x:c r="I586" s="7" t="n">
        <x:v>0.07876832669396253</x:v>
      </x:c>
      <x:c r="J586" s="7" t="n">
        <x:v>2.8115539262481226</x:v>
      </x:c>
      <x:c r="K586" s="7" t="n">
        <x:f>H586+I586*J586</x:f>
        <x:v>-1.416490729360728</x:v>
      </x:c>
      <x:c r="L586" s="7" t="n">
        <x:v>0</x:v>
      </x:c>
      <x:c r="M586" s="7" t="n">
        <x:f>K586-L586</x:f>
        <x:v>-1.416490729360728</x:v>
      </x:c>
      <x:c r="N586" s="7" t="n">
        <x:f>M586^2</x:f>
        <x:v>2.0064459863648874</x:v>
      </x:c>
      <x:c r="O586" s="7" t="n">
        <x:v>-2</x:v>
      </x:c>
      <x:c r="P586" s="7" t="n">
        <x:v>0</x:v>
      </x:c>
      <x:c r="Q586" s="7" t="n">
        <x:v>3.0853630067698923</x:v>
      </x:c>
      <x:c r="R586" s="7" t="n">
        <x:f>H586+I586*Q586</x:f>
        <x:v>-1.3949232462544159</x:v>
      </x:c>
      <x:c r="S586" s="7" t="n">
        <x:f>R586-L586</x:f>
        <x:v>-1.3949232462544159</x:v>
      </x:c>
      <x:c r="T586" s="7" t="n">
        <x:f>K586-R586</x:f>
        <x:v>-0.02156748310631218</x:v>
      </x:c>
      <x:c r="U586" s="7" t="n">
        <x:f>M586-S586-T586</x:f>
        <x:v>0</x:v>
      </x:c>
    </x:row>
    <x:row r="587" ht="27" customHeight="1">
      <x:c r="A587" s="2"/>
      <x:c r="B587" s="2" t="str">
        <x:v>Beauty | organic_volume_growth | PCENDC96</x:v>
      </x:c>
      <x:c r="C587" s="2" t="str">
        <x:v>2025-09-30</x:v>
      </x:c>
      <x:c r="D587" s="2" t="str">
        <x:v>Origin</x:v>
      </x:c>
      <x:c r="E587" s="2" t="str">
        <x:v>2025-07-01</x:v>
      </x:c>
      <x:c r="F587" s="2" t="str">
        <x:v>Available-history choice</x:v>
      </x:c>
      <x:c r="G587" s="2" t="n">
        <x:v>17</x:v>
      </x:c>
      <x:c r="H587" s="7" t="n">
        <x:v>-0.7824463724972401</x:v>
      </x:c>
      <x:c r="I587" s="7" t="n">
        <x:v>0.2110272012180314</x:v>
      </x:c>
      <x:c r="J587" s="7" t="n">
        <x:v>2.8115539262481226</x:v>
      </x:c>
      <x:c r="K587" s="7" t="n">
        <x:f>H587+I587*J587</x:f>
        <x:v>-0.1891320163675314</x:v>
      </x:c>
      <x:c r="L587" s="7" t="n">
        <x:v>4</x:v>
      </x:c>
      <x:c r="M587" s="7" t="n">
        <x:f>K587-L587</x:f>
        <x:v>-4.189132016367531</x:v>
      </x:c>
      <x:c r="N587" s="7" t="n">
        <x:f>M587^2</x:f>
        <x:v>17.5488270505555</x:v>
      </x:c>
      <x:c r="O587" s="7" t="n">
        <x:v>1</x:v>
      </x:c>
      <x:c r="P587" s="7" t="n">
        <x:v>0.5</x:v>
      </x:c>
      <x:c r="Q587" s="7" t="n">
        <x:v>3.0853630067698923</x:v>
      </x:c>
      <x:c r="R587" s="7" t="n">
        <x:f>H587+I587*Q587</x:f>
        <x:v>-0.13135085243693967</x:v>
      </x:c>
      <x:c r="S587" s="7" t="n">
        <x:f>R587-L587</x:f>
        <x:v>-4.13135085243694</x:v>
      </x:c>
      <x:c r="T587" s="7" t="n">
        <x:f>K587-R587</x:f>
        <x:v>-0.05778116393059174</x:v>
      </x:c>
      <x:c r="U587" s="7" t="n">
        <x:f>M587-S587-T587</x:f>
        <x:v>5.551115123125783e-16</x:v>
      </x:c>
    </x:row>
    <x:row r="588" ht="27" customHeight="1">
      <x:c r="A588" s="2"/>
      <x:c r="B588" s="2" t="str">
        <x:v>Fabric &amp; Home Care | organic_volume_growth | PCENDC96</x:v>
      </x:c>
      <x:c r="C588" s="2" t="str">
        <x:v>2025-09-30</x:v>
      </x:c>
      <x:c r="D588" s="2" t="str">
        <x:v>Origin</x:v>
      </x:c>
      <x:c r="E588" s="2" t="str">
        <x:v>2025-07-01</x:v>
      </x:c>
      <x:c r="F588" s="2" t="str">
        <x:v>Available-history choice</x:v>
      </x:c>
      <x:c r="G588" s="2" t="n">
        <x:v>8</x:v>
      </x:c>
      <x:c r="H588" s="7" t="n">
        <x:v>-0.941194699681648</x:v>
      </x:c>
      <x:c r="I588" s="7" t="n">
        <x:v>0.9731167648315336</x:v>
      </x:c>
      <x:c r="J588" s="7" t="n">
        <x:v>2.8115539262481226</x:v>
      </x:c>
      <x:c r="K588" s="7" t="n">
        <x:f>H588+I588*J588</x:f>
        <x:v>1.7947755611783216</x:v>
      </x:c>
      <x:c r="L588" s="7" t="n">
        <x:v>-2</x:v>
      </x:c>
      <x:c r="M588" s="7" t="n">
        <x:f>K588-L588</x:f>
        <x:v>3.7947755611783216</x:v>
      </x:c>
      <x:c r="N588" s="7" t="n">
        <x:f>M588^2</x:f>
        <x:v>14.400321559716245</x:v>
      </x:c>
      <x:c r="O588" s="7" t="n">
        <x:v>0</x:v>
      </x:c>
      <x:c r="P588" s="7" t="n">
        <x:v>1.5</x:v>
      </x:c>
      <x:c r="Q588" s="7" t="n">
        <x:v>3.0853630067698923</x:v>
      </x:c>
      <x:c r="R588" s="7" t="n">
        <x:f>H588+I588*Q588</x:f>
        <x:v>2.0612237677971628</x:v>
      </x:c>
      <x:c r="S588" s="7" t="n">
        <x:f>R588-L588</x:f>
        <x:v>4.061223767797163</x:v>
      </x:c>
      <x:c r="T588" s="7" t="n">
        <x:f>K588-R588</x:f>
        <x:v>-0.26644820661884117</x:v>
      </x:c>
      <x:c r="U588" s="7" t="n">
        <x:f>M588-S588-T588</x:f>
        <x:v>0</x:v>
      </x:c>
    </x:row>
    <x:row r="589" ht="27" customHeight="1">
      <x:c r="A589" s="2"/>
      <x:c r="B589" s="2" t="str">
        <x:v>Baby, Feminine &amp; Family Care | organic_volume_growth | PCENDC96</x:v>
      </x:c>
      <x:c r="C589" s="2" t="str">
        <x:v>2025-09-30</x:v>
      </x:c>
      <x:c r="D589" s="2" t="str">
        <x:v>One month</x:v>
      </x:c>
      <x:c r="E589" s="2" t="str">
        <x:v>2025-08-29</x:v>
      </x:c>
      <x:c r="F589" s="2" t="str">
        <x:v>Available-history choice</x:v>
      </x:c>
      <x:c r="G589" s="2" t="n">
        <x:v>14</x:v>
      </x:c>
      <x:c r="H589" s="7" t="n">
        <x:v>-2.4774629423663272</x:v>
      </x:c>
      <x:c r="I589" s="7" t="n">
        <x:v>0.9100263166960223</x:v>
      </x:c>
      <x:c r="J589" s="7" t="n">
        <x:v>2.818360254596275</x:v>
      </x:c>
      <x:c r="K589" s="7" t="n">
        <x:f>H589+I589*J589</x:f>
        <x:v>0.08731905924638461</x:v>
      </x:c>
      <x:c r="L589" s="7" t="n">
        <x:v>0</x:v>
      </x:c>
      <x:c r="M589" s="7" t="n">
        <x:f>K589-L589</x:f>
        <x:v>0.08731905924638461</x:v>
      </x:c>
      <x:c r="N589" s="7" t="n">
        <x:f>M589^2</x:f>
        <x:v>0.007624618107673626</x:v>
      </x:c>
      <x:c r="O589" s="7" t="n">
        <x:v>0</x:v>
      </x:c>
      <x:c r="P589" s="7" t="n">
        <x:v>0.25</x:v>
      </x:c>
      <x:c r="Q589" s="7" t="n">
        <x:v>3.0853630067698923</x:v>
      </x:c>
      <x:c r="R589" s="7" t="n">
        <x:f>H589+I589*Q589</x:f>
        <x:v>0.3302985903546425</x:v>
      </x:c>
      <x:c r="S589" s="7" t="n">
        <x:f>R589-L589</x:f>
        <x:v>0.3302985903546425</x:v>
      </x:c>
      <x:c r="T589" s="7" t="n">
        <x:f>K589-R589</x:f>
        <x:v>-0.24297953110825787</x:v>
      </x:c>
      <x:c r="U589" s="7" t="n">
        <x:f>M589-S589-T589</x:f>
        <x:v>0</x:v>
      </x:c>
    </x:row>
    <x:row r="590" ht="27" customHeight="1">
      <x:c r="A590" s="2"/>
      <x:c r="B590" s="2" t="str">
        <x:v>Beauty | organic_volume_growth | PCENDC96</x:v>
      </x:c>
      <x:c r="C590" s="2" t="str">
        <x:v>2025-09-30</x:v>
      </x:c>
      <x:c r="D590" s="2" t="str">
        <x:v>One month</x:v>
      </x:c>
      <x:c r="E590" s="2" t="str">
        <x:v>2025-08-29</x:v>
      </x:c>
      <x:c r="F590" s="2" t="str">
        <x:v>Available-history choice</x:v>
      </x:c>
      <x:c r="G590" s="2" t="n">
        <x:v>14</x:v>
      </x:c>
      <x:c r="H590" s="7" t="n">
        <x:v>-1.1334227360316185</x:v>
      </x:c>
      <x:c r="I590" s="7" t="n">
        <x:v>0.5725446214939776</x:v>
      </x:c>
      <x:c r="J590" s="7" t="n">
        <x:v>2.818360254596275</x:v>
      </x:c>
      <x:c r="K590" s="7" t="n">
        <x:f>H590+I590*J590</x:f>
        <x:v>0.4802142691698761</x:v>
      </x:c>
      <x:c r="L590" s="7" t="n">
        <x:v>4</x:v>
      </x:c>
      <x:c r="M590" s="7" t="n">
        <x:f>K590-L590</x:f>
        <x:v>-3.519785730830124</x:v>
      </x:c>
      <x:c r="N590" s="7" t="n">
        <x:f>M590^2</x:f>
        <x:v>12.388891590955351</x:v>
      </x:c>
      <x:c r="O590" s="7" t="n">
        <x:v>1</x:v>
      </x:c>
      <x:c r="P590" s="7" t="n">
        <x:v>0.5</x:v>
      </x:c>
      <x:c r="Q590" s="7" t="n">
        <x:v>3.0853630067698923</x:v>
      </x:c>
      <x:c r="R590" s="7" t="n">
        <x:f>H590+I590*Q590</x:f>
        <x:v>0.6330852588509701</x:v>
      </x:c>
      <x:c r="S590" s="7" t="n">
        <x:f>R590-L590</x:f>
        <x:v>-3.3669147411490297</x:v>
      </x:c>
      <x:c r="T590" s="7" t="n">
        <x:f>K590-R590</x:f>
        <x:v>-0.15287098968109403</x:v>
      </x:c>
      <x:c r="U590" s="7" t="n">
        <x:f>M590-S590-T590</x:f>
        <x:v>-4.440892098500626e-16</x:v>
      </x:c>
    </x:row>
    <x:row r="591" ht="27" customHeight="1">
      <x:c r="A591" s="2"/>
      <x:c r="B591" s="2" t="str">
        <x:v>Fabric &amp; Home Care | organic_volume_growth | PCENDC96</x:v>
      </x:c>
      <x:c r="C591" s="2" t="str">
        <x:v>2025-09-30</x:v>
      </x:c>
      <x:c r="D591" s="2" t="str">
        <x:v>One month</x:v>
      </x:c>
      <x:c r="E591" s="2" t="str">
        <x:v>2025-08-29</x:v>
      </x:c>
      <x:c r="F591" s="2" t="str">
        <x:v>Available-history choice</x:v>
      </x:c>
      <x:c r="G591" s="2" t="n">
        <x:v>8</x:v>
      </x:c>
      <x:c r="H591" s="7" t="n">
        <x:v>2.0671928615314483</x:v>
      </x:c>
      <x:c r="I591" s="7" t="n">
        <x:v>-0.5022260022005788</x:v>
      </x:c>
      <x:c r="J591" s="7" t="n">
        <x:v>2.818360254596275</x:v>
      </x:c>
      <x:c r="K591" s="7" t="n">
        <x:f>H591+I591*J591</x:f>
        <x:v>0.6517390581045557</x:v>
      </x:c>
      <x:c r="L591" s="7" t="n">
        <x:v>-2</x:v>
      </x:c>
      <x:c r="M591" s="7" t="n">
        <x:f>K591-L591</x:f>
        <x:v>2.651739058104556</x:v>
      </x:c>
      <x:c r="N591" s="7" t="n">
        <x:f>M591^2</x:f>
        <x:v>7.031720032277238</x:v>
      </x:c>
      <x:c r="O591" s="7" t="n">
        <x:v>0</x:v>
      </x:c>
      <x:c r="P591" s="7" t="n">
        <x:v>0.75</x:v>
      </x:c>
      <x:c r="Q591" s="7" t="n">
        <x:v>3.0853630067698923</x:v>
      </x:c>
      <x:c r="R591" s="7" t="n">
        <x:f>H591+I591*Q591</x:f>
        <x:v>0.5176433333038479</x:v>
      </x:c>
      <x:c r="S591" s="7" t="n">
        <x:f>R591-L591</x:f>
        <x:v>2.517643333303848</x:v>
      </x:c>
      <x:c r="T591" s="7" t="n">
        <x:f>K591-R591</x:f>
        <x:v>0.13409572480070775</x:v>
      </x:c>
      <x:c r="U591" s="7" t="n">
        <x:f>M591-S591-T591</x:f>
        <x:v>0</x:v>
      </x:c>
    </x:row>
    <x:row r="592" ht="27" customHeight="1">
      <x:c r="A592" s="2"/>
      <x:c r="B592" s="2" t="str">
        <x:v>Baby, Feminine &amp; Family Care | organic_volume_growth | PCENDC96</x:v>
      </x:c>
      <x:c r="C592" s="2" t="str">
        <x:v>2025-09-30</x:v>
      </x:c>
      <x:c r="D592" s="2" t="str">
        <x:v>Two months</x:v>
      </x:c>
      <x:c r="E592" s="2" t="str">
        <x:v>2025-09-26</x:v>
      </x:c>
      <x:c r="F592" s="2" t="str">
        <x:v>Available-history choice</x:v>
      </x:c>
      <x:c r="G592" s="2" t="n">
        <x:v>14</x:v>
      </x:c>
      <x:c r="H592" s="7" t="n">
        <x:v>-2.5051935305431394</x:v>
      </x:c>
      <x:c r="I592" s="7" t="n">
        <x:v>0.8255418264682003</x:v>
      </x:c>
      <x:c r="J592" s="7" t="n">
        <x:v>3.2886468481588604</x:v>
      </x:c>
      <x:c r="K592" s="7" t="n">
        <x:f>H592+I592*J592</x:f>
        <x:v>0.20972199509481637</x:v>
      </x:c>
      <x:c r="L592" s="7" t="n">
        <x:v>0</x:v>
      </x:c>
      <x:c r="M592" s="7" t="n">
        <x:f>K592-L592</x:f>
        <x:v>0.20972199509481637</x:v>
      </x:c>
      <x:c r="N592" s="7" t="n">
        <x:f>M592^2</x:f>
        <x:v>0.04398331522655018</x:v>
      </x:c>
      <x:c r="O592" s="7" t="n">
        <x:v>0</x:v>
      </x:c>
      <x:c r="P592" s="7" t="n">
        <x:v>0.25</x:v>
      </x:c>
      <x:c r="Q592" s="7" t="n">
        <x:v>2.8881391425745973</x:v>
      </x:c>
      <x:c r="R592" s="7" t="n">
        <x:f>H592+I592*Q592</x:f>
        <x:v>-0.12091386768780454</x:v>
      </x:c>
      <x:c r="S592" s="7" t="n">
        <x:f>R592-L592</x:f>
        <x:v>-0.12091386768780454</x:v>
      </x:c>
      <x:c r="T592" s="7" t="n">
        <x:f>K592-R592</x:f>
        <x:v>0.3306358627826209</x:v>
      </x:c>
      <x:c r="U592" s="7" t="n">
        <x:f>M592-S592-T592</x:f>
        <x:v>0</x:v>
      </x:c>
    </x:row>
    <x:row r="593" ht="27" customHeight="1">
      <x:c r="A593" s="2"/>
      <x:c r="B593" s="2" t="str">
        <x:v>Beauty | organic_volume_growth | PCENDC96</x:v>
      </x:c>
      <x:c r="C593" s="2" t="str">
        <x:v>2025-09-30</x:v>
      </x:c>
      <x:c r="D593" s="2" t="str">
        <x:v>Two months</x:v>
      </x:c>
      <x:c r="E593" s="2" t="str">
        <x:v>2025-09-26</x:v>
      </x:c>
      <x:c r="F593" s="2" t="str">
        <x:v>Available-history choice</x:v>
      </x:c>
      <x:c r="G593" s="2" t="n">
        <x:v>14</x:v>
      </x:c>
      <x:c r="H593" s="7" t="n">
        <x:v>-1.1227505622635332</x:v>
      </x:c>
      <x:c r="I593" s="7" t="n">
        <x:v>0.4991712676122301</x:v>
      </x:c>
      <x:c r="J593" s="7" t="n">
        <x:v>3.2886468481588604</x:v>
      </x:c>
      <x:c r="K593" s="7" t="n">
        <x:f>H593+I593*J593</x:f>
        <x:v>0.5188474536608902</x:v>
      </x:c>
      <x:c r="L593" s="7" t="n">
        <x:v>4</x:v>
      </x:c>
      <x:c r="M593" s="7" t="n">
        <x:f>K593-L593</x:f>
        <x:v>-3.4811525463391098</x:v>
      </x:c>
      <x:c r="N593" s="7" t="n">
        <x:f>M593^2</x:f>
        <x:v>12.118423050883267</x:v>
      </x:c>
      <x:c r="O593" s="7" t="n">
        <x:v>1</x:v>
      </x:c>
      <x:c r="P593" s="7" t="n">
        <x:v>0.5</x:v>
      </x:c>
      <x:c r="Q593" s="7" t="n">
        <x:v>2.8881391425745973</x:v>
      </x:c>
      <x:c r="R593" s="7" t="n">
        <x:f>H593+I593*Q593</x:f>
        <x:v>0.31892551457592777</x:v>
      </x:c>
      <x:c r="S593" s="7" t="n">
        <x:f>R593-L593</x:f>
        <x:v>-3.6810744854240722</x:v>
      </x:c>
      <x:c r="T593" s="7" t="n">
        <x:f>K593-R593</x:f>
        <x:v>0.19992193908496247</x:v>
      </x:c>
      <x:c r="U593" s="7" t="n">
        <x:f>M593-S593-T593</x:f>
        <x:v>0</x:v>
      </x:c>
    </x:row>
    <x:row r="594" ht="27" customHeight="1">
      <x:c r="A594" s="2"/>
      <x:c r="B594" s="2" t="str">
        <x:v>Fabric &amp; Home Care | organic_volume_growth | PCENDC96</x:v>
      </x:c>
      <x:c r="C594" s="2" t="str">
        <x:v>2025-09-30</x:v>
      </x:c>
      <x:c r="D594" s="2" t="str">
        <x:v>Two months</x:v>
      </x:c>
      <x:c r="E594" s="2" t="str">
        <x:v>2025-09-26</x:v>
      </x:c>
      <x:c r="F594" s="2" t="str">
        <x:v>Available-history choice</x:v>
      </x:c>
      <x:c r="G594" s="2" t="n">
        <x:v>8</x:v>
      </x:c>
      <x:c r="H594" s="7" t="n">
        <x:v>1.3798438022832429</x:v>
      </x:c>
      <x:c r="I594" s="7" t="n">
        <x:v>-0.15592454233556874</x:v>
      </x:c>
      <x:c r="J594" s="7" t="n">
        <x:v>3.2886468481588604</x:v>
      </x:c>
      <x:c r="K594" s="7" t="n">
        <x:f>H594+I594*J594</x:f>
        <x:v>0.8670630475807619</x:v>
      </x:c>
      <x:c r="L594" s="7" t="n">
        <x:v>-2</x:v>
      </x:c>
      <x:c r="M594" s="7" t="n">
        <x:f>K594-L594</x:f>
        <x:v>2.867063047580762</x:v>
      </x:c>
      <x:c r="N594" s="7" t="n">
        <x:f>M594^2</x:f>
        <x:v>8.220050518803086</x:v>
      </x:c>
      <x:c r="O594" s="7" t="n">
        <x:v>0</x:v>
      </x:c>
      <x:c r="P594" s="7" t="n">
        <x:v>0.75</x:v>
      </x:c>
      <x:c r="Q594" s="7" t="n">
        <x:v>2.8881391425745973</x:v>
      </x:c>
      <x:c r="R594" s="7" t="n">
        <x:f>H594+I594*Q594</x:f>
        <x:v>0.9295120282758569</x:v>
      </x:c>
      <x:c r="S594" s="7" t="n">
        <x:f>R594-L594</x:f>
        <x:v>2.929512028275857</x:v>
      </x:c>
      <x:c r="T594" s="7" t="n">
        <x:f>K594-R594</x:f>
        <x:v>-0.06244898069509497</x:v>
      </x:c>
      <x:c r="U594" s="7" t="n">
        <x:f>M594-S594-T594</x:f>
        <x:v>-2.220446049250313e-16</x:v>
      </x:c>
    </x:row>
    <x:row r="595" ht="27" customHeight="1">
      <x:c r="A595" s="2"/>
      <x:c r="B595" s="2" t="str">
        <x:v>Baby, Feminine &amp; Family Care | organic_volume_growth | PCENDC96</x:v>
      </x:c>
      <x:c r="C595" s="2" t="str">
        <x:v>2025-09-30</x:v>
      </x:c>
      <x:c r="D595" s="2" t="str">
        <x:v>Pre-earnings</x:v>
      </x:c>
      <x:c r="E595" s="2" t="str">
        <x:v>2025-10-23</x:v>
      </x:c>
      <x:c r="F595" s="2" t="str">
        <x:v>Available-history choice</x:v>
      </x:c>
      <x:c r="G595" s="2" t="n">
        <x:v>18</x:v>
      </x:c>
      <x:c r="H595" s="7" t="n">
        <x:v>-1.6631811981046392</x:v>
      </x:c>
      <x:c r="I595" s="7" t="n">
        <x:v>0.1096159424435891</x:v>
      </x:c>
      <x:c r="J595" s="7" t="n">
        <x:v>3.2886468481588604</x:v>
      </x:c>
      <x:c r="K595" s="7" t="n">
        <x:f>H595+I595*J595</x:f>
        <x:v>-1.3026930744795668</x:v>
      </x:c>
      <x:c r="L595" s="7" t="n">
        <x:v>0</x:v>
      </x:c>
      <x:c r="M595" s="7" t="n">
        <x:f>K595-L595</x:f>
        <x:v>-1.3026930744795668</x:v>
      </x:c>
      <x:c r="N595" s="7" t="n">
        <x:f>M595^2</x:f>
        <x:v>1.6970092462970263</x:v>
      </x:c>
      <x:c r="O595" s="7" t="n">
        <x:v>0</x:v>
      </x:c>
      <x:c r="P595" s="7" t="n">
        <x:v>0.25</x:v>
      </x:c>
      <x:c r="Q595" s="7" t="n">
        <x:v>2.8881391425745973</x:v>
      </x:c>
      <x:c r="R595" s="7" t="n">
        <x:f>H595+I595*Q595</x:f>
        <x:v>-1.3465951040831055</x:v>
      </x:c>
      <x:c r="S595" s="7" t="n">
        <x:f>R595-L595</x:f>
        <x:v>-1.3465951040831055</x:v>
      </x:c>
      <x:c r="T595" s="7" t="n">
        <x:f>K595-R595</x:f>
        <x:v>0.04390202960353862</x:v>
      </x:c>
      <x:c r="U595" s="7" t="n">
        <x:f>M595-S595-T595</x:f>
        <x:v>0</x:v>
      </x:c>
    </x:row>
    <x:row r="596" ht="27" customHeight="1">
      <x:c r="A596" s="2"/>
      <x:c r="B596" s="2" t="str">
        <x:v>Beauty | organic_volume_growth | PCENDC96</x:v>
      </x:c>
      <x:c r="C596" s="2" t="str">
        <x:v>2025-09-30</x:v>
      </x:c>
      <x:c r="D596" s="2" t="str">
        <x:v>Pre-earnings</x:v>
      </x:c>
      <x:c r="E596" s="2" t="str">
        <x:v>2025-10-23</x:v>
      </x:c>
      <x:c r="F596" s="2" t="str">
        <x:v>Available-history choice</x:v>
      </x:c>
      <x:c r="G596" s="2" t="n">
        <x:v>18</x:v>
      </x:c>
      <x:c r="H596" s="7" t="n">
        <x:v>-0.7634621368284027</x:v>
      </x:c>
      <x:c r="I596" s="7" t="n">
        <x:v>0.21679107287119095</x:v>
      </x:c>
      <x:c r="J596" s="7" t="n">
        <x:v>3.2886468481588604</x:v>
      </x:c>
      <x:c r="K596" s="7" t="n">
        <x:f>H596+I596*J596</x:f>
        <x:v>-0.0505128583215827</x:v>
      </x:c>
      <x:c r="L596" s="7" t="n">
        <x:v>4</x:v>
      </x:c>
      <x:c r="M596" s="7" t="n">
        <x:f>K596-L596</x:f>
        <x:v>-4.050512858321583</x:v>
      </x:c>
      <x:c r="N596" s="7" t="n">
        <x:f>M596^2</x:f>
        <x:v>16.40665441542848</x:v>
      </x:c>
      <x:c r="O596" s="7" t="n">
        <x:v>1</x:v>
      </x:c>
      <x:c r="P596" s="7" t="n">
        <x:v>0.5</x:v>
      </x:c>
      <x:c r="Q596" s="7" t="n">
        <x:v>2.8881391425745973</x:v>
      </x:c>
      <x:c r="R596" s="7" t="n">
        <x:f>H596+I596*Q596</x:f>
        <x:v>-0.13733935350837423</x:v>
      </x:c>
      <x:c r="S596" s="7" t="n">
        <x:f>R596-L596</x:f>
        <x:v>-4.1373393535083745</x:v>
      </x:c>
      <x:c r="T596" s="7" t="n">
        <x:f>K596-R596</x:f>
        <x:v>0.08682649518679153</x:v>
      </x:c>
      <x:c r="U596" s="7" t="n">
        <x:f>M596-S596-T596</x:f>
        <x:v>-1.1102230246251565e-16</x:v>
      </x:c>
    </x:row>
    <x:row r="597" ht="27" customHeight="1">
      <x:c r="A597" s="2"/>
      <x:c r="B597" s="2" t="str">
        <x:v>Fabric &amp; Home Care | organic_volume_growth | PCENDC96</x:v>
      </x:c>
      <x:c r="C597" s="2" t="str">
        <x:v>2025-09-30</x:v>
      </x:c>
      <x:c r="D597" s="2" t="str">
        <x:v>Pre-earnings</x:v>
      </x:c>
      <x:c r="E597" s="2" t="str">
        <x:v>2025-10-23</x:v>
      </x:c>
      <x:c r="F597" s="2" t="str">
        <x:v>Available-history choice</x:v>
      </x:c>
      <x:c r="G597" s="2" t="n">
        <x:v>8</x:v>
      </x:c>
      <x:c r="H597" s="7" t="n">
        <x:v>1.3798438022832429</x:v>
      </x:c>
      <x:c r="I597" s="7" t="n">
        <x:v>-0.15592454233556874</x:v>
      </x:c>
      <x:c r="J597" s="7" t="n">
        <x:v>3.2886468481588604</x:v>
      </x:c>
      <x:c r="K597" s="7" t="n">
        <x:f>H597+I597*J597</x:f>
        <x:v>0.8670630475807619</x:v>
      </x:c>
      <x:c r="L597" s="7" t="n">
        <x:v>-2</x:v>
      </x:c>
      <x:c r="M597" s="7" t="n">
        <x:f>K597-L597</x:f>
        <x:v>2.867063047580762</x:v>
      </x:c>
      <x:c r="N597" s="7" t="n">
        <x:f>M597^2</x:f>
        <x:v>8.220050518803086</x:v>
      </x:c>
      <x:c r="O597" s="7" t="n">
        <x:v>0</x:v>
      </x:c>
      <x:c r="P597" s="7" t="n">
        <x:v>0.75</x:v>
      </x:c>
      <x:c r="Q597" s="7" t="n">
        <x:v>2.8881391425745973</x:v>
      </x:c>
      <x:c r="R597" s="7" t="n">
        <x:f>H597+I597*Q597</x:f>
        <x:v>0.9295120282758569</x:v>
      </x:c>
      <x:c r="S597" s="7" t="n">
        <x:f>R597-L597</x:f>
        <x:v>2.929512028275857</x:v>
      </x:c>
      <x:c r="T597" s="7" t="n">
        <x:f>K597-R597</x:f>
        <x:v>-0.06244898069509497</x:v>
      </x:c>
      <x:c r="U597" s="7" t="n">
        <x:f>M597-S597-T597</x:f>
        <x:v>-2.220446049250313e-16</x:v>
      </x:c>
    </x:row>
    <x:row r="598" ht="27" customHeight="1">
      <x:c r="A598" s="2"/>
      <x:c r="B598" s="2" t="str">
        <x:v>Baby, Feminine &amp; Family Care | organic_volume_growth | PCENDC96</x:v>
      </x:c>
      <x:c r="C598" s="2" t="str">
        <x:v>2025-12-31</x:v>
      </x:c>
      <x:c r="D598" s="2" t="str">
        <x:v>Origin</x:v>
      </x:c>
      <x:c r="E598" s="2" t="str">
        <x:v>2025-10-01</x:v>
      </x:c>
      <x:c r="F598" s="2" t="str">
        <x:v>Available-history choice</x:v>
      </x:c>
      <x:c r="G598" s="2" t="n">
        <x:v>18</x:v>
      </x:c>
      <x:c r="H598" s="7" t="n">
        <x:v>-1.6631811981046392</x:v>
      </x:c>
      <x:c r="I598" s="7" t="n">
        <x:v>0.1096159424435891</x:v>
      </x:c>
      <x:c r="J598" s="7" t="n">
        <x:v>3.299678659475047</x:v>
      </x:c>
      <x:c r="K598" s="7" t="n">
        <x:f>H598+I598*J598</x:f>
        <x:v>-1.3014838120852832</x:v>
      </x:c>
      <x:c r="L598" s="7" t="n">
        <x:v>-5</x:v>
      </x:c>
      <x:c r="M598" s="7" t="n">
        <x:f>K598-L598</x:f>
        <x:v>3.698516187914717</x:v>
      </x:c>
      <x:c r="N598" s="7" t="n">
        <x:f>M598^2</x:f>
        <x:v>13.67902199226721</x:v>
      </x:c>
      <x:c r="O598" s="7" t="n">
        <x:v>0</x:v>
      </x:c>
      <x:c r="P598" s="7" t="n">
        <x:v>0.25</x:v>
      </x:c>
      <x:c r="Q598" s="7" t="n">
        <x:v>2.459032140318529</x:v>
      </x:c>
      <x:c r="R598" s="7" t="n">
        <x:f>H598+I598*Q598</x:f>
        <x:v>-1.3936320725445475</x:v>
      </x:c>
      <x:c r="S598" s="7" t="n">
        <x:f>R598-L598</x:f>
        <x:v>3.6063679274554525</x:v>
      </x:c>
      <x:c r="T598" s="7" t="n">
        <x:f>K598-R598</x:f>
        <x:v>0.09214826045926428</x:v>
      </x:c>
      <x:c r="U598" s="7" t="n">
        <x:f>M598-S598-T598</x:f>
        <x:v>0</x:v>
      </x:c>
    </x:row>
    <x:row r="599" ht="27" customHeight="1">
      <x:c r="A599" s="2"/>
      <x:c r="B599" s="2" t="str">
        <x:v>Beauty | organic_volume_growth | PCENDC96</x:v>
      </x:c>
      <x:c r="C599" s="2" t="str">
        <x:v>2025-12-31</x:v>
      </x:c>
      <x:c r="D599" s="2" t="str">
        <x:v>Origin</x:v>
      </x:c>
      <x:c r="E599" s="2" t="str">
        <x:v>2025-10-01</x:v>
      </x:c>
      <x:c r="F599" s="2" t="str">
        <x:v>Available-history choice</x:v>
      </x:c>
      <x:c r="G599" s="2" t="n">
        <x:v>18</x:v>
      </x:c>
      <x:c r="H599" s="7" t="n">
        <x:v>-0.7634621368284027</x:v>
      </x:c>
      <x:c r="I599" s="7" t="n">
        <x:v>0.21679107287119095</x:v>
      </x:c>
      <x:c r="J599" s="7" t="n">
        <x:v>3.299678659475047</x:v>
      </x:c>
      <x:c r="K599" s="7" t="n">
        <x:f>H599+I599*J599</x:f>
        <x:v>-0.04812126011063411</x:v>
      </x:c>
      <x:c r="L599" s="7" t="n">
        <x:v>3</x:v>
      </x:c>
      <x:c r="M599" s="7" t="n">
        <x:f>K599-L599</x:f>
        <x:v>-3.048121260110634</x:v>
      </x:c>
      <x:c r="N599" s="7" t="n">
        <x:f>M599^2</x:f>
        <x:v>9.291043216338439</x:v>
      </x:c>
      <x:c r="O599" s="7" t="n">
        <x:v>1</x:v>
      </x:c>
      <x:c r="P599" s="7" t="n">
        <x:v>0.5</x:v>
      </x:c>
      <x:c r="Q599" s="7" t="n">
        <x:v>2.459032140318529</x:v>
      </x:c>
      <x:c r="R599" s="7" t="n">
        <x:f>H599+I599*Q599</x:f>
        <x:v>-0.23036592090400787</x:v>
      </x:c>
      <x:c r="S599" s="7" t="n">
        <x:f>R599-L599</x:f>
        <x:v>-3.230365920904008</x:v>
      </x:c>
      <x:c r="T599" s="7" t="n">
        <x:f>K599-R599</x:f>
        <x:v>0.18224466079337376</x:v>
      </x:c>
      <x:c r="U599" s="7" t="n">
        <x:f>M599-S599-T599</x:f>
        <x:v>3.3306690738754696e-16</x:v>
      </x:c>
    </x:row>
    <x:row r="600" ht="27" customHeight="1">
      <x:c r="A600" s="2"/>
      <x:c r="B600" s="2" t="str">
        <x:v>Fabric &amp; Home Care | organic_volume_growth | PCENDC96</x:v>
      </x:c>
      <x:c r="C600" s="2" t="str">
        <x:v>2025-12-31</x:v>
      </x:c>
      <x:c r="D600" s="2" t="str">
        <x:v>Origin</x:v>
      </x:c>
      <x:c r="E600" s="2" t="str">
        <x:v>2025-10-01</x:v>
      </x:c>
      <x:c r="F600" s="2" t="str">
        <x:v>Available-history choice</x:v>
      </x:c>
      <x:c r="G600" s="2" t="n">
        <x:v>8</x:v>
      </x:c>
      <x:c r="H600" s="7" t="n">
        <x:v>1.3798438022832429</x:v>
      </x:c>
      <x:c r="I600" s="7" t="n">
        <x:v>-0.15592454233556874</x:v>
      </x:c>
      <x:c r="J600" s="7" t="n">
        <x:v>3.299678659475047</x:v>
      </x:c>
      <x:c r="K600" s="7" t="n">
        <x:f>H600+I600*J600</x:f>
        <x:v>0.8653429174501532</x:v>
      </x:c>
      <x:c r="L600" s="7" t="n">
        <x:v>0</x:v>
      </x:c>
      <x:c r="M600" s="7" t="n">
        <x:f>K600-L600</x:f>
        <x:v>0.8653429174501532</x:v>
      </x:c>
      <x:c r="N600" s="7" t="n">
        <x:f>M600^2</x:f>
        <x:v>0.7488183647811427</x:v>
      </x:c>
      <x:c r="O600" s="7" t="n">
        <x:v>0</x:v>
      </x:c>
      <x:c r="P600" s="7" t="n">
        <x:v>0.75</x:v>
      </x:c>
      <x:c r="Q600" s="7" t="n">
        <x:v>2.459032140318529</x:v>
      </x:c>
      <x:c r="R600" s="7" t="n">
        <x:f>H600+I600*Q600</x:f>
        <x:v>0.9964203412156223</x:v>
      </x:c>
      <x:c r="S600" s="7" t="n">
        <x:f>R600-L600</x:f>
        <x:v>0.9964203412156223</x:v>
      </x:c>
      <x:c r="T600" s="7" t="n">
        <x:f>K600-R600</x:f>
        <x:v>-0.13107742376546905</x:v>
      </x:c>
      <x:c r="U600" s="7" t="n">
        <x:f>M600-S600-T600</x:f>
        <x:v>0</x:v>
      </x:c>
    </x:row>
    <x:row r="601" ht="27" customHeight="1">
      <x:c r="A601" s="2"/>
      <x:c r="B601" s="2" t="str">
        <x:v>Baby, Feminine &amp; Family Care | organic_volume_growth | PCENDC96</x:v>
      </x:c>
      <x:c r="C601" s="2" t="str">
        <x:v>2025-12-31</x:v>
      </x:c>
      <x:c r="D601" s="2" t="str">
        <x:v>Pre-earnings</x:v>
      </x:c>
      <x:c r="E601" s="2" t="str">
        <x:v>2026-01-22</x:v>
      </x:c>
      <x:c r="F601" s="2" t="str">
        <x:v>Available-history choice</x:v>
      </x:c>
      <x:c r="G601" s="2" t="n">
        <x:v>19</x:v>
      </x:c>
      <x:c r="H601" s="7" t="n">
        <x:v>-1.5927425892447882</x:v>
      </x:c>
      <x:c r="I601" s="7" t="n">
        <x:v>0.10955224516670203</x:v>
      </x:c>
      <x:c r="J601" s="7" t="n">
        <x:v>2.918795720892664</x:v>
      </x:c>
      <x:c r="K601" s="7" t="n">
        <x:f>H601+I601*J601</x:f>
        <x:v>-1.2729819648380343</x:v>
      </x:c>
      <x:c r="L601" s="7" t="n">
        <x:v>-5</x:v>
      </x:c>
      <x:c r="M601" s="7" t="n">
        <x:f>K601-L601</x:f>
        <x:v>3.727018035161966</x:v>
      </x:c>
      <x:c r="N601" s="7" t="n">
        <x:f>M601^2</x:f>
        <x:v>13.890663434422562</x:v>
      </x:c>
      <x:c r="O601" s="7" t="n">
        <x:v>0</x:v>
      </x:c>
      <x:c r="P601" s="7" t="n">
        <x:v>0.5</x:v>
      </x:c>
      <x:c r="Q601" s="7" t="n">
        <x:v>2.459032140318529</x:v>
      </x:c>
      <x:c r="R601" s="7" t="n">
        <x:f>H601+I601*Q601</x:f>
        <x:v>-1.3233500973358128</x:v>
      </x:c>
      <x:c r="S601" s="7" t="n">
        <x:f>R601-L601</x:f>
        <x:v>3.6766499026641872</x:v>
      </x:c>
      <x:c r="T601" s="7" t="n">
        <x:f>K601-R601</x:f>
        <x:v>0.050368132497778495</x:v>
      </x:c>
      <x:c r="U601" s="7" t="n">
        <x:f>M601-S601-T601</x:f>
        <x:v>2.220446049250313e-16</x:v>
      </x:c>
    </x:row>
    <x:row r="602" ht="27" customHeight="1">
      <x:c r="A602" s="2"/>
      <x:c r="B602" s="2" t="str">
        <x:v>Beauty | organic_volume_growth | PCENDC96</x:v>
      </x:c>
      <x:c r="C602" s="2" t="str">
        <x:v>2025-12-31</x:v>
      </x:c>
      <x:c r="D602" s="2" t="str">
        <x:v>Pre-earnings</x:v>
      </x:c>
      <x:c r="E602" s="2" t="str">
        <x:v>2026-01-22</x:v>
      </x:c>
      <x:c r="F602" s="2" t="str">
        <x:v>Available-history choice</x:v>
      </x:c>
      <x:c r="G602" s="2" t="n">
        <x:v>19</x:v>
      </x:c>
      <x:c r="H602" s="7" t="n">
        <x:v>-0.5463557353544389</x:v>
      </x:c>
      <x:c r="I602" s="7" t="n">
        <x:v>0.21659474465300949</x:v>
      </x:c>
      <x:c r="J602" s="7" t="n">
        <x:v>2.918795720892664</x:v>
      </x:c>
      <x:c r="K602" s="7" t="n">
        <x:f>H602+I602*J602</x:f>
        <x:v>0.08584007850660436</x:v>
      </x:c>
      <x:c r="L602" s="7" t="n">
        <x:v>3</x:v>
      </x:c>
      <x:c r="M602" s="7" t="n">
        <x:f>K602-L602</x:f>
        <x:v>-2.9141599214933955</x:v>
      </x:c>
      <x:c r="N602" s="7" t="n">
        <x:f>M602^2</x:f>
        <x:v>8.492328048038393</x:v>
      </x:c>
      <x:c r="O602" s="7" t="n">
        <x:v>4</x:v>
      </x:c>
      <x:c r="P602" s="7" t="n">
        <x:v>1.5</x:v>
      </x:c>
      <x:c r="Q602" s="7" t="n">
        <x:v>2.459032140318529</x:v>
      </x:c>
      <x:c r="R602" s="7" t="n">
        <x:f>H602+I602*Q602</x:f>
        <x:v>-0.013742296828603728</x:v>
      </x:c>
      <x:c r="S602" s="7" t="n">
        <x:f>R602-L602</x:f>
        <x:v>-3.0137422968286036</x:v>
      </x:c>
      <x:c r="T602" s="7" t="n">
        <x:f>K602-R602</x:f>
        <x:v>0.09958237533520808</x:v>
      </x:c>
      <x:c r="U602" s="7" t="n">
        <x:f>M602-S602-T602</x:f>
        <x:v>0</x:v>
      </x:c>
    </x:row>
    <x:row r="603" ht="27" customHeight="1">
      <x:c r="A603" s="2"/>
      <x:c r="B603" s="2" t="str">
        <x:v>Fabric &amp; Home Care | organic_volume_growth | PCENDC96</x:v>
      </x:c>
      <x:c r="C603" s="2" t="str">
        <x:v>2025-12-31</x:v>
      </x:c>
      <x:c r="D603" s="2" t="str">
        <x:v>Pre-earnings</x:v>
      </x:c>
      <x:c r="E603" s="2" t="str">
        <x:v>2026-01-22</x:v>
      </x:c>
      <x:c r="F603" s="2" t="str">
        <x:v>Available-history choice</x:v>
      </x:c>
      <x:c r="G603" s="2" t="n">
        <x:v>8</x:v>
      </x:c>
      <x:c r="H603" s="7" t="n">
        <x:v>3.166549738853786</x:v>
      </x:c>
      <x:c r="I603" s="7" t="n">
        <x:v>-0.9077940338446284</x:v>
      </x:c>
      <x:c r="J603" s="7" t="n">
        <x:v>2.918795720892664</x:v>
      </x:c>
      <x:c r="K603" s="7" t="n">
        <x:f>H603+I603*J603</x:f>
        <x:v>0.5168843974161943</x:v>
      </x:c>
      <x:c r="L603" s="7" t="n">
        <x:v>0</x:v>
      </x:c>
      <x:c r="M603" s="7" t="n">
        <x:f>K603-L603</x:f>
        <x:v>0.5168843974161943</x:v>
      </x:c>
      <x:c r="N603" s="7" t="n">
        <x:f>M603^2</x:f>
        <x:v>0.2671694802923023</x:v>
      </x:c>
      <x:c r="O603" s="7" t="n">
        <x:v>-2</x:v>
      </x:c>
      <x:c r="P603" s="7" t="n">
        <x:v>0</x:v>
      </x:c>
      <x:c r="Q603" s="7" t="n">
        <x:v>2.459032140318529</x:v>
      </x:c>
      <x:c r="R603" s="7" t="n">
        <x:f>H603+I603*Q603</x:f>
        <x:v>0.9342550328404382</x:v>
      </x:c>
      <x:c r="S603" s="7" t="n">
        <x:f>R603-L603</x:f>
        <x:v>0.9342550328404382</x:v>
      </x:c>
      <x:c r="T603" s="7" t="n">
        <x:f>K603-R603</x:f>
        <x:v>-0.4173706354242439</x:v>
      </x:c>
      <x:c r="U603" s="7" t="n">
        <x:f>M603-S603-T603</x:f>
        <x:v>0</x:v>
      </x:c>
    </x:row>
    <x:row r="604" ht="27" customHeight="1">
      <x:c r="A604" s="2"/>
      <x:c r="B604" s="2" t="str">
        <x:v>Baby, Feminine &amp; Family Care | organic_volume_growth | PCENDC96</x:v>
      </x:c>
      <x:c r="C604" s="2" t="str">
        <x:v>2025-12-31</x:v>
      </x:c>
      <x:c r="D604" s="2" t="str">
        <x:v>Two months</x:v>
      </x:c>
      <x:c r="E604" s="2" t="str">
        <x:v>2026-01-22</x:v>
      </x:c>
      <x:c r="F604" s="2" t="str">
        <x:v>Available-history choice</x:v>
      </x:c>
      <x:c r="G604" s="2" t="n">
        <x:v>19</x:v>
      </x:c>
      <x:c r="H604" s="7" t="n">
        <x:v>-1.5927425892447882</x:v>
      </x:c>
      <x:c r="I604" s="7" t="n">
        <x:v>0.10955224516670203</x:v>
      </x:c>
      <x:c r="J604" s="7" t="n">
        <x:v>2.918795720892664</x:v>
      </x:c>
      <x:c r="K604" s="7" t="n">
        <x:f>H604+I604*J604</x:f>
        <x:v>-1.2729819648380343</x:v>
      </x:c>
      <x:c r="L604" s="7" t="n">
        <x:v>-5</x:v>
      </x:c>
      <x:c r="M604" s="7" t="n">
        <x:f>K604-L604</x:f>
        <x:v>3.727018035161966</x:v>
      </x:c>
      <x:c r="N604" s="7" t="n">
        <x:f>M604^2</x:f>
        <x:v>13.890663434422562</x:v>
      </x:c>
      <x:c r="O604" s="7" t="n">
        <x:v>0</x:v>
      </x:c>
      <x:c r="P604" s="7" t="n">
        <x:v>0.5</x:v>
      </x:c>
      <x:c r="Q604" s="7" t="n">
        <x:v>2.459032140318529</x:v>
      </x:c>
      <x:c r="R604" s="7" t="n">
        <x:f>H604+I604*Q604</x:f>
        <x:v>-1.3233500973358128</x:v>
      </x:c>
      <x:c r="S604" s="7" t="n">
        <x:f>R604-L604</x:f>
        <x:v>3.6766499026641872</x:v>
      </x:c>
      <x:c r="T604" s="7" t="n">
        <x:f>K604-R604</x:f>
        <x:v>0.050368132497778495</x:v>
      </x:c>
      <x:c r="U604" s="7" t="n">
        <x:f>M604-S604-T604</x:f>
        <x:v>2.220446049250313e-16</x:v>
      </x:c>
    </x:row>
    <x:row r="605" ht="27" customHeight="1">
      <x:c r="A605" s="2"/>
      <x:c r="B605" s="2" t="str">
        <x:v>Beauty | organic_volume_growth | PCENDC96</x:v>
      </x:c>
      <x:c r="C605" s="2" t="str">
        <x:v>2025-12-31</x:v>
      </x:c>
      <x:c r="D605" s="2" t="str">
        <x:v>Two months</x:v>
      </x:c>
      <x:c r="E605" s="2" t="str">
        <x:v>2026-01-22</x:v>
      </x:c>
      <x:c r="F605" s="2" t="str">
        <x:v>Available-history choice</x:v>
      </x:c>
      <x:c r="G605" s="2" t="n">
        <x:v>19</x:v>
      </x:c>
      <x:c r="H605" s="7" t="n">
        <x:v>-0.5463557353544389</x:v>
      </x:c>
      <x:c r="I605" s="7" t="n">
        <x:v>0.21659474465300949</x:v>
      </x:c>
      <x:c r="J605" s="7" t="n">
        <x:v>2.918795720892664</x:v>
      </x:c>
      <x:c r="K605" s="7" t="n">
        <x:f>H605+I605*J605</x:f>
        <x:v>0.08584007850660436</x:v>
      </x:c>
      <x:c r="L605" s="7" t="n">
        <x:v>3</x:v>
      </x:c>
      <x:c r="M605" s="7" t="n">
        <x:f>K605-L605</x:f>
        <x:v>-2.9141599214933955</x:v>
      </x:c>
      <x:c r="N605" s="7" t="n">
        <x:f>M605^2</x:f>
        <x:v>8.492328048038393</x:v>
      </x:c>
      <x:c r="O605" s="7" t="n">
        <x:v>4</x:v>
      </x:c>
      <x:c r="P605" s="7" t="n">
        <x:v>1.5</x:v>
      </x:c>
      <x:c r="Q605" s="7" t="n">
        <x:v>2.459032140318529</x:v>
      </x:c>
      <x:c r="R605" s="7" t="n">
        <x:f>H605+I605*Q605</x:f>
        <x:v>-0.013742296828603728</x:v>
      </x:c>
      <x:c r="S605" s="7" t="n">
        <x:f>R605-L605</x:f>
        <x:v>-3.0137422968286036</x:v>
      </x:c>
      <x:c r="T605" s="7" t="n">
        <x:f>K605-R605</x:f>
        <x:v>0.09958237533520808</x:v>
      </x:c>
      <x:c r="U605" s="7" t="n">
        <x:f>M605-S605-T605</x:f>
        <x:v>0</x:v>
      </x:c>
    </x:row>
    <x:row r="606" ht="27" customHeight="1">
      <x:c r="A606" s="2"/>
      <x:c r="B606" s="2" t="str">
        <x:v>Fabric &amp; Home Care | organic_volume_growth | PCENDC96</x:v>
      </x:c>
      <x:c r="C606" s="2" t="str">
        <x:v>2025-12-31</x:v>
      </x:c>
      <x:c r="D606" s="2" t="str">
        <x:v>Two months</x:v>
      </x:c>
      <x:c r="E606" s="2" t="str">
        <x:v>2026-01-22</x:v>
      </x:c>
      <x:c r="F606" s="2" t="str">
        <x:v>Available-history choice</x:v>
      </x:c>
      <x:c r="G606" s="2" t="n">
        <x:v>8</x:v>
      </x:c>
      <x:c r="H606" s="7" t="n">
        <x:v>3.166549738853786</x:v>
      </x:c>
      <x:c r="I606" s="7" t="n">
        <x:v>-0.9077940338446284</x:v>
      </x:c>
      <x:c r="J606" s="7" t="n">
        <x:v>2.918795720892664</x:v>
      </x:c>
      <x:c r="K606" s="7" t="n">
        <x:f>H606+I606*J606</x:f>
        <x:v>0.5168843974161943</x:v>
      </x:c>
      <x:c r="L606" s="7" t="n">
        <x:v>0</x:v>
      </x:c>
      <x:c r="M606" s="7" t="n">
        <x:f>K606-L606</x:f>
        <x:v>0.5168843974161943</x:v>
      </x:c>
      <x:c r="N606" s="7" t="n">
        <x:f>M606^2</x:f>
        <x:v>0.2671694802923023</x:v>
      </x:c>
      <x:c r="O606" s="7" t="n">
        <x:v>-2</x:v>
      </x:c>
      <x:c r="P606" s="7" t="n">
        <x:v>0</x:v>
      </x:c>
      <x:c r="Q606" s="7" t="n">
        <x:v>2.459032140318529</x:v>
      </x:c>
      <x:c r="R606" s="7" t="n">
        <x:f>H606+I606*Q606</x:f>
        <x:v>0.9342550328404382</x:v>
      </x:c>
      <x:c r="S606" s="7" t="n">
        <x:f>R606-L606</x:f>
        <x:v>0.9342550328404382</x:v>
      </x:c>
      <x:c r="T606" s="7" t="n">
        <x:f>K606-R606</x:f>
        <x:v>-0.4173706354242439</x:v>
      </x:c>
      <x:c r="U606" s="7" t="n">
        <x:f>M606-S606-T606</x:f>
        <x:v>0</x:v>
      </x:c>
    </x:row>
    <x:row r="607" ht="27" customHeight="1">
      <x:c r="A607" s="2"/>
      <x:c r="B607" s="2" t="str">
        <x:v>Baby, Feminine &amp; Family Care | organic_volume_growth | PCENDC96</x:v>
      </x:c>
      <x:c r="C607" s="2" t="str">
        <x:v>2026-03-31</x:v>
      </x:c>
      <x:c r="D607" s="2" t="str">
        <x:v>Origin</x:v>
      </x:c>
      <x:c r="E607" s="2" t="str">
        <x:v>2026-01-01</x:v>
      </x:c>
      <x:c r="F607" s="2" t="str">
        <x:v>Available-history choice</x:v>
      </x:c>
      <x:c r="G607" s="2" t="n">
        <x:v>19</x:v>
      </x:c>
      <x:c r="H607" s="7" t="n">
        <x:v>-1.5931128704128805</x:v>
      </x:c>
      <x:c r="I607" s="7" t="n">
        <x:v>0.10964185151743827</x:v>
      </x:c>
      <x:c r="J607" s="7" t="n">
        <x:v>3.0175188319920387</x:v>
      </x:c>
      <x:c r="K607" s="7" t="n">
        <x:f>H607+I607*J607</x:f>
        <x:v>-1.2622665186845357</x:v>
      </x:c>
      <x:c r="L607" s="7" t="n">
        <x:v>3</x:v>
      </x:c>
      <x:c r="M607" s="7" t="n">
        <x:f>K607-L607</x:f>
        <x:v>-4.262266518684536</x:v>
      </x:c>
      <x:c r="N607" s="7" t="n">
        <x:f>M607^2</x:f>
        <x:v>18.166915876299193</x:v>
      </x:c>
      <x:c r="O607" s="7" t="n">
        <x:v>0</x:v>
      </x:c>
      <x:c r="P607" s="7" t="n">
        <x:v>0.5</x:v>
      </x:c>
      <x:c r="Q607" s="7" t="n">
        <x:v>1.4340718660131646</x:v>
      </x:c>
      <x:c r="R607" s="7" t="n">
        <x:f>H607+I607*Q607</x:f>
        <x:v>-1.4358785758141295</x:v>
      </x:c>
      <x:c r="S607" s="7" t="n">
        <x:f>R607-L607</x:f>
        <x:v>-4.4358785758141295</x:v>
      </x:c>
      <x:c r="T607" s="7" t="n">
        <x:f>K607-R607</x:f>
        <x:v>0.17361205712959382</x:v>
      </x:c>
      <x:c r="U607" s="7" t="n">
        <x:f>M607-S607-T607</x:f>
        <x:v>0</x:v>
      </x:c>
    </x:row>
    <x:row r="608" ht="27" customHeight="1">
      <x:c r="A608" s="2"/>
      <x:c r="B608" s="2" t="str">
        <x:v>Beauty | organic_volume_growth | PCENDC96</x:v>
      </x:c>
      <x:c r="C608" s="2" t="str">
        <x:v>2026-03-31</x:v>
      </x:c>
      <x:c r="D608" s="2" t="str">
        <x:v>Origin</x:v>
      </x:c>
      <x:c r="E608" s="2" t="str">
        <x:v>2026-01-01</x:v>
      </x:c>
      <x:c r="F608" s="2" t="str">
        <x:v>Available-history choice</x:v>
      </x:c>
      <x:c r="G608" s="2" t="n">
        <x:v>19</x:v>
      </x:c>
      <x:c r="H608" s="7" t="n">
        <x:v>-0.5473859445954838</x:v>
      </x:c>
      <x:c r="I608" s="7" t="n">
        <x:v>0.21687097108206654</x:v>
      </x:c>
      <x:c r="J608" s="7" t="n">
        <x:v>3.0175188319920387</x:v>
      </x:c>
      <x:c r="K608" s="7" t="n">
        <x:f>H608+I608*J608</x:f>
        <x:v>0.10702629475705283</x:v>
      </x:c>
      <x:c r="L608" s="7" t="n">
        <x:v>5</x:v>
      </x:c>
      <x:c r="M608" s="7" t="n">
        <x:f>K608-L608</x:f>
        <x:v>-4.892973705242947</x:v>
      </x:c>
      <x:c r="N608" s="7" t="n">
        <x:f>M608^2</x:f>
        <x:v>23.941191680198894</x:v>
      </x:c>
      <x:c r="O608" s="7" t="n">
        <x:v>4</x:v>
      </x:c>
      <x:c r="P608" s="7" t="n">
        <x:v>1.5</x:v>
      </x:c>
      <x:c r="Q608" s="7" t="n">
        <x:v>1.4340718660131646</x:v>
      </x:c>
      <x:c r="R608" s="7" t="n">
        <x:f>H608+I608*Q608</x:f>
        <x:v>-0.2363773864117376</x:v>
      </x:c>
      <x:c r="S608" s="7" t="n">
        <x:f>R608-L608</x:f>
        <x:v>-5.236377386411737</x:v>
      </x:c>
      <x:c r="T608" s="7" t="n">
        <x:f>K608-R608</x:f>
        <x:v>0.34340368116879044</x:v>
      </x:c>
      <x:c r="U608" s="7" t="n">
        <x:f>M608-S608-T608</x:f>
        <x:v>-2.7755575615628914e-16</x:v>
      </x:c>
    </x:row>
    <x:row r="609" ht="27" customHeight="1">
      <x:c r="A609" s="2"/>
      <x:c r="B609" s="2" t="str">
        <x:v>Fabric &amp; Home Care | organic_volume_growth | PCENDC96</x:v>
      </x:c>
      <x:c r="C609" s="2" t="str">
        <x:v>2026-03-31</x:v>
      </x:c>
      <x:c r="D609" s="2" t="str">
        <x:v>Origin</x:v>
      </x:c>
      <x:c r="E609" s="2" t="str">
        <x:v>2026-01-01</x:v>
      </x:c>
      <x:c r="F609" s="2" t="str">
        <x:v>Available-history choice</x:v>
      </x:c>
      <x:c r="G609" s="2" t="n">
        <x:v>8</x:v>
      </x:c>
      <x:c r="H609" s="7" t="n">
        <x:v>3.195655452228598</x:v>
      </x:c>
      <x:c r="I609" s="7" t="n">
        <x:v>-0.9179755675403887</x:v>
      </x:c>
      <x:c r="J609" s="7" t="n">
        <x:v>3.0175188319920387</x:v>
      </x:c>
      <x:c r="K609" s="7" t="n">
        <x:f>H609+I609*J609</x:f>
        <x:v>0.4256468898668957</x:v>
      </x:c>
      <x:c r="L609" s="7" t="n">
        <x:v>2</x:v>
      </x:c>
      <x:c r="M609" s="7" t="n">
        <x:f>K609-L609</x:f>
        <x:v>-1.5743531101331043</x:v>
      </x:c>
      <x:c r="N609" s="7" t="n">
        <x:f>M609^2</x:f>
        <x:v>2.4785877153857783</x:v>
      </x:c>
      <x:c r="O609" s="7" t="n">
        <x:v>-2</x:v>
      </x:c>
      <x:c r="P609" s="7" t="n">
        <x:v>0</x:v>
      </x:c>
      <x:c r="Q609" s="7" t="n">
        <x:v>1.4340718660131646</x:v>
      </x:c>
      <x:c r="R609" s="7" t="n">
        <x:f>H609+I609*Q609</x:f>
        <x:v>1.879212517131459</x:v>
      </x:c>
      <x:c r="S609" s="7" t="n">
        <x:f>R609-L609</x:f>
        <x:v>-0.12078748286854091</x:v>
      </x:c>
      <x:c r="T609" s="7" t="n">
        <x:f>K609-R609</x:f>
        <x:v>-1.4535656272645634</x:v>
      </x:c>
      <x:c r="U609" s="7" t="n">
        <x:f>M609-S609-T609</x:f>
        <x:v>0</x:v>
      </x:c>
    </x:row>
    <x:row r="610" ht="27" customHeight="1">
      <x:c r="A610" s="2"/>
      <x:c r="B610" s="2" t="str">
        <x:v>Baby, Feminine &amp; Family Care | organic_volume_growth | PCENDC96</x:v>
      </x:c>
      <x:c r="C610" s="2" t="str">
        <x:v>2026-03-31</x:v>
      </x:c>
      <x:c r="D610" s="2" t="str">
        <x:v>One month</x:v>
      </x:c>
      <x:c r="E610" s="2" t="str">
        <x:v>2026-03-13</x:v>
      </x:c>
      <x:c r="F610" s="2" t="str">
        <x:v>Available-history choice</x:v>
      </x:c>
      <x:c r="G610" s="2" t="n">
        <x:v>16</x:v>
      </x:c>
      <x:c r="H610" s="7" t="n">
        <x:v>-2.6798746297492615</x:v>
      </x:c>
      <x:c r="I610" s="7" t="n">
        <x:v>0.765712231842195</x:v>
      </x:c>
      <x:c r="J610" s="7" t="n">
        <x:v>1.520536558800778</x:v>
      </x:c>
      <x:c r="K610" s="7" t="n">
        <x:f>H610+I610*J610</x:f>
        <x:v>-1.515581187712267</x:v>
      </x:c>
      <x:c r="L610" s="7" t="n">
        <x:v>3</x:v>
      </x:c>
      <x:c r="M610" s="7" t="n">
        <x:f>K610-L610</x:f>
        <x:v>-4.515581187712267</x:v>
      </x:c>
      <x:c r="N610" s="7" t="n">
        <x:f>M610^2</x:f>
        <x:v>20.39047346282093</x:v>
      </x:c>
      <x:c r="O610" s="7" t="n">
        <x:v>-5</x:v>
      </x:c>
      <x:c r="P610" s="7" t="n">
        <x:v>-1.75</x:v>
      </x:c>
      <x:c r="Q610" s="7" t="n">
        <x:v>1.4340718660131646</x:v>
      </x:c>
      <x:c r="R610" s="7" t="n">
        <x:f>H610+I610*Q610</x:f>
        <x:v>-1.58178826060222</x:v>
      </x:c>
      <x:c r="S610" s="7" t="n">
        <x:f>R610-L610</x:f>
        <x:v>-4.58178826060222</x:v>
      </x:c>
      <x:c r="T610" s="7" t="n">
        <x:f>K610-R610</x:f>
        <x:v>0.06620707288995309</x:v>
      </x:c>
      <x:c r="U610" s="7" t="n">
        <x:f>M610-S610-T610</x:f>
        <x:v>0</x:v>
      </x:c>
    </x:row>
    <x:row r="611" ht="27" customHeight="1">
      <x:c r="A611" s="2"/>
      <x:c r="B611" s="2" t="str">
        <x:v>Beauty | organic_volume_growth | PCENDC96</x:v>
      </x:c>
      <x:c r="C611" s="2" t="str">
        <x:v>2026-03-31</x:v>
      </x:c>
      <x:c r="D611" s="2" t="str">
        <x:v>One month</x:v>
      </x:c>
      <x:c r="E611" s="2" t="str">
        <x:v>2026-03-13</x:v>
      </x:c>
      <x:c r="F611" s="2" t="str">
        <x:v>Available-history choice</x:v>
      </x:c>
      <x:c r="G611" s="2" t="n">
        <x:v>16</x:v>
      </x:c>
      <x:c r="H611" s="7" t="n">
        <x:v>-0.9504523118378174</x:v>
      </x:c>
      <x:c r="I611" s="7" t="n">
        <x:v>0.6573833828530388</x:v>
      </x:c>
      <x:c r="J611" s="7" t="n">
        <x:v>1.520536558800778</x:v>
      </x:c>
      <x:c r="K611" s="7" t="n">
        <x:f>H611+I611*J611</x:f>
        <x:v>0.049123154938356506</x:v>
      </x:c>
      <x:c r="L611" s="7" t="n">
        <x:v>5</x:v>
      </x:c>
      <x:c r="M611" s="7" t="n">
        <x:f>K611-L611</x:f>
        <x:v>-4.950876845061644</x:v>
      </x:c>
      <x:c r="N611" s="7" t="n">
        <x:f>M611^2</x:f>
        <x:v>24.511181534967537</x:v>
      </x:c>
      <x:c r="O611" s="7" t="n">
        <x:v>3</x:v>
      </x:c>
      <x:c r="P611" s="7" t="n">
        <x:v>2.25</x:v>
      </x:c>
      <x:c r="Q611" s="7" t="n">
        <x:v>1.4340718660131646</x:v>
      </x:c>
      <x:c r="R611" s="7" t="n">
        <x:f>H611+I611*Q611</x:f>
        <x:v>-0.007717297303713511</x:v>
      </x:c>
      <x:c r="S611" s="7" t="n">
        <x:f>R611-L611</x:f>
        <x:v>-5.007717297303714</x:v>
      </x:c>
      <x:c r="T611" s="7" t="n">
        <x:f>K611-R611</x:f>
        <x:v>0.056840452242070016</x:v>
      </x:c>
      <x:c r="U611" s="7" t="n">
        <x:f>M611-S611-T611</x:f>
        <x:v>-2.220446049250313e-16</x:v>
      </x:c>
    </x:row>
    <x:row r="612" ht="27" customHeight="1">
      <x:c r="A612" s="2"/>
      <x:c r="B612" s="2" t="str">
        <x:v>Fabric &amp; Home Care | organic_volume_growth | PCENDC96</x:v>
      </x:c>
      <x:c r="C612" s="2" t="str">
        <x:v>2026-03-31</x:v>
      </x:c>
      <x:c r="D612" s="2" t="str">
        <x:v>One month</x:v>
      </x:c>
      <x:c r="E612" s="2" t="str">
        <x:v>2026-03-13</x:v>
      </x:c>
      <x:c r="F612" s="2" t="str">
        <x:v>Available-history choice</x:v>
      </x:c>
      <x:c r="G612" s="2" t="n">
        <x:v>8</x:v>
      </x:c>
      <x:c r="H612" s="7" t="n">
        <x:v>2.68211146841145</x:v>
      </x:c>
      <x:c r="I612" s="7" t="n">
        <x:v>-0.7741267437616038</x:v>
      </x:c>
      <x:c r="J612" s="7" t="n">
        <x:v>1.520536558800778</x:v>
      </x:c>
      <x:c r="K612" s="7" t="n">
        <x:f>H612+I612*J612</x:f>
        <x:v>1.5050234533765292</x:v>
      </x:c>
      <x:c r="L612" s="7" t="n">
        <x:v>2</x:v>
      </x:c>
      <x:c r="M612" s="7" t="n">
        <x:f>K612-L612</x:f>
        <x:v>-0.4949765466234708</x:v>
      </x:c>
      <x:c r="N612" s="7" t="n">
        <x:f>M612^2</x:f>
        <x:v>0.24500178170729695</x:v>
      </x:c>
      <x:c r="O612" s="7" t="n">
        <x:v>0</x:v>
      </x:c>
      <x:c r="P612" s="7" t="n">
        <x:v>-0.5</x:v>
      </x:c>
      <x:c r="Q612" s="7" t="n">
        <x:v>1.4340718660131646</x:v>
      </x:c>
      <x:c r="R612" s="7" t="n">
        <x:f>H612+I612*Q612</x:f>
        <x:v>1.5719580844545518</x:v>
      </x:c>
      <x:c r="S612" s="7" t="n">
        <x:f>R612-L612</x:f>
        <x:v>-0.42804191554544824</x:v>
      </x:c>
      <x:c r="T612" s="7" t="n">
        <x:f>K612-R612</x:f>
        <x:v>-0.06693463107802256</x:v>
      </x:c>
      <x:c r="U612" s="7" t="n">
        <x:f>M612-S612-T612</x:f>
        <x:v>0</x:v>
      </x:c>
    </x:row>
    <x:row r="613" ht="27" customHeight="1">
      <x:c r="A613" s="2"/>
      <x:c r="B613" s="2" t="str">
        <x:v>Baby, Feminine &amp; Family Care | organic_volume_growth | PCENDC96</x:v>
      </x:c>
      <x:c r="C613" s="2" t="str">
        <x:v>2026-03-31</x:v>
      </x:c>
      <x:c r="D613" s="2" t="str">
        <x:v>Two months</x:v>
      </x:c>
      <x:c r="E613" s="2" t="str">
        <x:v>2026-04-09</x:v>
      </x:c>
      <x:c r="F613" s="2" t="str">
        <x:v>Available-history choice</x:v>
      </x:c>
      <x:c r="G613" s="2" t="n">
        <x:v>16</x:v>
      </x:c>
      <x:c r="H613" s="7" t="n">
        <x:v>-2.684001104034804</x:v>
      </x:c>
      <x:c r="I613" s="7" t="n">
        <x:v>0.7696496580293124</x:v>
      </x:c>
      <x:c r="J613" s="7" t="n">
        <x:v>1.2714440995043708</x:v>
      </x:c>
      <x:c r="K613" s="7" t="n">
        <x:f>H613+I613*J613</x:f>
        <x:v>-1.7054345876478783</x:v>
      </x:c>
      <x:c r="L613" s="7" t="n">
        <x:v>3</x:v>
      </x:c>
      <x:c r="M613" s="7" t="n">
        <x:f>K613-L613</x:f>
        <x:v>-4.705434587647878</x:v>
      </x:c>
      <x:c r="N613" s="7" t="n">
        <x:f>M613^2</x:f>
        <x:v>22.141114658632958</x:v>
      </x:c>
      <x:c r="O613" s="7" t="n">
        <x:v>-5</x:v>
      </x:c>
      <x:c r="P613" s="7" t="n">
        <x:v>-1.75</x:v>
      </x:c>
      <x:c r="Q613" s="7" t="n">
        <x:v>1.294581864388955</x:v>
      </x:c>
      <x:c r="R613" s="7" t="n">
        <x:f>H613+I613*Q613</x:f>
        <x:v>-1.6876266148168952</x:v>
      </x:c>
      <x:c r="S613" s="7" t="n">
        <x:f>R613-L613</x:f>
        <x:v>-4.687626614816895</x:v>
      </x:c>
      <x:c r="T613" s="7" t="n">
        <x:f>K613-R613</x:f>
        <x:v>-0.01780797283098301</x:v>
      </x:c>
      <x:c r="U613" s="7" t="n">
        <x:f>M613-S613-T613</x:f>
        <x:v>-2.220446049250313e-16</x:v>
      </x:c>
    </x:row>
    <x:row r="614" ht="27" customHeight="1">
      <x:c r="A614" s="2"/>
      <x:c r="B614" s="2" t="str">
        <x:v>Beauty | organic_volume_growth | PCENDC96</x:v>
      </x:c>
      <x:c r="C614" s="2" t="str">
        <x:v>2026-03-31</x:v>
      </x:c>
      <x:c r="D614" s="2" t="str">
        <x:v>Two months</x:v>
      </x:c>
      <x:c r="E614" s="2" t="str">
        <x:v>2026-04-09</x:v>
      </x:c>
      <x:c r="F614" s="2" t="str">
        <x:v>Available-history choice</x:v>
      </x:c>
      <x:c r="G614" s="2" t="n">
        <x:v>16</x:v>
      </x:c>
      <x:c r="H614" s="7" t="n">
        <x:v>-0.9459287435257839</x:v>
      </x:c>
      <x:c r="I614" s="7" t="n">
        <x:v>0.6555203664562916</x:v>
      </x:c>
      <x:c r="J614" s="7" t="n">
        <x:v>1.2714440995043708</x:v>
      </x:c>
      <x:c r="K614" s="7" t="n">
        <x:f>H614+I614*J614</x:f>
        <x:v>-0.1124712414899891</x:v>
      </x:c>
      <x:c r="L614" s="7" t="n">
        <x:v>5</x:v>
      </x:c>
      <x:c r="M614" s="7" t="n">
        <x:f>K614-L614</x:f>
        <x:v>-5.112471241489989</x:v>
      </x:c>
      <x:c r="N614" s="7" t="n">
        <x:f>M614^2</x:f>
        <x:v>26.13736219506219</x:v>
      </x:c>
      <x:c r="O614" s="7" t="n">
        <x:v>3</x:v>
      </x:c>
      <x:c r="P614" s="7" t="n">
        <x:v>2.25</x:v>
      </x:c>
      <x:c r="Q614" s="7" t="n">
        <x:v>1.294581864388955</x:v>
      </x:c>
      <x:c r="R614" s="7" t="n">
        <x:f>H614+I614*Q614</x:f>
        <x:v>-0.09730396537386687</x:v>
      </x:c>
      <x:c r="S614" s="7" t="n">
        <x:f>R614-L614</x:f>
        <x:v>-5.097303965373867</x:v>
      </x:c>
      <x:c r="T614" s="7" t="n">
        <x:f>K614-R614</x:f>
        <x:v>-0.01516727611612223</x:v>
      </x:c>
      <x:c r="U614" s="7" t="n">
        <x:f>M614-S614-T614</x:f>
        <x:v>3.3306690738754696e-16</x:v>
      </x:c>
    </x:row>
    <x:row r="615" ht="27" customHeight="1">
      <x:c r="A615" s="2"/>
      <x:c r="B615" s="2" t="str">
        <x:v>Fabric &amp; Home Care | organic_volume_growth | PCENDC96</x:v>
      </x:c>
      <x:c r="C615" s="2" t="str">
        <x:v>2026-03-31</x:v>
      </x:c>
      <x:c r="D615" s="2" t="str">
        <x:v>Two months</x:v>
      </x:c>
      <x:c r="E615" s="2" t="str">
        <x:v>2026-04-09</x:v>
      </x:c>
      <x:c r="F615" s="2" t="str">
        <x:v>Available-history choice</x:v>
      </x:c>
      <x:c r="G615" s="2" t="n">
        <x:v>8</x:v>
      </x:c>
      <x:c r="H615" s="7" t="n">
        <x:v>2.6384346754690453</x:v>
      </x:c>
      <x:c r="I615" s="7" t="n">
        <x:v>-0.7591310455544314</x:v>
      </x:c>
      <x:c r="J615" s="7" t="n">
        <x:v>1.2714440995043708</x:v>
      </x:c>
      <x:c r="K615" s="7" t="n">
        <x:f>H615+I615*J615</x:f>
        <x:v>1.6732419868482797</x:v>
      </x:c>
      <x:c r="L615" s="7" t="n">
        <x:v>2</x:v>
      </x:c>
      <x:c r="M615" s="7" t="n">
        <x:f>K615-L615</x:f>
        <x:v>-0.32675801315172026</x:v>
      </x:c>
      <x:c r="N615" s="7" t="n">
        <x:f>M615^2</x:f>
        <x:v>0.10677079915885979</x:v>
      </x:c>
      <x:c r="O615" s="7" t="n">
        <x:v>0</x:v>
      </x:c>
      <x:c r="P615" s="7" t="n">
        <x:v>-0.5</x:v>
      </x:c>
      <x:c r="Q615" s="7" t="n">
        <x:v>1.294581864388955</x:v>
      </x:c>
      <x:c r="R615" s="7" t="n">
        <x:f>H615+I615*Q615</x:f>
        <x:v>1.6556773911996525</x:v>
      </x:c>
      <x:c r="S615" s="7" t="n">
        <x:f>R615-L615</x:f>
        <x:v>-0.3443226088003475</x:v>
      </x:c>
      <x:c r="T615" s="7" t="n">
        <x:f>K615-R615</x:f>
        <x:v>0.017564595648627224</x:v>
      </x:c>
      <x:c r="U615" s="7" t="n">
        <x:f>M615-S615-T615</x:f>
        <x:v>0</x:v>
      </x:c>
    </x:row>
    <x:row r="616" ht="27" customHeight="1">
      <x:c r="A616" s="2"/>
      <x:c r="B616" s="2" t="str">
        <x:v>Baby, Feminine &amp; Family Care | organic_volume_growth | PCENDC96</x:v>
      </x:c>
      <x:c r="C616" s="2" t="str">
        <x:v>2026-03-31</x:v>
      </x:c>
      <x:c r="D616" s="2" t="str">
        <x:v>Pre-earnings</x:v>
      </x:c>
      <x:c r="E616" s="2" t="str">
        <x:v>2026-04-23</x:v>
      </x:c>
      <x:c r="F616" s="2" t="str">
        <x:v>Available-history choice</x:v>
      </x:c>
      <x:c r="G616" s="2" t="n">
        <x:v>20</x:v>
      </x:c>
      <x:c r="H616" s="7" t="n">
        <x:v>-1.8106477340706817</x:v>
      </x:c>
      <x:c r="I616" s="7" t="n">
        <x:v>0.12161704139556496</x:v>
      </x:c>
      <x:c r="J616" s="7" t="n">
        <x:v>1.0108248062904224</x:v>
      </x:c>
      <x:c r="K616" s="7" t="n">
        <x:f>H616+I616*J616</x:f>
        <x:v>-1.6877142117603954</x:v>
      </x:c>
      <x:c r="L616" s="7" t="n">
        <x:v>3</x:v>
      </x:c>
      <x:c r="M616" s="7" t="n">
        <x:f>K616-L616</x:f>
        <x:v>-4.687714211760396</x:v>
      </x:c>
      <x:c r="N616" s="7" t="n">
        <x:f>M616^2</x:f>
        <x:v>21.974664531140387</x:v>
      </x:c>
      <x:c r="O616" s="7" t="n">
        <x:v>-5</x:v>
      </x:c>
      <x:c r="P616" s="7" t="n">
        <x:v>-1.75</x:v>
      </x:c>
      <x:c r="Q616" s="7" t="n">
        <x:v>1.294581864388955</x:v>
      </x:c>
      <x:c r="R616" s="7" t="n">
        <x:f>H616+I616*Q616</x:f>
        <x:v>-1.6532045178793424</x:v>
      </x:c>
      <x:c r="S616" s="7" t="n">
        <x:f>R616-L616</x:f>
        <x:v>-4.653204517879343</x:v>
      </x:c>
      <x:c r="T616" s="7" t="n">
        <x:f>K616-R616</x:f>
        <x:v>-0.03450969388105296</x:v>
      </x:c>
      <x:c r="U616" s="7" t="n">
        <x:f>M616-S616-T616</x:f>
        <x:v>0</x:v>
      </x:c>
    </x:row>
    <x:row r="617" ht="27" customHeight="1">
      <x:c r="A617" s="2"/>
      <x:c r="B617" s="2" t="str">
        <x:v>Beauty | organic_volume_growth | PCENDC96</x:v>
      </x:c>
      <x:c r="C617" s="2" t="str">
        <x:v>2026-03-31</x:v>
      </x:c>
      <x:c r="D617" s="2" t="str">
        <x:v>Pre-earnings</x:v>
      </x:c>
      <x:c r="E617" s="2" t="str">
        <x:v>2026-04-23</x:v>
      </x:c>
      <x:c r="F617" s="2" t="str">
        <x:v>Available-history choice</x:v>
      </x:c>
      <x:c r="G617" s="2" t="n">
        <x:v>20</x:v>
      </x:c>
      <x:c r="H617" s="7" t="n">
        <x:v>-0.3620349191083958</x:v>
      </x:c>
      <x:c r="I617" s="7" t="n">
        <x:v>0.20638941842942254</x:v>
      </x:c>
      <x:c r="J617" s="7" t="n">
        <x:v>1.0108248062904224</x:v>
      </x:c>
      <x:c r="K617" s="7" t="n">
        <x:f>H617+I617*J617</x:f>
        <x:v>-0.15341137520408182</x:v>
      </x:c>
      <x:c r="L617" s="7" t="n">
        <x:v>5</x:v>
      </x:c>
      <x:c r="M617" s="7" t="n">
        <x:f>K617-L617</x:f>
        <x:v>-5.153411375204082</x:v>
      </x:c>
      <x:c r="N617" s="7" t="n">
        <x:f>M617^2</x:f>
        <x:v>26.55764880208283</x:v>
      </x:c>
      <x:c r="O617" s="7" t="n">
        <x:v>3</x:v>
      </x:c>
      <x:c r="P617" s="7" t="n">
        <x:v>2.25</x:v>
      </x:c>
      <x:c r="Q617" s="7" t="n">
        <x:v>1.294581864388955</x:v>
      </x:c>
      <x:c r="R617" s="7" t="n">
        <x:f>H617+I617*Q617</x:f>
        <x:v>-0.09484692100788178</x:v>
      </x:c>
      <x:c r="S617" s="7" t="n">
        <x:f>R617-L617</x:f>
        <x:v>-5.094846921007882</x:v>
      </x:c>
      <x:c r="T617" s="7" t="n">
        <x:f>K617-R617</x:f>
        <x:v>-0.058564454196200044</x:v>
      </x:c>
      <x:c r="U617" s="7" t="n">
        <x:f>M617-S617-T617</x:f>
        <x:v>-2.220446049250313e-16</x:v>
      </x:c>
    </x:row>
    <x:row r="618" ht="27" customHeight="1">
      <x:c r="A618" s="2"/>
      <x:c r="B618" s="2" t="str">
        <x:v>Fabric &amp; Home Care | organic_volume_growth | PCENDC96</x:v>
      </x:c>
      <x:c r="C618" s="2" t="str">
        <x:v>2026-03-31</x:v>
      </x:c>
      <x:c r="D618" s="2" t="str">
        <x:v>Pre-earnings</x:v>
      </x:c>
      <x:c r="E618" s="2" t="str">
        <x:v>2026-04-23</x:v>
      </x:c>
      <x:c r="F618" s="2" t="str">
        <x:v>Available-history choice</x:v>
      </x:c>
      <x:c r="G618" s="2" t="n">
        <x:v>8</x:v>
      </x:c>
      <x:c r="H618" s="7" t="n">
        <x:v>2.6384346754690453</x:v>
      </x:c>
      <x:c r="I618" s="7" t="n">
        <x:v>-0.7591310455544314</x:v>
      </x:c>
      <x:c r="J618" s="7" t="n">
        <x:v>1.0108248062904224</x:v>
      </x:c>
      <x:c r="K618" s="7" t="n">
        <x:f>H618+I618*J618</x:f>
        <x:v>1.8710861833974413</x:v>
      </x:c>
      <x:c r="L618" s="7" t="n">
        <x:v>2</x:v>
      </x:c>
      <x:c r="M618" s="7" t="n">
        <x:f>K618-L618</x:f>
        <x:v>-0.12891381660255874</x:v>
      </x:c>
      <x:c r="N618" s="7" t="n">
        <x:f>M618^2</x:f>
        <x:v>0.016618772111038148</x:v>
      </x:c>
      <x:c r="O618" s="7" t="n">
        <x:v>0</x:v>
      </x:c>
      <x:c r="P618" s="7" t="n">
        <x:v>-0.5</x:v>
      </x:c>
      <x:c r="Q618" s="7" t="n">
        <x:v>1.294581864388955</x:v>
      </x:c>
      <x:c r="R618" s="7" t="n">
        <x:f>H618+I618*Q618</x:f>
        <x:v>1.6556773911996525</x:v>
      </x:c>
      <x:c r="S618" s="7" t="n">
        <x:f>R618-L618</x:f>
        <x:v>-0.3443226088003475</x:v>
      </x:c>
      <x:c r="T618" s="7" t="n">
        <x:f>K618-R618</x:f>
        <x:v>0.21540879219778875</x:v>
      </x:c>
      <x:c r="U618" s="7" t="n">
        <x:f>M618-S618-T618</x:f>
        <x:v>0</x:v>
      </x:c>
    </x:row>
    <x:row r="619" ht="27" customHeight="1">
      <x:c r="A619" s="2"/>
      <x:c r="B619" s="2" t="str">
        <x:v>Beauty | organic_sales_growth | RSHPCS</x:v>
      </x:c>
      <x:c r="C619" s="2" t="str">
        <x:v>2024-09-30</x:v>
      </x:c>
      <x:c r="D619" s="2" t="str">
        <x:v>Origin</x:v>
      </x:c>
      <x:c r="E619" s="2" t="str">
        <x:v>2024-07-01</x:v>
      </x:c>
      <x:c r="F619" s="2" t="str">
        <x:v>Available-history choice</x:v>
      </x:c>
      <x:c r="G619" s="2" t="n">
        <x:v>13</x:v>
      </x:c>
      <x:c r="H619" s="7" t="n">
        <x:v>3.0928816148137774</x:v>
      </x:c>
      <x:c r="I619" s="7" t="n">
        <x:v>0.15246246550170753</x:v>
      </x:c>
      <x:c r="J619" s="7" t="n">
        <x:v>-0.9057341839252775</x:v>
      </x:c>
      <x:c r="K619" s="7" t="n">
        <x:f>H619+I619*J619</x:f>
        <x:v>2.9547911480433524</x:v>
      </x:c>
      <x:c r="L619" s="7" t="n">
        <x:v>-2</x:v>
      </x:c>
      <x:c r="M619" s="7" t="n">
        <x:f>K619-L619</x:f>
        <x:v>4.954791148043352</x:v>
      </x:c>
      <x:c r="N619" s="7" t="n">
        <x:f>M619^2</x:f>
        <x:v>24.549955320728756</x:v>
      </x:c>
      <x:c r="O619" s="7" t="n">
        <x:v>3</x:v>
      </x:c>
      <x:c r="P619" s="7" t="n">
        <x:v>5</x:v>
      </x:c>
      <x:c r="Q619" s="7" t="n">
        <x:v>3.412725976566078</x:v>
      </x:c>
      <x:c r="R619" s="7" t="n">
        <x:f>H619+I619*Q619</x:f>
        <x:v>3.613194231282764</x:v>
      </x:c>
      <x:c r="S619" s="7" t="n">
        <x:f>R619-L619</x:f>
        <x:v>5.613194231282764</x:v>
      </x:c>
      <x:c r="T619" s="7" t="n">
        <x:f>K619-R619</x:f>
        <x:v>-0.6584030832394117</x:v>
      </x:c>
      <x:c r="U619" s="7" t="n">
        <x:f>M619-S619-T619</x:f>
        <x:v>0</x:v>
      </x:c>
    </x:row>
    <x:row r="620" ht="27" customHeight="1">
      <x:c r="A620" s="2"/>
      <x:c r="B620" s="2" t="str">
        <x:v>Beauty | organic_sales_growth | RSHPCS</x:v>
      </x:c>
      <x:c r="C620" s="2" t="str">
        <x:v>2024-09-30</x:v>
      </x:c>
      <x:c r="D620" s="2" t="str">
        <x:v>One month</x:v>
      </x:c>
      <x:c r="E620" s="2" t="str">
        <x:v>2024-08-15</x:v>
      </x:c>
      <x:c r="F620" s="2" t="str">
        <x:v>Available-history choice</x:v>
      </x:c>
      <x:c r="G620" s="2" t="n">
        <x:v>10</x:v>
      </x:c>
      <x:c r="H620" s="7" t="n">
        <x:v>1.7043114305123566</x:v>
      </x:c>
      <x:c r="I620" s="7" t="n">
        <x:v>0.4312640425658003</x:v>
      </x:c>
      <x:c r="J620" s="7" t="n">
        <x:v>2.3472851910034898</x:v>
      </x:c>
      <x:c r="K620" s="7" t="n">
        <x:f>H620+I620*J620</x:f>
        <x:v>2.7166111310393584</x:v>
      </x:c>
      <x:c r="L620" s="7" t="n">
        <x:v>-2</x:v>
      </x:c>
      <x:c r="M620" s="7" t="n">
        <x:f>K620-L620</x:f>
        <x:v>4.716611131039358</x:v>
      </x:c>
      <x:c r="N620" s="7" t="n">
        <x:f>M620^2</x:f>
        <x:v>22.246420561444374</x:v>
      </x:c>
      <x:c r="O620" s="7" t="n">
        <x:v>3</x:v>
      </x:c>
      <x:c r="P620" s="7" t="n">
        <x:v>3</x:v>
      </x:c>
      <x:c r="Q620" s="7" t="n">
        <x:v>3.5186913322720503</x:v>
      </x:c>
      <x:c r="R620" s="7" t="n">
        <x:f>H620+I620*Q620</x:f>
        <x:v>3.2217964790092424</x:v>
      </x:c>
      <x:c r="S620" s="7" t="n">
        <x:f>R620-L620</x:f>
        <x:v>5.221796479009242</x:v>
      </x:c>
      <x:c r="T620" s="7" t="n">
        <x:f>K620-R620</x:f>
        <x:v>-0.505185347969884</x:v>
      </x:c>
      <x:c r="U620" s="7" t="n">
        <x:f>M620-S620-T620</x:f>
        <x:v>0</x:v>
      </x:c>
    </x:row>
    <x:row r="621" ht="27" customHeight="1">
      <x:c r="A621" s="2"/>
      <x:c r="B621" s="2" t="str">
        <x:v>Beauty | organic_sales_growth | RSHPCS</x:v>
      </x:c>
      <x:c r="C621" s="2" t="str">
        <x:v>2024-09-30</x:v>
      </x:c>
      <x:c r="D621" s="2" t="str">
        <x:v>Two months</x:v>
      </x:c>
      <x:c r="E621" s="2" t="str">
        <x:v>2024-09-17</x:v>
      </x:c>
      <x:c r="F621" s="2" t="str">
        <x:v>Available-history choice</x:v>
      </x:c>
      <x:c r="G621" s="2" t="n">
        <x:v>10</x:v>
      </x:c>
      <x:c r="H621" s="7" t="n">
        <x:v>1.684901369103843</x:v>
      </x:c>
      <x:c r="I621" s="7" t="n">
        <x:v>0.4356634222131164</x:v>
      </x:c>
      <x:c r="J621" s="7" t="n">
        <x:v>3.827561416717651</x:v>
      </x:c>
      <x:c r="K621" s="7" t="n">
        <x:f>H621+I621*J621</x:f>
        <x:v>3.3524298746419388</x:v>
      </x:c>
      <x:c r="L621" s="7" t="n">
        <x:v>-2</x:v>
      </x:c>
      <x:c r="M621" s="7" t="n">
        <x:f>K621-L621</x:f>
        <x:v>5.352429874641938</x:v>
      </x:c>
      <x:c r="N621" s="7" t="n">
        <x:f>M621^2</x:f>
        <x:v>28.648505562959514</x:v>
      </x:c>
      <x:c r="O621" s="7" t="n">
        <x:v>3</x:v>
      </x:c>
      <x:c r="P621" s="7" t="n">
        <x:v>3</x:v>
      </x:c>
      <x:c r="Q621" s="7" t="n">
        <x:v>4.085410557184743</x:v>
      </x:c>
      <x:c r="R621" s="7" t="n">
        <x:f>H621+I621*Q621</x:f>
        <x:v>3.464765313592543</x:v>
      </x:c>
      <x:c r="S621" s="7" t="n">
        <x:f>R621-L621</x:f>
        <x:v>5.464765313592543</x:v>
      </x:c>
      <x:c r="T621" s="7" t="n">
        <x:f>K621-R621</x:f>
        <x:v>-0.11233543895060416</x:v>
      </x:c>
      <x:c r="U621" s="7" t="n">
        <x:f>M621-S621-T621</x:f>
        <x:v>-4.440892098500626e-16</x:v>
      </x:c>
    </x:row>
    <x:row r="622" ht="27" customHeight="1">
      <x:c r="A622" s="2"/>
      <x:c r="B622" s="2" t="str">
        <x:v>Beauty | organic_sales_growth | RSHPCS</x:v>
      </x:c>
      <x:c r="C622" s="2" t="str">
        <x:v>2024-09-30</x:v>
      </x:c>
      <x:c r="D622" s="2" t="str">
        <x:v>Pre-earnings</x:v>
      </x:c>
      <x:c r="E622" s="2" t="str">
        <x:v>2024-10-17</x:v>
      </x:c>
      <x:c r="F622" s="2" t="str">
        <x:v>Available-history choice</x:v>
      </x:c>
      <x:c r="G622" s="2" t="n">
        <x:v>14</x:v>
      </x:c>
      <x:c r="H622" s="7" t="n">
        <x:v>3.044840497374328</x:v>
      </x:c>
      <x:c r="I622" s="7" t="n">
        <x:v>0.1580468385365643</x:v>
      </x:c>
      <x:c r="J622" s="7" t="n">
        <x:v>4.273198477134077</x:v>
      </x:c>
      <x:c r="K622" s="7" t="n">
        <x:f>H622+I622*J622</x:f>
        <x:v>3.72020600712463</x:v>
      </x:c>
      <x:c r="L622" s="7" t="n">
        <x:v>-2</x:v>
      </x:c>
      <x:c r="M622" s="7" t="n">
        <x:f>K622-L622</x:f>
        <x:v>5.72020600712463</x:v>
      </x:c>
      <x:c r="N622" s="7" t="n">
        <x:f>M622^2</x:f>
        <x:v>32.7207567639447</x:v>
      </x:c>
      <x:c r="O622" s="7" t="n">
        <x:v>3</x:v>
      </x:c>
      <x:c r="P622" s="7" t="n">
        <x:v>3</x:v>
      </x:c>
      <x:c r="Q622" s="7" t="n">
        <x:v>4.273198477134077</x:v>
      </x:c>
      <x:c r="R622" s="7" t="n">
        <x:f>H622+I622*Q622</x:f>
        <x:v>3.72020600712463</x:v>
      </x:c>
      <x:c r="S622" s="7" t="n">
        <x:f>R622-L622</x:f>
        <x:v>5.72020600712463</x:v>
      </x:c>
      <x:c r="T622" s="7" t="n">
        <x:f>K622-R622</x:f>
        <x:v>0</x:v>
      </x:c>
      <x:c r="U622" s="7" t="n">
        <x:f>M622-S622-T622</x:f>
        <x:v>0</x:v>
      </x:c>
    </x:row>
    <x:row r="623" ht="27" customHeight="1">
      <x:c r="A623" s="2"/>
      <x:c r="B623" s="2" t="str">
        <x:v>Beauty | organic_sales_growth | RSHPCS</x:v>
      </x:c>
      <x:c r="C623" s="2" t="str">
        <x:v>2024-12-31</x:v>
      </x:c>
      <x:c r="D623" s="2" t="str">
        <x:v>Origin</x:v>
      </x:c>
      <x:c r="E623" s="2" t="str">
        <x:v>2024-10-01</x:v>
      </x:c>
      <x:c r="F623" s="2" t="str">
        <x:v>Available-history choice</x:v>
      </x:c>
      <x:c r="G623" s="2" t="n">
        <x:v>14</x:v>
      </x:c>
      <x:c r="H623" s="7" t="n">
        <x:v>3.0411878225134874</x:v>
      </x:c>
      <x:c r="I623" s="7" t="n">
        <x:v>0.15841282704797968</x:v>
      </x:c>
      <x:c r="J623" s="7" t="n">
        <x:v>1.3677689275082505</x:v>
      </x:c>
      <x:c r="K623" s="7" t="n">
        <x:f>H623+I623*J623</x:f>
        <x:v>3.2578599650684525</x:v>
      </x:c>
      <x:c r="L623" s="7" t="n">
        <x:v>2</x:v>
      </x:c>
      <x:c r="M623" s="7" t="n">
        <x:f>K623-L623</x:f>
        <x:v>1.2578599650684525</x:v>
      </x:c>
      <x:c r="N623" s="7" t="n">
        <x:f>M623^2</x:f>
        <x:v>1.5822116917220086</x:v>
      </x:c>
      <x:c r="O623" s="7" t="n">
        <x:v>3</x:v>
      </x:c>
      <x:c r="P623" s="7" t="n">
        <x:v>3</x:v>
      </x:c>
      <x:c r="Q623" s="7" t="n">
        <x:v>2.201839783302484</x:v>
      </x:c>
      <x:c r="R623" s="7" t="n">
        <x:f>H623+I623*Q623</x:f>
        <x:v>3.389987487293145</x:v>
      </x:c>
      <x:c r="S623" s="7" t="n">
        <x:f>R623-L623</x:f>
        <x:v>1.389987487293145</x:v>
      </x:c>
      <x:c r="T623" s="7" t="n">
        <x:f>K623-R623</x:f>
        <x:v>-0.13212752222469248</x:v>
      </x:c>
      <x:c r="U623" s="7" t="n">
        <x:f>M623-S623-T623</x:f>
        <x:v>0</x:v>
      </x:c>
    </x:row>
    <x:row r="624" ht="27" customHeight="1">
      <x:c r="A624" s="2"/>
      <x:c r="B624" s="2" t="str">
        <x:v>Beauty | organic_sales_growth | RSHPCS</x:v>
      </x:c>
      <x:c r="C624" s="2" t="str">
        <x:v>2024-12-31</x:v>
      </x:c>
      <x:c r="D624" s="2" t="str">
        <x:v>One month</x:v>
      </x:c>
      <x:c r="E624" s="2" t="str">
        <x:v>2024-11-15</x:v>
      </x:c>
      <x:c r="F624" s="2" t="str">
        <x:v>Available-history choice</x:v>
      </x:c>
      <x:c r="G624" s="2" t="n">
        <x:v>11</x:v>
      </x:c>
      <x:c r="H624" s="7" t="n">
        <x:v>0.8892262668317752</x:v>
      </x:c>
      <x:c r="I624" s="7" t="n">
        <x:v>0.49056444885143835</x:v>
      </x:c>
      <x:c r="J624" s="7" t="n">
        <x:v>2.827132020564882</x:v>
      </x:c>
      <x:c r="K624" s="7" t="n">
        <x:f>H624+I624*J624</x:f>
        <x:v>2.2761167283304395</x:v>
      </x:c>
      <x:c r="L624" s="7" t="n">
        <x:v>2</x:v>
      </x:c>
      <x:c r="M624" s="7" t="n">
        <x:f>K624-L624</x:f>
        <x:v>0.27611672833043954</x:v>
      </x:c>
      <x:c r="N624" s="7" t="n">
        <x:f>M624^2</x:f>
        <x:v>0.07624044766390575</x:v>
      </x:c>
      <x:c r="O624" s="7" t="n">
        <x:v>-2</x:v>
      </x:c>
      <x:c r="P624" s="7" t="n">
        <x:v>1.25</x:v>
      </x:c>
      <x:c r="Q624" s="7" t="n">
        <x:v>2.2356560309057194</x:v>
      </x:c>
      <x:c r="R624" s="7" t="n">
        <x:f>H624+I624*Q624</x:f>
        <x:v>1.9859596354544335</x:v>
      </x:c>
      <x:c r="S624" s="7" t="n">
        <x:f>R624-L624</x:f>
        <x:v>-0.014040364545566453</x:v>
      </x:c>
      <x:c r="T624" s="7" t="n">
        <x:f>K624-R624</x:f>
        <x:v>0.290157092876006</x:v>
      </x:c>
      <x:c r="U624" s="7" t="n">
        <x:f>M624-S624-T624</x:f>
        <x:v>0</x:v>
      </x:c>
    </x:row>
    <x:row r="625" ht="27" customHeight="1">
      <x:c r="A625" s="2"/>
      <x:c r="B625" s="2" t="str">
        <x:v>Beauty | organic_sales_growth | RSHPCS</x:v>
      </x:c>
      <x:c r="C625" s="2" t="str">
        <x:v>2024-12-31</x:v>
      </x:c>
      <x:c r="D625" s="2" t="str">
        <x:v>Two months</x:v>
      </x:c>
      <x:c r="E625" s="2" t="str">
        <x:v>2024-12-17</x:v>
      </x:c>
      <x:c r="F625" s="2" t="str">
        <x:v>Available-history choice</x:v>
      </x:c>
      <x:c r="G625" s="2" t="n">
        <x:v>11</x:v>
      </x:c>
      <x:c r="H625" s="7" t="n">
        <x:v>0.8443426378207364</x:v>
      </x:c>
      <x:c r="I625" s="7" t="n">
        <x:v>0.5002415345829347</x:v>
      </x:c>
      <x:c r="J625" s="7" t="n">
        <x:v>2.055617095783213</x:v>
      </x:c>
      <x:c r="K625" s="7" t="n">
        <x:f>H625+I625*J625</x:f>
        <x:v>1.8726476883302465</x:v>
      </x:c>
      <x:c r="L625" s="7" t="n">
        <x:v>2</x:v>
      </x:c>
      <x:c r="M625" s="7" t="n">
        <x:f>K625-L625</x:f>
        <x:v>-0.12735231166975347</x:v>
      </x:c>
      <x:c r="N625" s="7" t="n">
        <x:f>M625^2</x:f>
        <x:v>0.016218611287630025</x:v>
      </x:c>
      <x:c r="O625" s="7" t="n">
        <x:v>-2</x:v>
      </x:c>
      <x:c r="P625" s="7" t="n">
        <x:v>1.25</x:v>
      </x:c>
      <x:c r="Q625" s="7" t="n">
        <x:v>2.2326821716525336</x:v>
      </x:c>
      <x:c r="R625" s="7" t="n">
        <x:f>H625+I625*Q625</x:f>
        <x:v>1.9612229936041592</x:v>
      </x:c>
      <x:c r="S625" s="7" t="n">
        <x:f>R625-L625</x:f>
        <x:v>-0.03877700639584081</x:v>
      </x:c>
      <x:c r="T625" s="7" t="n">
        <x:f>K625-R625</x:f>
        <x:v>-0.08857530527391266</x:v>
      </x:c>
      <x:c r="U625" s="7" t="n">
        <x:f>M625-S625-T625</x:f>
        <x:v>0</x:v>
      </x:c>
    </x:row>
    <x:row r="626" ht="27" customHeight="1">
      <x:c r="A626" s="2"/>
      <x:c r="B626" s="2" t="str">
        <x:v>Beauty | organic_sales_growth | RSHPCS</x:v>
      </x:c>
      <x:c r="C626" s="2" t="str">
        <x:v>2024-12-31</x:v>
      </x:c>
      <x:c r="D626" s="2" t="str">
        <x:v>Pre-earnings</x:v>
      </x:c>
      <x:c r="E626" s="2" t="str">
        <x:v>2025-01-21</x:v>
      </x:c>
      <x:c r="F626" s="2" t="str">
        <x:v>Available-history choice</x:v>
      </x:c>
      <x:c r="G626" s="2" t="n">
        <x:v>15</x:v>
      </x:c>
      <x:c r="H626" s="7" t="n">
        <x:v>2.3710796383045762</x:v>
      </x:c>
      <x:c r="I626" s="7" t="n">
        <x:v>0.20406615214451806</x:v>
      </x:c>
      <x:c r="J626" s="7" t="n">
        <x:v>2.3264143847269825</x:v>
      </x:c>
      <x:c r="K626" s="7" t="n">
        <x:f>H626+I626*J626</x:f>
        <x:v>2.845822070089468</x:v>
      </x:c>
      <x:c r="L626" s="7" t="n">
        <x:v>2</x:v>
      </x:c>
      <x:c r="M626" s="7" t="n">
        <x:f>K626-L626</x:f>
        <x:v>0.8458220700894681</x:v>
      </x:c>
      <x:c r="N626" s="7" t="n">
        <x:f>M626^2</x:f>
        <x:v>0.7154149742504331</x:v>
      </x:c>
      <x:c r="O626" s="7" t="n">
        <x:v>-2</x:v>
      </x:c>
      <x:c r="P626" s="7" t="n">
        <x:v>1.25</x:v>
      </x:c>
      <x:c r="Q626" s="7" t="n">
        <x:v>2.3264143847269825</x:v>
      </x:c>
      <x:c r="R626" s="7" t="n">
        <x:f>H626+I626*Q626</x:f>
        <x:v>2.845822070089468</x:v>
      </x:c>
      <x:c r="S626" s="7" t="n">
        <x:f>R626-L626</x:f>
        <x:v>0.8458220700894681</x:v>
      </x:c>
      <x:c r="T626" s="7" t="n">
        <x:f>K626-R626</x:f>
        <x:v>0</x:v>
      </x:c>
      <x:c r="U626" s="7" t="n">
        <x:f>M626-S626-T626</x:f>
        <x:v>0</x:v>
      </x:c>
    </x:row>
    <x:row r="627" ht="27" customHeight="1">
      <x:c r="A627" s="2"/>
      <x:c r="B627" s="2" t="str">
        <x:v>Beauty | organic_sales_growth | RSHPCS</x:v>
      </x:c>
      <x:c r="C627" s="2" t="str">
        <x:v>2025-03-31</x:v>
      </x:c>
      <x:c r="D627" s="2" t="str">
        <x:v>Origin</x:v>
      </x:c>
      <x:c r="E627" s="2" t="str">
        <x:v>2025-01-01</x:v>
      </x:c>
      <x:c r="F627" s="2" t="str">
        <x:v>Available-history choice</x:v>
      </x:c>
      <x:c r="G627" s="2" t="n">
        <x:v>15</x:v>
      </x:c>
      <x:c r="H627" s="7" t="n">
        <x:v>2.3774467304403206</x:v>
      </x:c>
      <x:c r="I627" s="7" t="n">
        <x:v>0.20290665863832638</x:v>
      </x:c>
      <x:c r="J627" s="7" t="n">
        <x:v>5.243328389693902</x:v>
      </x:c>
      <x:c r="K627" s="7" t="n">
        <x:f>H627+I627*J627</x:f>
        <x:v>3.4413529741365867</x:v>
      </x:c>
      <x:c r="L627" s="7" t="n">
        <x:v>2</x:v>
      </x:c>
      <x:c r="M627" s="7" t="n">
        <x:f>K627-L627</x:f>
        <x:v>1.4413529741365867</x:v>
      </x:c>
      <x:c r="N627" s="7" t="n">
        <x:f>M627^2</x:f>
        <x:v>2.077498396052384</x:v>
      </x:c>
      <x:c r="O627" s="7" t="n">
        <x:v>-2</x:v>
      </x:c>
      <x:c r="P627" s="7" t="n">
        <x:v>1.25</x:v>
      </x:c>
      <x:c r="Q627" s="7" t="n">
        <x:v>6.552318137015578</x:v>
      </x:c>
      <x:c r="R627" s="7" t="n">
        <x:f>H627+I627*Q627</x:f>
        <x:v>3.7069557099574553</x:v>
      </x:c>
      <x:c r="S627" s="7" t="n">
        <x:f>R627-L627</x:f>
        <x:v>1.7069557099574553</x:v>
      </x:c>
      <x:c r="T627" s="7" t="n">
        <x:f>K627-R627</x:f>
        <x:v>-0.2656027358208686</x:v>
      </x:c>
      <x:c r="U627" s="7" t="n">
        <x:f>M627-S627-T627</x:f>
        <x:v>0</x:v>
      </x:c>
    </x:row>
    <x:row r="628" ht="27" customHeight="1">
      <x:c r="A628" s="2"/>
      <x:c r="B628" s="2" t="str">
        <x:v>Beauty | organic_sales_growth | RSHPCS</x:v>
      </x:c>
      <x:c r="C628" s="2" t="str">
        <x:v>2025-03-31</x:v>
      </x:c>
      <x:c r="D628" s="2" t="str">
        <x:v>One month</x:v>
      </x:c>
      <x:c r="E628" s="2" t="str">
        <x:v>2025-02-14</x:v>
      </x:c>
      <x:c r="F628" s="2" t="str">
        <x:v>Available-history choice</x:v>
      </x:c>
      <x:c r="G628" s="2" t="n">
        <x:v>12</x:v>
      </x:c>
      <x:c r="H628" s="7" t="n">
        <x:v>0.7051070047802481</x:v>
      </x:c>
      <x:c r="I628" s="7" t="n">
        <x:v>0.5261161858739635</x:v>
      </x:c>
      <x:c r="J628" s="7" t="n">
        <x:v>5.210575702378972</x:v>
      </x:c>
      <x:c r="K628" s="7" t="n">
        <x:f>H628+I628*J628</x:f>
        <x:v>3.446475219523421</x:v>
      </x:c>
      <x:c r="L628" s="7" t="n">
        <x:v>2</x:v>
      </x:c>
      <x:c r="M628" s="7" t="n">
        <x:f>K628-L628</x:f>
        <x:v>1.4464752195234212</x:v>
      </x:c>
      <x:c r="N628" s="7" t="n">
        <x:f>M628^2</x:f>
        <x:v>2.0922905606953295</x:v>
      </x:c>
      <x:c r="O628" s="7" t="n">
        <x:v>2</x:v>
      </x:c>
      <x:c r="P628" s="7" t="n">
        <x:v>1.5</x:v>
      </x:c>
      <x:c r="Q628" s="7" t="n">
        <x:v>6.410185645158317</x:v>
      </x:c>
      <x:c r="R628" s="7" t="n">
        <x:f>H628+I628*Q628</x:f>
        <x:v>4.077609427154973</x:v>
      </x:c>
      <x:c r="S628" s="7" t="n">
        <x:f>R628-L628</x:f>
        <x:v>2.0776094271549734</x:v>
      </x:c>
      <x:c r="T628" s="7" t="n">
        <x:f>K628-R628</x:f>
        <x:v>-0.6311342076315523</x:v>
      </x:c>
      <x:c r="U628" s="7" t="n">
        <x:f>M628-S628-T628</x:f>
        <x:v>0</x:v>
      </x:c>
    </x:row>
    <x:row r="629" ht="27" customHeight="1">
      <x:c r="A629" s="2"/>
      <x:c r="B629" s="2" t="str">
        <x:v>Beauty | organic_sales_growth | RSHPCS</x:v>
      </x:c>
      <x:c r="C629" s="2" t="str">
        <x:v>2025-03-31</x:v>
      </x:c>
      <x:c r="D629" s="2" t="str">
        <x:v>Two months</x:v>
      </x:c>
      <x:c r="E629" s="2" t="str">
        <x:v>2025-03-17</x:v>
      </x:c>
      <x:c r="F629" s="2" t="str">
        <x:v>Available-history choice</x:v>
      </x:c>
      <x:c r="G629" s="2" t="n">
        <x:v>12</x:v>
      </x:c>
      <x:c r="H629" s="7" t="n">
        <x:v>0.6734451038191187</x:v>
      </x:c>
      <x:c r="I629" s="7" t="n">
        <x:v>0.5304726622459847</x:v>
      </x:c>
      <x:c r="J629" s="7" t="n">
        <x:v>5.4432170461136575</x:v>
      </x:c>
      <x:c r="K629" s="7" t="n">
        <x:f>H629+I629*J629</x:f>
        <x:v>3.560922941453755</x:v>
      </x:c>
      <x:c r="L629" s="7" t="n">
        <x:v>2</x:v>
      </x:c>
      <x:c r="M629" s="7" t="n">
        <x:f>K629-L629</x:f>
        <x:v>1.560922941453755</x:v>
      </x:c>
      <x:c r="N629" s="7" t="n">
        <x:f>M629^2</x:f>
        <x:v>2.436480429156643</x:v>
      </x:c>
      <x:c r="O629" s="7" t="n">
        <x:v>2</x:v>
      </x:c>
      <x:c r="P629" s="7" t="n">
        <x:v>1.5</x:v>
      </x:c>
      <x:c r="Q629" s="7" t="n">
        <x:v>6.189670705473538</x:v>
      </x:c>
      <x:c r="R629" s="7" t="n">
        <x:f>H629+I629*Q629</x:f>
        <x:v>3.9568962013776483</x:v>
      </x:c>
      <x:c r="S629" s="7" t="n">
        <x:f>R629-L629</x:f>
        <x:v>1.9568962013776483</x:v>
      </x:c>
      <x:c r="T629" s="7" t="n">
        <x:f>K629-R629</x:f>
        <x:v>-0.3959732599238932</x:v>
      </x:c>
      <x:c r="U629" s="7" t="n">
        <x:f>M629-S629-T629</x:f>
        <x:v>0</x:v>
      </x:c>
    </x:row>
    <x:row r="630" ht="27" customHeight="1">
      <x:c r="A630" s="2"/>
      <x:c r="B630" s="2" t="str">
        <x:v>Beauty | organic_sales_growth | RSHPCS</x:v>
      </x:c>
      <x:c r="C630" s="2" t="str">
        <x:v>2025-03-31</x:v>
      </x:c>
      <x:c r="D630" s="2" t="str">
        <x:v>Pre-earnings</x:v>
      </x:c>
      <x:c r="E630" s="2" t="str">
        <x:v>2025-04-23</x:v>
      </x:c>
      <x:c r="F630" s="2" t="str">
        <x:v>Available-history choice</x:v>
      </x:c>
      <x:c r="G630" s="2" t="n">
        <x:v>16</x:v>
      </x:c>
      <x:c r="H630" s="7" t="n">
        <x:v>2.2149707533791574</x:v>
      </x:c>
      <x:c r="I630" s="7" t="n">
        <x:v>0.21951601562002576</x:v>
      </x:c>
      <x:c r="J630" s="7" t="n">
        <x:v>6.01973835207712</x:v>
      </x:c>
      <x:c r="K630" s="7" t="n">
        <x:f>H630+I630*J630</x:f>
        <x:v>3.5363997315021862</x:v>
      </x:c>
      <x:c r="L630" s="7" t="n">
        <x:v>2</x:v>
      </x:c>
      <x:c r="M630" s="7" t="n">
        <x:f>K630-L630</x:f>
        <x:v>1.5363997315021862</x:v>
      </x:c>
      <x:c r="N630" s="7" t="n">
        <x:f>M630^2</x:f>
        <x:v>2.36052413495999</x:v>
      </x:c>
      <x:c r="O630" s="7" t="n">
        <x:v>2</x:v>
      </x:c>
      <x:c r="P630" s="7" t="n">
        <x:v>1.5</x:v>
      </x:c>
      <x:c r="Q630" s="7" t="n">
        <x:v>6.01973835207712</x:v>
      </x:c>
      <x:c r="R630" s="7" t="n">
        <x:f>H630+I630*Q630</x:f>
        <x:v>3.5363997315021862</x:v>
      </x:c>
      <x:c r="S630" s="7" t="n">
        <x:f>R630-L630</x:f>
        <x:v>1.5363997315021862</x:v>
      </x:c>
      <x:c r="T630" s="7" t="n">
        <x:f>K630-R630</x:f>
        <x:v>0</x:v>
      </x:c>
      <x:c r="U630" s="7" t="n">
        <x:f>M630-S630-T630</x:f>
        <x:v>0</x:v>
      </x:c>
    </x:row>
    <x:row r="631" ht="27" customHeight="1">
      <x:c r="A631" s="2"/>
      <x:c r="B631" s="2" t="str">
        <x:v>Beauty | organic_sales_growth | RSHPCS</x:v>
      </x:c>
      <x:c r="C631" s="2" t="str">
        <x:v>2025-06-30</x:v>
      </x:c>
      <x:c r="D631" s="2" t="str">
        <x:v>Origin</x:v>
      </x:c>
      <x:c r="E631" s="2" t="str">
        <x:v>2025-04-01</x:v>
      </x:c>
      <x:c r="F631" s="2" t="str">
        <x:v>Available-history choice</x:v>
      </x:c>
      <x:c r="G631" s="2" t="n">
        <x:v>16</x:v>
      </x:c>
      <x:c r="H631" s="7" t="n">
        <x:v>2.2203419762536214</x:v>
      </x:c>
      <x:c r="I631" s="7" t="n">
        <x:v>0.2189494013543564</x:v>
      </x:c>
      <x:c r="J631" s="7" t="n">
        <x:v>5.637346509020302</x:v>
      </x:c>
      <x:c r="K631" s="7" t="n">
        <x:f>H631+I631*J631</x:f>
        <x:v>3.4546356196306878</x:v>
      </x:c>
      <x:c r="L631" s="7" t="n">
        <x:v>1</x:v>
      </x:c>
      <x:c r="M631" s="7" t="n">
        <x:f>K631-L631</x:f>
        <x:v>2.4546356196306878</x:v>
      </x:c>
      <x:c r="N631" s="7" t="n">
        <x:f>M631^2</x:f>
        <x:v>6.025236025159731</x:v>
      </x:c>
      <x:c r="O631" s="7" t="n">
        <x:v>2</x:v>
      </x:c>
      <x:c r="P631" s="7" t="n">
        <x:v>1.5</x:v>
      </x:c>
      <x:c r="Q631" s="7" t="n">
        <x:v>6.3967109401350974</x:v>
      </x:c>
      <x:c r="R631" s="7" t="n">
        <x:f>H631+I631*Q631</x:f>
        <x:v>3.6208980072330634</x:v>
      </x:c>
      <x:c r="S631" s="7" t="n">
        <x:f>R631-L631</x:f>
        <x:v>2.6208980072330634</x:v>
      </x:c>
      <x:c r="T631" s="7" t="n">
        <x:f>K631-R631</x:f>
        <x:v>-0.16626238760237566</x:v>
      </x:c>
      <x:c r="U631" s="7" t="n">
        <x:f>M631-S631-T631</x:f>
        <x:v>0</x:v>
      </x:c>
    </x:row>
    <x:row r="632" ht="27" customHeight="1">
      <x:c r="A632" s="2"/>
      <x:c r="B632" s="2" t="str">
        <x:v>Beauty | organic_sales_growth | RSHPCS</x:v>
      </x:c>
      <x:c r="C632" s="2" t="str">
        <x:v>2025-06-30</x:v>
      </x:c>
      <x:c r="D632" s="2" t="str">
        <x:v>One month</x:v>
      </x:c>
      <x:c r="E632" s="2" t="str">
        <x:v>2025-05-15</x:v>
      </x:c>
      <x:c r="F632" s="2" t="str">
        <x:v>Available-history choice</x:v>
      </x:c>
      <x:c r="G632" s="2" t="n">
        <x:v>13</x:v>
      </x:c>
      <x:c r="H632" s="7" t="n">
        <x:v>1.4703954323021362</x:v>
      </x:c>
      <x:c r="I632" s="7" t="n">
        <x:v>0.3281501422019703</x:v>
      </x:c>
      <x:c r="J632" s="7" t="n">
        <x:v>8.075846601545855</x:v>
      </x:c>
      <x:c r="K632" s="7" t="n">
        <x:f>H632+I632*J632</x:f>
        <x:v>4.120485643000707</x:v>
      </x:c>
      <x:c r="L632" s="7" t="n">
        <x:v>1</x:v>
      </x:c>
      <x:c r="M632" s="7" t="n">
        <x:f>K632-L632</x:f>
        <x:v>3.1204856430007073</x:v>
      </x:c>
      <x:c r="N632" s="7" t="n">
        <x:f>M632^2</x:f>
        <x:v>9.737430648173538</x:v>
      </x:c>
      <x:c r="O632" s="7" t="n">
        <x:v>2</x:v>
      </x:c>
      <x:c r="P632" s="7" t="n">
        <x:v>1.25</x:v>
      </x:c>
      <x:c r="Q632" s="7" t="n">
        <x:v>8.1666697558896</x:v>
      </x:c>
      <x:c r="R632" s="7" t="n">
        <x:f>H632+I632*Q632</x:f>
        <x:v>4.150289274013838</x:v>
      </x:c>
      <x:c r="S632" s="7" t="n">
        <x:f>R632-L632</x:f>
        <x:v>3.150289274013838</x:v>
      </x:c>
      <x:c r="T632" s="7" t="n">
        <x:f>K632-R632</x:f>
        <x:v>-0.029803631013130882</x:v>
      </x:c>
      <x:c r="U632" s="7" t="n">
        <x:f>M632-S632-T632</x:f>
        <x:v>0</x:v>
      </x:c>
    </x:row>
    <x:row r="633" ht="27" customHeight="1">
      <x:c r="A633" s="2"/>
      <x:c r="B633" s="2" t="str">
        <x:v>Beauty | organic_sales_growth | RSHPCS</x:v>
      </x:c>
      <x:c r="C633" s="2" t="str">
        <x:v>2025-06-30</x:v>
      </x:c>
      <x:c r="D633" s="2" t="str">
        <x:v>Two months</x:v>
      </x:c>
      <x:c r="E633" s="2" t="str">
        <x:v>2025-06-17</x:v>
      </x:c>
      <x:c r="F633" s="2" t="str">
        <x:v>Available-history choice</x:v>
      </x:c>
      <x:c r="G633" s="2" t="n">
        <x:v>13</x:v>
      </x:c>
      <x:c r="H633" s="7" t="n">
        <x:v>1.4751281114696664</x:v>
      </x:c>
      <x:c r="I633" s="7" t="n">
        <x:v>0.3271016981943543</x:v>
      </x:c>
      <x:c r="J633" s="7" t="n">
        <x:v>7.937831901465242</x:v>
      </x:c>
      <x:c r="K633" s="7" t="n">
        <x:f>H633+I633*J633</x:f>
        <x:v>4.071606406420267</x:v>
      </x:c>
      <x:c r="L633" s="7" t="n">
        <x:v>1</x:v>
      </x:c>
      <x:c r="M633" s="7" t="n">
        <x:f>K633-L633</x:f>
        <x:v>3.0716064064202673</x:v>
      </x:c>
      <x:c r="N633" s="7" t="n">
        <x:f>M633^2</x:f>
        <x:v>9.434765915962029</x:v>
      </x:c>
      <x:c r="O633" s="7" t="n">
        <x:v>2</x:v>
      </x:c>
      <x:c r="P633" s="7" t="n">
        <x:v>1.25</x:v>
      </x:c>
      <x:c r="Q633" s="7" t="n">
        <x:v>8.149136708649586</x:v>
      </x:c>
      <x:c r="R633" s="7" t="n">
        <x:f>H633+I633*Q633</x:f>
        <x:v>4.140724567686897</x:v>
      </x:c>
      <x:c r="S633" s="7" t="n">
        <x:f>R633-L633</x:f>
        <x:v>3.140724567686897</x:v>
      </x:c>
      <x:c r="T633" s="7" t="n">
        <x:f>K633-R633</x:f>
        <x:v>-0.06911816126662984</x:v>
      </x:c>
      <x:c r="U633" s="7" t="n">
        <x:f>M633-S633-T633</x:f>
        <x:v>0</x:v>
      </x:c>
    </x:row>
    <x:row r="634" ht="27" customHeight="1">
      <x:c r="A634" s="2"/>
      <x:c r="B634" s="2" t="str">
        <x:v>Beauty | organic_sales_growth | RSHPCS</x:v>
      </x:c>
      <x:c r="C634" s="2" t="str">
        <x:v>2025-06-30</x:v>
      </x:c>
      <x:c r="D634" s="2" t="str">
        <x:v>Pre-earnings</x:v>
      </x:c>
      <x:c r="E634" s="2" t="str">
        <x:v>2025-07-28</x:v>
      </x:c>
      <x:c r="F634" s="2" t="str">
        <x:v>Available-history choice</x:v>
      </x:c>
      <x:c r="G634" s="2" t="n">
        <x:v>17</x:v>
      </x:c>
      <x:c r="H634" s="7" t="n">
        <x:v>2.3830616924940227</x:v>
      </x:c>
      <x:c r="I634" s="7" t="n">
        <x:v>0.17256700553599075</x:v>
      </x:c>
      <x:c r="J634" s="7" t="n">
        <x:v>8.247422680412363</x:v>
      </x:c>
      <x:c r="K634" s="7" t="n">
        <x:f>H634+I634*J634</x:f>
        <x:v>3.8062947278423986</x:v>
      </x:c>
      <x:c r="L634" s="7" t="n">
        <x:v>1</x:v>
      </x:c>
      <x:c r="M634" s="7" t="n">
        <x:f>K634-L634</x:f>
        <x:v>2.8062947278423986</x:v>
      </x:c>
      <x:c r="N634" s="7" t="n">
        <x:f>M634^2</x:f>
        <x:v>7.875290099516042</x:v>
      </x:c>
      <x:c r="O634" s="7" t="n">
        <x:v>2</x:v>
      </x:c>
      <x:c r="P634" s="7" t="n">
        <x:v>1.25</x:v>
      </x:c>
      <x:c r="Q634" s="7" t="n">
        <x:v>8.247422680412363</x:v>
      </x:c>
      <x:c r="R634" s="7" t="n">
        <x:f>H634+I634*Q634</x:f>
        <x:v>3.8062947278423986</x:v>
      </x:c>
      <x:c r="S634" s="7" t="n">
        <x:f>R634-L634</x:f>
        <x:v>2.8062947278423986</x:v>
      </x:c>
      <x:c r="T634" s="7" t="n">
        <x:f>K634-R634</x:f>
        <x:v>0</x:v>
      </x:c>
      <x:c r="U634" s="7" t="n">
        <x:f>M634-S634-T634</x:f>
        <x:v>0</x:v>
      </x:c>
    </x:row>
    <x:row r="635" ht="27" customHeight="1">
      <x:c r="A635" s="2"/>
      <x:c r="B635" s="2" t="str">
        <x:v>Beauty | organic_sales_growth | RSHPCS</x:v>
      </x:c>
      <x:c r="C635" s="2" t="str">
        <x:v>2025-09-30</x:v>
      </x:c>
      <x:c r="D635" s="2" t="str">
        <x:v>Origin</x:v>
      </x:c>
      <x:c r="E635" s="2" t="str">
        <x:v>2025-07-01</x:v>
      </x:c>
      <x:c r="F635" s="2" t="str">
        <x:v>Available-history choice</x:v>
      </x:c>
      <x:c r="G635" s="2" t="n">
        <x:v>17</x:v>
      </x:c>
      <x:c r="H635" s="7" t="n">
        <x:v>2.381476192237818</x:v>
      </x:c>
      <x:c r="I635" s="7" t="n">
        <x:v>0.17276281378110395</x:v>
      </x:c>
      <x:c r="J635" s="7" t="n">
        <x:v>2.1613225925340984</x:v>
      </x:c>
      <x:c r="K635" s="7" t="n">
        <x:f>H635+I635*J635</x:f>
        <x:v>2.754872364812679</x:v>
      </x:c>
      <x:c r="L635" s="7" t="n">
        <x:v>6</x:v>
      </x:c>
      <x:c r="M635" s="7" t="n">
        <x:f>K635-L635</x:f>
        <x:v>-3.245127635187321</x:v>
      </x:c>
      <x:c r="N635" s="7" t="n">
        <x:f>M635^2</x:f>
        <x:v>10.530853368656455</x:v>
      </x:c>
      <x:c r="O635" s="7" t="n">
        <x:v>2</x:v>
      </x:c>
      <x:c r="P635" s="7" t="n">
        <x:v>1.25</x:v>
      </x:c>
      <x:c r="Q635" s="7" t="n">
        <x:v>5.199283946717204</x:v>
      </x:c>
      <x:c r="R635" s="7" t="n">
        <x:f>H635+I635*Q635</x:f>
        <x:v>3.279719116519605</x:v>
      </x:c>
      <x:c r="S635" s="7" t="n">
        <x:f>R635-L635</x:f>
        <x:v>-2.720280883480395</x:v>
      </x:c>
      <x:c r="T635" s="7" t="n">
        <x:f>K635-R635</x:f>
        <x:v>-0.5248467517069262</x:v>
      </x:c>
      <x:c r="U635" s="7" t="n">
        <x:f>M635-S635-T635</x:f>
        <x:v>0</x:v>
      </x:c>
    </x:row>
    <x:row r="636" ht="27" customHeight="1">
      <x:c r="A636" s="2"/>
      <x:c r="B636" s="2" t="str">
        <x:v>Beauty | organic_sales_growth | RSHPCS</x:v>
      </x:c>
      <x:c r="C636" s="2" t="str">
        <x:v>2025-09-30</x:v>
      </x:c>
      <x:c r="D636" s="2" t="str">
        <x:v>One month</x:v>
      </x:c>
      <x:c r="E636" s="2" t="str">
        <x:v>2025-08-15</x:v>
      </x:c>
      <x:c r="F636" s="2" t="str">
        <x:v>Available-history choice</x:v>
      </x:c>
      <x:c r="G636" s="2" t="n">
        <x:v>14</x:v>
      </x:c>
      <x:c r="H636" s="7" t="n">
        <x:v>1.8386865496570022</x:v>
      </x:c>
      <x:c r="I636" s="7" t="n">
        <x:v>0.21979101983971797</x:v>
      </x:c>
      <x:c r="J636" s="7" t="n">
        <x:v>4.533152909336935</x:v>
      </x:c>
      <x:c r="K636" s="7" t="n">
        <x:f>H636+I636*J636</x:f>
        <x:v>2.8350328506895517</x:v>
      </x:c>
      <x:c r="L636" s="7" t="n">
        <x:v>6</x:v>
      </x:c>
      <x:c r="M636" s="7" t="n">
        <x:f>K636-L636</x:f>
        <x:v>-3.1649671493104483</x:v>
      </x:c>
      <x:c r="N636" s="7" t="n">
        <x:f>M636^2</x:f>
        <x:v>10.017017056214305</x:v>
      </x:c>
      <x:c r="O636" s="7" t="n">
        <x:v>1</x:v>
      </x:c>
      <x:c r="P636" s="7" t="n">
        <x:v>0.75</x:v>
      </x:c>
      <x:c r="Q636" s="7" t="n">
        <x:v>5.339788763334097</x:v>
      </x:c>
      <x:c r="R636" s="7" t="n">
        <x:f>H636+I636*Q636</x:f>
        <x:v>3.0123241676788695</x:v>
      </x:c>
      <x:c r="S636" s="7" t="n">
        <x:f>R636-L636</x:f>
        <x:v>-2.9876758323211305</x:v>
      </x:c>
      <x:c r="T636" s="7" t="n">
        <x:f>K636-R636</x:f>
        <x:v>-0.17729131698931777</x:v>
      </x:c>
      <x:c r="U636" s="7" t="n">
        <x:f>M636-S636-T636</x:f>
        <x:v>0</x:v>
      </x:c>
    </x:row>
    <x:row r="637" ht="27" customHeight="1">
      <x:c r="A637" s="2"/>
      <x:c r="B637" s="2" t="str">
        <x:v>Beauty | organic_sales_growth | RSHPCS</x:v>
      </x:c>
      <x:c r="C637" s="2" t="str">
        <x:v>2025-09-30</x:v>
      </x:c>
      <x:c r="D637" s="2" t="str">
        <x:v>Two months</x:v>
      </x:c>
      <x:c r="E637" s="2" t="str">
        <x:v>2025-09-16</x:v>
      </x:c>
      <x:c r="F637" s="2" t="str">
        <x:v>Available-history choice</x:v>
      </x:c>
      <x:c r="G637" s="2" t="n">
        <x:v>14</x:v>
      </x:c>
      <x:c r="H637" s="7" t="n">
        <x:v>1.8413775129661356</x:v>
      </x:c>
      <x:c r="I637" s="7" t="n">
        <x:v>0.21926979980399497</x:v>
      </x:c>
      <x:c r="J637" s="7" t="n">
        <x:v>5.902288666144195</x:v>
      </x:c>
      <x:c r="K637" s="7" t="n">
        <x:f>H637+I637*J637</x:f>
        <x:v>3.1355711671769617</x:v>
      </x:c>
      <x:c r="L637" s="7" t="n">
        <x:v>6</x:v>
      </x:c>
      <x:c r="M637" s="7" t="n">
        <x:f>K637-L637</x:f>
        <x:v>-2.8644288328230383</x:v>
      </x:c>
      <x:c r="N637" s="7" t="n">
        <x:f>M637^2</x:f>
        <x:v>8.204952538307953</x:v>
      </x:c>
      <x:c r="O637" s="7" t="n">
        <x:v>1</x:v>
      </x:c>
      <x:c r="P637" s="7" t="n">
        <x:v>0.75</x:v>
      </x:c>
      <x:c r="Q637" s="7" t="n">
        <x:v>5.36439203556931</x:v>
      </x:c>
      <x:c r="R637" s="7" t="n">
        <x:f>H637+I637*Q637</x:f>
        <x:v>3.017626680675563</x:v>
      </x:c>
      <x:c r="S637" s="7" t="n">
        <x:f>R637-L637</x:f>
        <x:v>-2.982373319324437</x:v>
      </x:c>
      <x:c r="T637" s="7" t="n">
        <x:f>K637-R637</x:f>
        <x:v>0.11794448650139877</x:v>
      </x:c>
      <x:c r="U637" s="7" t="n">
        <x:f>M637-S637-T637</x:f>
        <x:v>0</x:v>
      </x:c>
    </x:row>
    <x:row r="638" ht="27" customHeight="1">
      <x:c r="A638" s="2"/>
      <x:c r="B638" s="2" t="str">
        <x:v>Beauty | organic_sales_growth | RSHPCS</x:v>
      </x:c>
      <x:c r="C638" s="2" t="str">
        <x:v>2025-09-30</x:v>
      </x:c>
      <x:c r="D638" s="2" t="str">
        <x:v>Pre-earnings</x:v>
      </x:c>
      <x:c r="E638" s="2" t="str">
        <x:v>2025-10-23</x:v>
      </x:c>
      <x:c r="F638" s="2" t="str">
        <x:v>Available-history choice</x:v>
      </x:c>
      <x:c r="G638" s="2" t="n">
        <x:v>18</x:v>
      </x:c>
      <x:c r="H638" s="7" t="n">
        <x:v>2.3904470592847953</x:v>
      </x:c>
      <x:c r="I638" s="7" t="n">
        <x:v>0.1463961123061077</x:v>
      </x:c>
      <x:c r="J638" s="7" t="n">
        <x:v>5.902288666144195</x:v>
      </x:c>
      <x:c r="K638" s="7" t="n">
        <x:f>H638+I638*J638</x:f>
        <x:v>3.2545191737167074</x:v>
      </x:c>
      <x:c r="L638" s="7" t="n">
        <x:v>6</x:v>
      </x:c>
      <x:c r="M638" s="7" t="n">
        <x:f>K638-L638</x:f>
        <x:v>-2.7454808262832926</x:v>
      </x:c>
      <x:c r="N638" s="7" t="n">
        <x:f>M638^2</x:f>
        <x:v>7.537664967489191</x:v>
      </x:c>
      <x:c r="O638" s="7" t="n">
        <x:v>1</x:v>
      </x:c>
      <x:c r="P638" s="7" t="n">
        <x:v>0.75</x:v>
      </x:c>
      <x:c r="Q638" s="7" t="n">
        <x:v>5.36439203556931</x:v>
      </x:c>
      <x:c r="R638" s="7" t="n">
        <x:f>H638+I638*Q638</x:f>
        <x:v>3.1757731981779895</x:v>
      </x:c>
      <x:c r="S638" s="7" t="n">
        <x:f>R638-L638</x:f>
        <x:v>-2.8242268018220105</x:v>
      </x:c>
      <x:c r="T638" s="7" t="n">
        <x:f>K638-R638</x:f>
        <x:v>0.07874597553871787</x:v>
      </x:c>
      <x:c r="U638" s="7" t="n">
        <x:f>M638-S638-T638</x:f>
        <x:v>0</x:v>
      </x:c>
    </x:row>
    <x:row r="639" ht="27" customHeight="1">
      <x:c r="A639" s="2"/>
      <x:c r="B639" s="2" t="str">
        <x:v>Beauty | organic_sales_growth | RSHPCS</x:v>
      </x:c>
      <x:c r="C639" s="2" t="str">
        <x:v>2025-12-31</x:v>
      </x:c>
      <x:c r="D639" s="2" t="str">
        <x:v>Origin</x:v>
      </x:c>
      <x:c r="E639" s="2" t="str">
        <x:v>2025-10-01</x:v>
      </x:c>
      <x:c r="F639" s="2" t="str">
        <x:v>Available-history choice</x:v>
      </x:c>
      <x:c r="G639" s="2" t="n">
        <x:v>18</x:v>
      </x:c>
      <x:c r="H639" s="7" t="n">
        <x:v>2.3904470592847953</x:v>
      </x:c>
      <x:c r="I639" s="7" t="n">
        <x:v>0.1463961123061077</x:v>
      </x:c>
      <x:c r="J639" s="7" t="n">
        <x:v>4.129018701407849</x:v>
      </x:c>
      <x:c r="K639" s="7" t="n">
        <x:f>H639+I639*J639</x:f>
        <x:v>2.9949193448101177</x:v>
      </x:c>
      <x:c r="L639" s="7" t="n">
        <x:v>4</x:v>
      </x:c>
      <x:c r="M639" s="7" t="n">
        <x:f>K639-L639</x:f>
        <x:v>-1.0050806551898823</x:v>
      </x:c>
      <x:c r="N639" s="7" t="n">
        <x:f>M639^2</x:f>
        <x:v>1.010187123436923</x:v>
      </x:c>
      <x:c r="O639" s="7" t="n">
        <x:v>1</x:v>
      </x:c>
      <x:c r="P639" s="7" t="n">
        <x:v>0.75</x:v>
      </x:c>
      <x:c r="Q639" s="7" t="n">
        <x:v>6.454437206696095</x:v>
      </x:c>
      <x:c r="R639" s="7" t="n">
        <x:f>H639+I639*Q639</x:f>
        <x:v>3.335351573468997</x:v>
      </x:c>
      <x:c r="S639" s="7" t="n">
        <x:f>R639-L639</x:f>
        <x:v>-0.6646484265310031</x:v>
      </x:c>
      <x:c r="T639" s="7" t="n">
        <x:f>K639-R639</x:f>
        <x:v>-0.34043222865887923</x:v>
      </x:c>
      <x:c r="U639" s="7" t="n">
        <x:f>M639-S639-T639</x:f>
        <x:v>0</x:v>
      </x:c>
    </x:row>
    <x:row r="640" ht="27" customHeight="1">
      <x:c r="A640" s="2"/>
      <x:c r="B640" s="2" t="str">
        <x:v>Beauty | organic_sales_growth | RSHPCS</x:v>
      </x:c>
      <x:c r="C640" s="2" t="str">
        <x:v>2025-12-31</x:v>
      </x:c>
      <x:c r="D640" s="2" t="str">
        <x:v>One month</x:v>
      </x:c>
      <x:c r="E640" s="2" t="str">
        <x:v>2025-12-16</x:v>
      </x:c>
      <x:c r="F640" s="2" t="str">
        <x:v>Available-history choice</x:v>
      </x:c>
      <x:c r="G640" s="2" t="n">
        <x:v>15</x:v>
      </x:c>
      <x:c r="H640" s="7" t="n">
        <x:v>1.840358489057606</x:v>
      </x:c>
      <x:c r="I640" s="7" t="n">
        <x:v>0.2523068591346078</x:v>
      </x:c>
      <x:c r="J640" s="7" t="n">
        <x:v>6.112103383063672</x:v>
      </x:c>
      <x:c r="K640" s="7" t="n">
        <x:f>H640+I640*J640</x:f>
        <x:v>3.3824840963444114</x:v>
      </x:c>
      <x:c r="L640" s="7" t="n">
        <x:v>4</x:v>
      </x:c>
      <x:c r="M640" s="7" t="n">
        <x:f>K640-L640</x:f>
        <x:v>-0.6175159036555886</x:v>
      </x:c>
      <x:c r="N640" s="7" t="n">
        <x:f>M640^2</x:f>
        <x:v>0.3813258912675782</x:v>
      </x:c>
      <x:c r="O640" s="7" t="n">
        <x:v>6</x:v>
      </x:c>
      <x:c r="P640" s="7" t="n">
        <x:v>2.75</x:v>
      </x:c>
      <x:c r="Q640" s="7" t="n">
        <x:v>6.454437206696095</x:v>
      </x:c>
      <x:c r="R640" s="7" t="n">
        <x:f>H640+I640*Q640</x:f>
        <x:v>3.468857268160649</x:v>
      </x:c>
      <x:c r="S640" s="7" t="n">
        <x:f>R640-L640</x:f>
        <x:v>-0.5311427318393509</x:v>
      </x:c>
      <x:c r="T640" s="7" t="n">
        <x:f>K640-R640</x:f>
        <x:v>-0.08637317181623771</x:v>
      </x:c>
      <x:c r="U640" s="7" t="n">
        <x:f>M640-S640-T640</x:f>
        <x:v>0</x:v>
      </x:c>
    </x:row>
    <x:row r="641" ht="27" customHeight="1">
      <x:c r="A641" s="2"/>
      <x:c r="B641" s="2" t="str">
        <x:v>Beauty | organic_sales_growth | RSHPCS</x:v>
      </x:c>
      <x:c r="C641" s="2" t="str">
        <x:v>2025-12-31</x:v>
      </x:c>
      <x:c r="D641" s="2" t="str">
        <x:v>Two months</x:v>
      </x:c>
      <x:c r="E641" s="2" t="str">
        <x:v>2026-01-14</x:v>
      </x:c>
      <x:c r="F641" s="2" t="str">
        <x:v>Available-history choice</x:v>
      </x:c>
      <x:c r="G641" s="2" t="n">
        <x:v>15</x:v>
      </x:c>
      <x:c r="H641" s="7" t="n">
        <x:v>1.8391643356173062</x:v>
      </x:c>
      <x:c r="I641" s="7" t="n">
        <x:v>0.25248643106441143</x:v>
      </x:c>
      <x:c r="J641" s="7" t="n">
        <x:v>6.383120720520252</x:v>
      </x:c>
      <x:c r="K641" s="7" t="n">
        <x:f>H641+I641*J641</x:f>
        <x:v>3.450815705394759</x:v>
      </x:c>
      <x:c r="L641" s="7" t="n">
        <x:v>4</x:v>
      </x:c>
      <x:c r="M641" s="7" t="n">
        <x:f>K641-L641</x:f>
        <x:v>-0.549184294605241</x:v>
      </x:c>
      <x:c r="N641" s="7" t="n">
        <x:f>M641^2</x:f>
        <x:v>0.30160338944105614</x:v>
      </x:c>
      <x:c r="O641" s="7" t="n">
        <x:v>6</x:v>
      </x:c>
      <x:c r="P641" s="7" t="n">
        <x:v>2.75</x:v>
      </x:c>
      <x:c r="Q641" s="7" t="n">
        <x:v>6.589971896094338</x:v>
      </x:c>
      <x:c r="R641" s="7" t="n">
        <x:f>H641+I641*Q641</x:f>
        <x:v>3.5030428204769377</x:v>
      </x:c>
      <x:c r="S641" s="7" t="n">
        <x:f>R641-L641</x:f>
        <x:v>-0.4969571795230623</x:v>
      </x:c>
      <x:c r="T641" s="7" t="n">
        <x:f>K641-R641</x:f>
        <x:v>-0.0522271150821787</x:v>
      </x:c>
      <x:c r="U641" s="7" t="n">
        <x:f>M641-S641-T641</x:f>
        <x:v>0</x:v>
      </x:c>
    </x:row>
    <x:row r="642" ht="27" customHeight="1">
      <x:c r="A642" s="2"/>
      <x:c r="B642" s="2" t="str">
        <x:v>Beauty | organic_sales_growth | RSHPCS</x:v>
      </x:c>
      <x:c r="C642" s="2" t="str">
        <x:v>2025-12-31</x:v>
      </x:c>
      <x:c r="D642" s="2" t="str">
        <x:v>Pre-earnings</x:v>
      </x:c>
      <x:c r="E642" s="2" t="str">
        <x:v>2026-01-22</x:v>
      </x:c>
      <x:c r="F642" s="2" t="str">
        <x:v>Available-history choice</x:v>
      </x:c>
      <x:c r="G642" s="2" t="n">
        <x:v>19</x:v>
      </x:c>
      <x:c r="H642" s="7" t="n">
        <x:v>2.500949651883116</x:v>
      </x:c>
      <x:c r="I642" s="7" t="n">
        <x:v>0.15124134392360636</x:v>
      </x:c>
      <x:c r="J642" s="7" t="n">
        <x:v>6.383120720520252</x:v>
      </x:c>
      <x:c r="K642" s="7" t="n">
        <x:f>H642+I642*J642</x:f>
        <x:v>3.466341408081217</x:v>
      </x:c>
      <x:c r="L642" s="7" t="n">
        <x:v>4</x:v>
      </x:c>
      <x:c r="M642" s="7" t="n">
        <x:f>K642-L642</x:f>
        <x:v>-0.5336585919187828</x:v>
      </x:c>
      <x:c r="N642" s="7" t="n">
        <x:f>M642^2</x:f>
        <x:v>0.284791492728738</x:v>
      </x:c>
      <x:c r="O642" s="7" t="n">
        <x:v>6</x:v>
      </x:c>
      <x:c r="P642" s="7" t="n">
        <x:v>2.75</x:v>
      </x:c>
      <x:c r="Q642" s="7" t="n">
        <x:v>6.589971896094338</x:v>
      </x:c>
      <x:c r="R642" s="7" t="n">
        <x:f>H642+I642*Q642</x:f>
        <x:v>3.4976258578672197</x:v>
      </x:c>
      <x:c r="S642" s="7" t="n">
        <x:f>R642-L642</x:f>
        <x:v>-0.5023741421327803</x:v>
      </x:c>
      <x:c r="T642" s="7" t="n">
        <x:f>K642-R642</x:f>
        <x:v>-0.03128444978600253</x:v>
      </x:c>
      <x:c r="U642" s="7" t="n">
        <x:f>M642-S642-T642</x:f>
        <x:v>0</x:v>
      </x:c>
    </x:row>
    <x:row r="643" ht="27" customHeight="1">
      <x:c r="A643" s="2"/>
      <x:c r="B643" s="2" t="str">
        <x:v>Beauty | organic_sales_growth | RSHPCS</x:v>
      </x:c>
      <x:c r="C643" s="2" t="str">
        <x:v>2026-03-31</x:v>
      </x:c>
      <x:c r="D643" s="2" t="str">
        <x:v>Origin</x:v>
      </x:c>
      <x:c r="E643" s="2" t="str">
        <x:v>2026-01-01</x:v>
      </x:c>
      <x:c r="F643" s="2" t="str">
        <x:v>Available-history choice</x:v>
      </x:c>
      <x:c r="G643" s="2" t="n">
        <x:v>19</x:v>
      </x:c>
      <x:c r="H643" s="7" t="n">
        <x:v>2.501497919744851</x:v>
      </x:c>
      <x:c r="I643" s="7" t="n">
        <x:v>0.15116925548975663</x:v>
      </x:c>
      <x:c r="J643" s="7" t="n">
        <x:v>5.368538192693562</x:v>
      </x:c>
      <x:c r="K643" s="7" t="n">
        <x:f>H643+I643*J643</x:f>
        <x:v>3.3130558414026603</x:v>
      </x:c>
      <x:c r="L643" s="7" t="n">
        <x:v>7</x:v>
      </x:c>
      <x:c r="M643" s="7" t="n">
        <x:f>K643-L643</x:f>
        <x:v>-3.6869441585973397</x:v>
      </x:c>
      <x:c r="N643" s="7" t="n">
        <x:f>M643^2</x:f>
        <x:v>13.593557228615046</x:v>
      </x:c>
      <x:c r="O643" s="7" t="n">
        <x:v>6</x:v>
      </x:c>
      <x:c r="P643" s="7" t="n">
        <x:v>2.75</x:v>
      </x:c>
      <x:c r="Q643" s="7" t="n">
        <x:v>3.133313626958323</x:v>
      </x:c>
      <x:c r="R643" s="7" t="n">
        <x:f>H643+I643*Q643</x:f>
        <x:v>2.9751586079480496</x:v>
      </x:c>
      <x:c r="S643" s="7" t="n">
        <x:f>R643-L643</x:f>
        <x:v>-4.02484139205195</x:v>
      </x:c>
      <x:c r="T643" s="7" t="n">
        <x:f>K643-R643</x:f>
        <x:v>0.33789723345461065</x:v>
      </x:c>
      <x:c r="U643" s="7" t="n">
        <x:f>M643-S643-T643</x:f>
        <x:v>0</x:v>
      </x:c>
    </x:row>
    <x:row r="644" ht="27" customHeight="1">
      <x:c r="A644" s="2"/>
      <x:c r="B644" s="2" t="str">
        <x:v>Beauty | organic_sales_growth | RSHPCS</x:v>
      </x:c>
      <x:c r="C644" s="2" t="str">
        <x:v>2026-03-31</x:v>
      </x:c>
      <x:c r="D644" s="2" t="str">
        <x:v>One month</x:v>
      </x:c>
      <x:c r="E644" s="2" t="str">
        <x:v>2026-03-06</x:v>
      </x:c>
      <x:c r="F644" s="2" t="str">
        <x:v>Available-history choice</x:v>
      </x:c>
      <x:c r="G644" s="2" t="n">
        <x:v>16</x:v>
      </x:c>
      <x:c r="H644" s="7" t="n">
        <x:v>1.9101269254441684</x:v>
      </x:c>
      <x:c r="I644" s="7" t="n">
        <x:v>0.24691270169268392</x:v>
      </x:c>
      <x:c r="J644" s="7" t="n">
        <x:v>1.1840782219756596</x:v>
      </x:c>
      <x:c r="K644" s="7" t="n">
        <x:f>H644+I644*J644</x:f>
        <x:v>2.202490878247648</x:v>
      </x:c>
      <x:c r="L644" s="7" t="n">
        <x:v>7</x:v>
      </x:c>
      <x:c r="M644" s="7" t="n">
        <x:f>K644-L644</x:f>
        <x:v>-4.797509121752352</x:v>
      </x:c>
      <x:c r="N644" s="7" t="n">
        <x:f>M644^2</x:f>
        <x:v>23.016093773297023</x:v>
      </x:c>
      <x:c r="O644" s="7" t="n">
        <x:v>4</x:v>
      </x:c>
      <x:c r="P644" s="7" t="n">
        <x:v>3.25</x:v>
      </x:c>
      <x:c r="Q644" s="7" t="n">
        <x:v>2.827571859505573</x:v>
      </x:c>
      <x:c r="R644" s="7" t="n">
        <x:f>H644+I644*Q644</x:f>
        <x:v>2.608290332504896</x:v>
      </x:c>
      <x:c r="S644" s="7" t="n">
        <x:f>R644-L644</x:f>
        <x:v>-4.391709667495104</x:v>
      </x:c>
      <x:c r="T644" s="7" t="n">
        <x:f>K644-R644</x:f>
        <x:v>-0.40579945425724784</x:v>
      </x:c>
      <x:c r="U644" s="7" t="n">
        <x:f>M644-S644-T644</x:f>
        <x:v>0</x:v>
      </x:c>
    </x:row>
    <x:row r="645" ht="27" customHeight="1">
      <x:c r="A645" s="2"/>
      <x:c r="B645" s="2" t="str">
        <x:v>Beauty | organic_sales_growth | RSHPCS</x:v>
      </x:c>
      <x:c r="C645" s="2" t="str">
        <x:v>2026-03-31</x:v>
      </x:c>
      <x:c r="D645" s="2" t="str">
        <x:v>Two months</x:v>
      </x:c>
      <x:c r="E645" s="2" t="str">
        <x:v>2026-04-01</x:v>
      </x:c>
      <x:c r="F645" s="2" t="str">
        <x:v>Available-history choice</x:v>
      </x:c>
      <x:c r="G645" s="2" t="n">
        <x:v>16</x:v>
      </x:c>
      <x:c r="H645" s="7" t="n">
        <x:v>1.935687076407091</x:v>
      </x:c>
      <x:c r="I645" s="7" t="n">
        <x:v>0.24174966373428922</x:v>
      </x:c>
      <x:c r="J645" s="7" t="n">
        <x:v>2.6224517155781557</x:v>
      </x:c>
      <x:c r="K645" s="7" t="n">
        <x:f>H645+I645*J645</x:f>
        <x:v>2.56966389680752</x:v>
      </x:c>
      <x:c r="L645" s="7" t="n">
        <x:v>7</x:v>
      </x:c>
      <x:c r="M645" s="7" t="n">
        <x:f>K645-L645</x:f>
        <x:v>-4.43033610319248</x:v>
      </x:c>
      <x:c r="N645" s="7" t="n">
        <x:f>M645^2</x:f>
        <x:v>19.627877987250727</x:v>
      </x:c>
      <x:c r="O645" s="7" t="n">
        <x:v>4</x:v>
      </x:c>
      <x:c r="P645" s="7" t="n">
        <x:v>3.25</x:v>
      </x:c>
      <x:c r="Q645" s="7" t="n">
        <x:v>2.6362905109110324</x:v>
      </x:c>
      <x:c r="R645" s="7" t="n">
        <x:f>H645+I645*Q645</x:f>
        <x:v>2.5730094209257306</x:v>
      </x:c>
      <x:c r="S645" s="7" t="n">
        <x:f>R645-L645</x:f>
        <x:v>-4.426990579074269</x:v>
      </x:c>
      <x:c r="T645" s="7" t="n">
        <x:f>K645-R645</x:f>
        <x:v>-0.003345524118210541</x:v>
      </x:c>
      <x:c r="U645" s="7" t="n">
        <x:f>M645-S645-T645</x:f>
        <x:v>0</x:v>
      </x:c>
    </x:row>
    <x:row r="646" ht="27" customHeight="1">
      <x:c r="A646" s="2"/>
      <x:c r="B646" s="2" t="str">
        <x:v>Beauty | organic_sales_growth | RSHPCS</x:v>
      </x:c>
      <x:c r="C646" s="2" t="str">
        <x:v>2026-03-31</x:v>
      </x:c>
      <x:c r="D646" s="2" t="str">
        <x:v>Pre-earnings</x:v>
      </x:c>
      <x:c r="E646" s="2" t="str">
        <x:v>2026-04-23</x:v>
      </x:c>
      <x:c r="F646" s="2" t="str">
        <x:v>Available-history choice</x:v>
      </x:c>
      <x:c r="G646" s="2" t="n">
        <x:v>20</x:v>
      </x:c>
      <x:c r="H646" s="7" t="n">
        <x:v>2.5711425839290016</x:v>
      </x:c>
      <x:c r="I646" s="7" t="n">
        <x:v>0.14425763148523038</x:v>
      </x:c>
      <x:c r="J646" s="7" t="n">
        <x:v>2.2175244833685603</x:v>
      </x:c>
      <x:c r="K646" s="7" t="n">
        <x:f>H646+I646*J646</x:f>
        <x:v>2.8910374136602592</x:v>
      </x:c>
      <x:c r="L646" s="7" t="n">
        <x:v>7</x:v>
      </x:c>
      <x:c r="M646" s="7" t="n">
        <x:f>K646-L646</x:f>
        <x:v>-4.108962586339741</x:v>
      </x:c>
      <x:c r="N646" s="7" t="n">
        <x:f>M646^2</x:f>
        <x:v>16.883573535939775</x:v>
      </x:c>
      <x:c r="O646" s="7" t="n">
        <x:v>4</x:v>
      </x:c>
      <x:c r="P646" s="7" t="n">
        <x:v>3.25</x:v>
      </x:c>
      <x:c r="Q646" s="7" t="n">
        <x:v>2.2175244833685603</x:v>
      </x:c>
      <x:c r="R646" s="7" t="n">
        <x:f>H646+I646*Q646</x:f>
        <x:v>2.8910374136602592</x:v>
      </x:c>
      <x:c r="S646" s="7" t="n">
        <x:f>R646-L646</x:f>
        <x:v>-4.108962586339741</x:v>
      </x:c>
      <x:c r="T646" s="7" t="n">
        <x:f>K646-R646</x:f>
        <x:v>0</x:v>
      </x:c>
      <x:c r="U646" s="7" t="n">
        <x:f>M646-S646-T646</x:f>
        <x:v>0</x:v>
      </x:c>
    </x:row>
    <x:row r="647" ht="27" customHeight="1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2"/>
      <x:c r="Q647" s="2"/>
      <x:c r="R647" s="2"/>
      <x:c r="S647" s="2"/>
      <x:c r="T647" s="2"/>
      <x:c r="U647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60" hidden="0" customWidth="1"/>
    <x:col min="3" max="3" width="20" hidden="0" customWidth="1"/>
    <x:col min="4" max="4" width="29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2"/>
      <x:c r="B2" s="3" t="str">
        <x:v>Same-sample accuracy | Lower is better</x:v>
      </x:c>
      <x:c r="C2" s="2"/>
      <x:c r="D2" s="2"/>
      <x:c r="E2" s="2"/>
      <x:c r="F2" s="2"/>
      <x:c r="G2" s="2"/>
      <x:c r="H2" s="2"/>
    </x:row>
    <x:row r="3" ht="27" customHeight="1">
      <x:c r="A3" s="2"/>
      <x:c r="B3" s="2"/>
      <x:c r="C3" s="2"/>
      <x:c r="D3" s="2"/>
      <x:c r="E3" s="2"/>
      <x:c r="F3" s="2"/>
      <x:c r="G3" s="2"/>
      <x:c r="H3" s="2"/>
    </x:row>
    <x:row r="4" ht="27" customHeight="1">
      <x:c r="A4" s="2"/>
      <x:c r="B4" s="2"/>
      <x:c r="C4" s="2"/>
      <x:c r="D4" s="2"/>
      <x:c r="E4" s="2"/>
      <x:c r="F4" s="2"/>
      <x:c r="G4" s="2"/>
      <x:c r="H4" s="2"/>
    </x:row>
    <x:row r="5" ht="46" customHeight="1">
      <x:c r="A5" s="2"/>
      <x:c r="B5" s="6" t="str">
        <x:v>P&amp;G measure / series</x:v>
      </x:c>
      <x:c r="C5" s="6" t="str">
        <x:v>Checkpoint</x:v>
      </x:c>
      <x:c r="D5" s="6" t="str">
        <x:v>Method</x:v>
      </x:c>
      <x:c r="E5" s="6" t="str">
        <x:v>Quarters</x:v>
      </x:c>
      <x:c r="F5" s="6" t="str">
        <x:v>RMSE pp</x:v>
      </x:c>
      <x:c r="G5" s="6" t="str">
        <x:v>Last actual RMSE</x:v>
      </x:c>
      <x:c r="H5" s="6" t="str">
        <x:v>4-qtr mean RMSE</x:v>
      </x:c>
    </x:row>
    <x:row r="6" ht="27" customHeight="1">
      <x:c r="A6" s="2"/>
      <x:c r="B6" s="2" t="str">
        <x:v>Baby, Feminine &amp; Family Care | organic_volume_growth | PCENDC96</x:v>
      </x:c>
      <x:c r="C6" s="2" t="str">
        <x:v>Origin</x:v>
      </x:c>
      <x:c r="D6" s="2" t="str">
        <x:v>YoY carry</x:v>
      </x:c>
      <x:c r="E6" s="2" t="n">
        <x:v>7</x:v>
      </x:c>
      <x:c r="F6" s="7" t="n">
        <x:f>SQRT(AVERAGE('Company tests'!N170,'Company tests'!N206,'Company tests'!N242,'Company tests'!N278,'Company tests'!N314,'Company tests'!N350,'Company tests'!N377))</x:f>
        <x:v>3.1907722569529775</x:v>
      </x:c>
      <x:c r="G6" s="7" t="n">
        <x:v>3.4641016151377544</x:v>
      </x:c>
      <x:c r="H6" s="7" t="n">
        <x:v>3.251373336211726</x:v>
      </x:c>
    </x:row>
    <x:row r="7" ht="27" customHeight="1">
      <x:c r="A7" s="2"/>
      <x:c r="B7" s="2" t="str">
        <x:v>Baby, Feminine &amp; Family Care | organic_volume_growth | PCENDC96</x:v>
      </x:c>
      <x:c r="C7" s="2" t="str">
        <x:v>Origin</x:v>
      </x:c>
      <x:c r="D7" s="2" t="str">
        <x:v>Flat level</x:v>
      </x:c>
      <x:c r="E7" s="2" t="n">
        <x:v>7</x:v>
      </x:c>
      <x:c r="F7" s="7" t="n">
        <x:f>SQRT(AVERAGE('Company tests'!N173,'Company tests'!N209,'Company tests'!N245,'Company tests'!N281,'Company tests'!N317,'Company tests'!N353,'Company tests'!N380))</x:f>
        <x:v>3.2464225467153005</x:v>
      </x:c>
      <x:c r="G7" s="7" t="n">
        <x:v>3.4641016151377544</x:v>
      </x:c>
      <x:c r="H7" s="7" t="n">
        <x:v>3.251373336211726</x:v>
      </x:c>
    </x:row>
    <x:row r="8" ht="27" customHeight="1">
      <x:c r="A8" s="2"/>
      <x:c r="B8" s="2" t="str">
        <x:v>Baby, Feminine &amp; Family Care | organic_volume_growth | PCENDC96</x:v>
      </x:c>
      <x:c r="C8" s="2" t="str">
        <x:v>Origin</x:v>
      </x:c>
      <x:c r="D8" s="2" t="str">
        <x:v>Recent trend</x:v>
      </x:c>
      <x:c r="E8" s="2" t="n">
        <x:v>7</x:v>
      </x:c>
      <x:c r="F8" s="7" t="n">
        <x:f>SQRT(AVERAGE('Company tests'!N176,'Company tests'!N212,'Company tests'!N248,'Company tests'!N284,'Company tests'!N320,'Company tests'!N356,'Company tests'!N383))</x:f>
        <x:v>3.234588681710772</x:v>
      </x:c>
      <x:c r="G8" s="7" t="n">
        <x:v>3.4641016151377544</x:v>
      </x:c>
      <x:c r="H8" s="7" t="n">
        <x:v>3.251373336211726</x:v>
      </x:c>
    </x:row>
    <x:row r="9" ht="27" customHeight="1">
      <x:c r="A9" s="2"/>
      <x:c r="B9" s="2" t="str">
        <x:v>Baby, Feminine &amp; Family Care | organic_volume_growth | PCENDC96</x:v>
      </x:c>
      <x:c r="C9" s="2" t="str">
        <x:v>Origin</x:v>
      </x:c>
      <x:c r="D9" s="2" t="str">
        <x:v>Available-history choice</x:v>
      </x:c>
      <x:c r="E9" s="2" t="n">
        <x:v>7</x:v>
      </x:c>
      <x:c r="F9" s="7" t="n">
        <x:f>SQRT(AVERAGE('Company tests'!N538,'Company tests'!N550,'Company tests'!N562,'Company tests'!N574,'Company tests'!N586,'Company tests'!N598,'Company tests'!N607))</x:f>
        <x:v>3.1907722569529775</x:v>
      </x:c>
      <x:c r="G9" s="7" t="n">
        <x:v>3.4641016151377544</x:v>
      </x:c>
      <x:c r="H9" s="7" t="n">
        <x:v>3.251373336211726</x:v>
      </x:c>
    </x:row>
    <x:row r="10" ht="27" customHeight="1">
      <x:c r="A10" s="2"/>
      <x:c r="B10" s="2" t="str">
        <x:v>Baby, Feminine &amp; Family Care | organic_volume_growth | PCENDC96</x:v>
      </x:c>
      <x:c r="C10" s="2" t="str">
        <x:v>One month</x:v>
      </x:c>
      <x:c r="D10" s="2" t="str">
        <x:v>YoY carry</x:v>
      </x:c>
      <x:c r="E10" s="2" t="n">
        <x:v>6</x:v>
      </x:c>
      <x:c r="F10" s="7" t="n">
        <x:f>SQRT(AVERAGE('Company tests'!N179,'Company tests'!N215,'Company tests'!N251,'Company tests'!N287,'Company tests'!N323,'Company tests'!N386))</x:f>
        <x:v>2.6541521279584908</x:v>
      </x:c>
      <x:c r="G10" s="7" t="n">
        <x:v>4.636809247747852</x:v>
      </x:c>
      <x:c r="H10" s="7" t="n">
        <x:v>3.1705020632911336</x:v>
      </x:c>
    </x:row>
    <x:row r="11" ht="27" customHeight="1">
      <x:c r="A11" s="2"/>
      <x:c r="B11" s="2" t="str">
        <x:v>Baby, Feminine &amp; Family Care | organic_volume_growth | PCENDC96</x:v>
      </x:c>
      <x:c r="C11" s="2" t="str">
        <x:v>One month</x:v>
      </x:c>
      <x:c r="D11" s="2" t="str">
        <x:v>Flat level</x:v>
      </x:c>
      <x:c r="E11" s="2" t="n">
        <x:v>6</x:v>
      </x:c>
      <x:c r="F11" s="7" t="n">
        <x:f>SQRT(AVERAGE('Company tests'!N182,'Company tests'!N218,'Company tests'!N254,'Company tests'!N290,'Company tests'!N326,'Company tests'!N389))</x:f>
        <x:v>2.8375118835327977</x:v>
      </x:c>
      <x:c r="G11" s="7" t="n">
        <x:v>4.636809247747852</x:v>
      </x:c>
      <x:c r="H11" s="7" t="n">
        <x:v>3.1705020632911336</x:v>
      </x:c>
    </x:row>
    <x:row r="12" ht="27" customHeight="1">
      <x:c r="A12" s="2"/>
      <x:c r="B12" s="2" t="str">
        <x:v>Baby, Feminine &amp; Family Care | organic_volume_growth | PCENDC96</x:v>
      </x:c>
      <x:c r="C12" s="2" t="str">
        <x:v>One month</x:v>
      </x:c>
      <x:c r="D12" s="2" t="str">
        <x:v>Recent trend</x:v>
      </x:c>
      <x:c r="E12" s="2" t="n">
        <x:v>6</x:v>
      </x:c>
      <x:c r="F12" s="7" t="n">
        <x:f>SQRT(AVERAGE('Company tests'!N185,'Company tests'!N221,'Company tests'!N257,'Company tests'!N293,'Company tests'!N329,'Company tests'!N392))</x:f>
        <x:v>2.7236591175590465</x:v>
      </x:c>
      <x:c r="G12" s="7" t="n">
        <x:v>4.636809247747852</x:v>
      </x:c>
      <x:c r="H12" s="7" t="n">
        <x:v>3.1705020632911336</x:v>
      </x:c>
    </x:row>
    <x:row r="13" ht="27" customHeight="1">
      <x:c r="A13" s="2"/>
      <x:c r="B13" s="2" t="str">
        <x:v>Baby, Feminine &amp; Family Care | organic_volume_growth | PCENDC96</x:v>
      </x:c>
      <x:c r="C13" s="2" t="str">
        <x:v>One month</x:v>
      </x:c>
      <x:c r="D13" s="2" t="str">
        <x:v>Available-history choice</x:v>
      </x:c>
      <x:c r="E13" s="2" t="n">
        <x:v>6</x:v>
      </x:c>
      <x:c r="F13" s="7" t="n">
        <x:f>SQRT(AVERAGE('Company tests'!N541,'Company tests'!N553,'Company tests'!N565,'Company tests'!N577,'Company tests'!N589,'Company tests'!N610))</x:f>
        <x:v>2.7594393590826334</x:v>
      </x:c>
      <x:c r="G13" s="7" t="n">
        <x:v>4.636809247747852</x:v>
      </x:c>
      <x:c r="H13" s="7" t="n">
        <x:v>3.1705020632911336</x:v>
      </x:c>
    </x:row>
    <x:row r="14" ht="27" customHeight="1">
      <x:c r="A14" s="2"/>
      <x:c r="B14" s="2" t="str">
        <x:v>Baby, Feminine &amp; Family Care | organic_volume_growth | PCENDC96</x:v>
      </x:c>
      <x:c r="C14" s="2" t="str">
        <x:v>Two months</x:v>
      </x:c>
      <x:c r="D14" s="2" t="str">
        <x:v>YoY carry</x:v>
      </x:c>
      <x:c r="E14" s="2" t="n">
        <x:v>7</x:v>
      </x:c>
      <x:c r="F14" s="7" t="n">
        <x:f>SQRT(AVERAGE('Company tests'!N188,'Company tests'!N224,'Company tests'!N260,'Company tests'!N296,'Company tests'!N332,'Company tests'!N368,'Company tests'!N395))</x:f>
        <x:v>3.017590579980004</x:v>
      </x:c>
      <x:c r="G14" s="7" t="n">
        <x:v>4.69041575982343</x:v>
      </x:c>
      <x:c r="H14" s="7" t="n">
        <x:v>3.59687364248454</x:v>
      </x:c>
    </x:row>
    <x:row r="15" ht="27" customHeight="1">
      <x:c r="A15" s="2"/>
      <x:c r="B15" s="2" t="str">
        <x:v>Baby, Feminine &amp; Family Care | organic_volume_growth | PCENDC96</x:v>
      </x:c>
      <x:c r="C15" s="2" t="str">
        <x:v>Two months</x:v>
      </x:c>
      <x:c r="D15" s="2" t="str">
        <x:v>Flat level</x:v>
      </x:c>
      <x:c r="E15" s="2" t="n">
        <x:v>7</x:v>
      </x:c>
      <x:c r="F15" s="7" t="n">
        <x:f>SQRT(AVERAGE('Company tests'!N191,'Company tests'!N227,'Company tests'!N263,'Company tests'!N299,'Company tests'!N335,'Company tests'!N371,'Company tests'!N398))</x:f>
        <x:v>3.0995301391662373</x:v>
      </x:c>
      <x:c r="G15" s="7" t="n">
        <x:v>4.69041575982343</x:v>
      </x:c>
      <x:c r="H15" s="7" t="n">
        <x:v>3.59687364248454</x:v>
      </x:c>
    </x:row>
    <x:row r="16" ht="27" customHeight="1">
      <x:c r="A16" s="2"/>
      <x:c r="B16" s="2" t="str">
        <x:v>Baby, Feminine &amp; Family Care | organic_volume_growth | PCENDC96</x:v>
      </x:c>
      <x:c r="C16" s="2" t="str">
        <x:v>Two months</x:v>
      </x:c>
      <x:c r="D16" s="2" t="str">
        <x:v>Recent trend</x:v>
      </x:c>
      <x:c r="E16" s="2" t="n">
        <x:v>7</x:v>
      </x:c>
      <x:c r="F16" s="7" t="n">
        <x:f>SQRT(AVERAGE('Company tests'!N194,'Company tests'!N230,'Company tests'!N266,'Company tests'!N302,'Company tests'!N338,'Company tests'!N374,'Company tests'!N401))</x:f>
        <x:v>3.1164129640439016</x:v>
      </x:c>
      <x:c r="G16" s="7" t="n">
        <x:v>4.69041575982343</x:v>
      </x:c>
      <x:c r="H16" s="7" t="n">
        <x:v>3.59687364248454</x:v>
      </x:c>
    </x:row>
    <x:row r="17" ht="27" customHeight="1">
      <x:c r="A17" s="2"/>
      <x:c r="B17" s="2" t="str">
        <x:v>Baby, Feminine &amp; Family Care | organic_volume_growth | PCENDC96</x:v>
      </x:c>
      <x:c r="C17" s="2" t="str">
        <x:v>Two months</x:v>
      </x:c>
      <x:c r="D17" s="2" t="str">
        <x:v>Available-history choice</x:v>
      </x:c>
      <x:c r="E17" s="2" t="n">
        <x:v>7</x:v>
      </x:c>
      <x:c r="F17" s="7" t="n">
        <x:f>SQRT(AVERAGE('Company tests'!N544,'Company tests'!N556,'Company tests'!N568,'Company tests'!N580,'Company tests'!N592,'Company tests'!N604,'Company tests'!N613))</x:f>
        <x:v>3.017590579980004</x:v>
      </x:c>
      <x:c r="G17" s="7" t="n">
        <x:v>4.69041575982343</x:v>
      </x:c>
      <x:c r="H17" s="7" t="n">
        <x:v>3.59687364248454</x:v>
      </x:c>
    </x:row>
    <x:row r="18" ht="27" customHeight="1">
      <x:c r="A18" s="2"/>
      <x:c r="B18" s="2" t="str">
        <x:v>Baby, Feminine &amp; Family Care | organic_volume_growth | PCENDC96</x:v>
      </x:c>
      <x:c r="C18" s="2" t="str">
        <x:v>Pre-earnings</x:v>
      </x:c>
      <x:c r="D18" s="2" t="str">
        <x:v>YoY carry</x:v>
      </x:c>
      <x:c r="E18" s="2" t="n">
        <x:v>7</x:v>
      </x:c>
      <x:c r="F18" s="7" t="n">
        <x:f>SQRT(AVERAGE('Company tests'!N197,'Company tests'!N233,'Company tests'!N269,'Company tests'!N305,'Company tests'!N341,'Company tests'!N359,'Company tests'!N404))</x:f>
        <x:v>3.252038126661567</x:v>
      </x:c>
      <x:c r="G18" s="7" t="n">
        <x:v>4.69041575982343</x:v>
      </x:c>
      <x:c r="H18" s="7" t="n">
        <x:v>3.59687364248454</x:v>
      </x:c>
    </x:row>
    <x:row r="19" ht="27" customHeight="1">
      <x:c r="A19" s="2"/>
      <x:c r="B19" s="2" t="str">
        <x:v>Baby, Feminine &amp; Family Care | organic_volume_growth | PCENDC96</x:v>
      </x:c>
      <x:c r="C19" s="2" t="str">
        <x:v>Pre-earnings</x:v>
      </x:c>
      <x:c r="D19" s="2" t="str">
        <x:v>Flat level</x:v>
      </x:c>
      <x:c r="E19" s="2" t="n">
        <x:v>7</x:v>
      </x:c>
      <x:c r="F19" s="7" t="n">
        <x:f>SQRT(AVERAGE('Company tests'!N200,'Company tests'!N236,'Company tests'!N272,'Company tests'!N308,'Company tests'!N344,'Company tests'!N362,'Company tests'!N407))</x:f>
        <x:v>3.2662935078950968</x:v>
      </x:c>
      <x:c r="G19" s="7" t="n">
        <x:v>4.69041575982343</x:v>
      </x:c>
      <x:c r="H19" s="7" t="n">
        <x:v>3.59687364248454</x:v>
      </x:c>
    </x:row>
    <x:row r="20" ht="27" customHeight="1">
      <x:c r="A20" s="2"/>
      <x:c r="B20" s="2" t="str">
        <x:v>Baby, Feminine &amp; Family Care | organic_volume_growth | PCENDC96</x:v>
      </x:c>
      <x:c r="C20" s="2" t="str">
        <x:v>Pre-earnings</x:v>
      </x:c>
      <x:c r="D20" s="2" t="str">
        <x:v>Recent trend</x:v>
      </x:c>
      <x:c r="E20" s="2" t="n">
        <x:v>7</x:v>
      </x:c>
      <x:c r="F20" s="7" t="n">
        <x:f>SQRT(AVERAGE('Company tests'!N203,'Company tests'!N239,'Company tests'!N275,'Company tests'!N311,'Company tests'!N347,'Company tests'!N365,'Company tests'!N410))</x:f>
        <x:v>3.2706169317847196</x:v>
      </x:c>
      <x:c r="G20" s="7" t="n">
        <x:v>4.69041575982343</x:v>
      </x:c>
      <x:c r="H20" s="7" t="n">
        <x:v>3.59687364248454</x:v>
      </x:c>
    </x:row>
    <x:row r="21" ht="27" customHeight="1">
      <x:c r="A21" s="2"/>
      <x:c r="B21" s="2" t="str">
        <x:v>Baby, Feminine &amp; Family Care | organic_volume_growth | PCENDC96</x:v>
      </x:c>
      <x:c r="C21" s="2" t="str">
        <x:v>Pre-earnings</x:v>
      </x:c>
      <x:c r="D21" s="2" t="str">
        <x:v>Available-history choice</x:v>
      </x:c>
      <x:c r="E21" s="2" t="n">
        <x:v>7</x:v>
      </x:c>
      <x:c r="F21" s="7" t="n">
        <x:f>SQRT(AVERAGE('Company tests'!N547,'Company tests'!N559,'Company tests'!N571,'Company tests'!N583,'Company tests'!N595,'Company tests'!N601,'Company tests'!N616))</x:f>
        <x:v>3.2585364907584635</x:v>
      </x:c>
      <x:c r="G21" s="7" t="n">
        <x:v>4.69041575982343</x:v>
      </x:c>
      <x:c r="H21" s="7" t="n">
        <x:v>3.59687364248454</x:v>
      </x:c>
    </x:row>
    <x:row r="22" ht="27" customHeight="1">
      <x:c r="A22" s="2"/>
      <x:c r="B22" s="2" t="str">
        <x:v>Beauty | organic_sales_growth | RSHPCS</x:v>
      </x:c>
      <x:c r="C22" s="2" t="str">
        <x:v>Origin</x:v>
      </x:c>
      <x:c r="D22" s="2" t="str">
        <x:v>YoY carry</x:v>
      </x:c>
      <x:c r="E22" s="2" t="n">
        <x:v>7</x:v>
      </x:c>
      <x:c r="F22" s="7" t="n">
        <x:f>SQRT(AVERAGE('Company tests'!N413,'Company tests'!N425,'Company tests'!N437,'Company tests'!N449,'Company tests'!N461,'Company tests'!N473,'Company tests'!N485))</x:f>
        <x:v>2.756425020124301</x:v>
      </x:c>
      <x:c r="G22" s="7" t="n">
        <x:v>3.1396087108337016</x:v>
      </x:c>
      <x:c r="H22" s="7" t="n">
        <x:v>3.8172540616821107</x:v>
      </x:c>
    </x:row>
    <x:row r="23" ht="27" customHeight="1">
      <x:c r="A23" s="2"/>
      <x:c r="B23" s="2" t="str">
        <x:v>Beauty | organic_sales_growth | RSHPCS</x:v>
      </x:c>
      <x:c r="C23" s="2" t="str">
        <x:v>Origin</x:v>
      </x:c>
      <x:c r="D23" s="2" t="str">
        <x:v>Flat level</x:v>
      </x:c>
      <x:c r="E23" s="2" t="n">
        <x:v>7</x:v>
      </x:c>
      <x:c r="F23" s="7" t="n">
        <x:f>SQRT(AVERAGE('Company tests'!N414,'Company tests'!N426,'Company tests'!N438,'Company tests'!N450,'Company tests'!N462,'Company tests'!N474,'Company tests'!N486))</x:f>
        <x:v>2.9122769480344832</x:v>
      </x:c>
      <x:c r="G23" s="7" t="n">
        <x:v>3.1396087108337016</x:v>
      </x:c>
      <x:c r="H23" s="7" t="n">
        <x:v>3.8172540616821107</x:v>
      </x:c>
    </x:row>
    <x:row r="24" ht="27" customHeight="1">
      <x:c r="A24" s="2"/>
      <x:c r="B24" s="2" t="str">
        <x:v>Beauty | organic_sales_growth | RSHPCS</x:v>
      </x:c>
      <x:c r="C24" s="2" t="str">
        <x:v>Origin</x:v>
      </x:c>
      <x:c r="D24" s="2" t="str">
        <x:v>Recent trend</x:v>
      </x:c>
      <x:c r="E24" s="2" t="n">
        <x:v>7</x:v>
      </x:c>
      <x:c r="F24" s="7" t="n">
        <x:f>SQRT(AVERAGE('Company tests'!N415,'Company tests'!N427,'Company tests'!N439,'Company tests'!N451,'Company tests'!N463,'Company tests'!N475,'Company tests'!N487))</x:f>
        <x:v>2.9249462509662236</x:v>
      </x:c>
      <x:c r="G24" s="7" t="n">
        <x:v>3.1396087108337016</x:v>
      </x:c>
      <x:c r="H24" s="7" t="n">
        <x:v>3.8172540616821107</x:v>
      </x:c>
    </x:row>
    <x:row r="25" ht="27" customHeight="1">
      <x:c r="A25" s="2"/>
      <x:c r="B25" s="2" t="str">
        <x:v>Beauty | organic_sales_growth | RSHPCS</x:v>
      </x:c>
      <x:c r="C25" s="2" t="str">
        <x:v>Origin</x:v>
      </x:c>
      <x:c r="D25" s="2" t="str">
        <x:v>Available-history choice</x:v>
      </x:c>
      <x:c r="E25" s="2" t="n">
        <x:v>7</x:v>
      </x:c>
      <x:c r="F25" s="7" t="n">
        <x:f>SQRT(AVERAGE('Company tests'!N619,'Company tests'!N623,'Company tests'!N627,'Company tests'!N631,'Company tests'!N635,'Company tests'!N639,'Company tests'!N643))</x:f>
        <x:v>2.9122769480344832</x:v>
      </x:c>
      <x:c r="G25" s="7" t="n">
        <x:v>3.1396087108337016</x:v>
      </x:c>
      <x:c r="H25" s="7" t="n">
        <x:v>3.8172540616821107</x:v>
      </x:c>
    </x:row>
    <x:row r="26" ht="27" customHeight="1">
      <x:c r="A26" s="2"/>
      <x:c r="B26" s="2" t="str">
        <x:v>Beauty | organic_sales_growth | RSHPCS</x:v>
      </x:c>
      <x:c r="C26" s="2" t="str">
        <x:v>One month</x:v>
      </x:c>
      <x:c r="D26" s="2" t="str">
        <x:v>YoY carry</x:v>
      </x:c>
      <x:c r="E26" s="2" t="n">
        <x:v>7</x:v>
      </x:c>
      <x:c r="F26" s="7" t="n">
        <x:f>SQRT(AVERAGE('Company tests'!N416,'Company tests'!N428,'Company tests'!N440,'Company tests'!N452,'Company tests'!N464,'Company tests'!N476,'Company tests'!N488))</x:f>
        <x:v>2.8625747455460884</x:v>
      </x:c>
      <x:c r="G26" s="7" t="n">
        <x:v>3.3806170189140663</x:v>
      </x:c>
      <x:c r="H26" s="7" t="n">
        <x:v>3.141030313220716</x:v>
      </x:c>
    </x:row>
    <x:row r="27" ht="27" customHeight="1">
      <x:c r="A27" s="2"/>
      <x:c r="B27" s="2" t="str">
        <x:v>Beauty | organic_sales_growth | RSHPCS</x:v>
      </x:c>
      <x:c r="C27" s="2" t="str">
        <x:v>One month</x:v>
      </x:c>
      <x:c r="D27" s="2" t="str">
        <x:v>Flat level</x:v>
      </x:c>
      <x:c r="E27" s="2" t="n">
        <x:v>7</x:v>
      </x:c>
      <x:c r="F27" s="7" t="n">
        <x:f>SQRT(AVERAGE('Company tests'!N417,'Company tests'!N429,'Company tests'!N441,'Company tests'!N453,'Company tests'!N465,'Company tests'!N477,'Company tests'!N489))</x:f>
        <x:v>3.0606449633452635</x:v>
      </x:c>
      <x:c r="G27" s="7" t="n">
        <x:v>3.3806170189140663</x:v>
      </x:c>
      <x:c r="H27" s="7" t="n">
        <x:v>3.141030313220716</x:v>
      </x:c>
    </x:row>
    <x:row r="28" ht="27" customHeight="1">
      <x:c r="A28" s="2"/>
      <x:c r="B28" s="2" t="str">
        <x:v>Beauty | organic_sales_growth | RSHPCS</x:v>
      </x:c>
      <x:c r="C28" s="2" t="str">
        <x:v>One month</x:v>
      </x:c>
      <x:c r="D28" s="2" t="str">
        <x:v>Recent trend</x:v>
      </x:c>
      <x:c r="E28" s="2" t="n">
        <x:v>7</x:v>
      </x:c>
      <x:c r="F28" s="7" t="n">
        <x:f>SQRT(AVERAGE('Company tests'!N418,'Company tests'!N430,'Company tests'!N442,'Company tests'!N454,'Company tests'!N466,'Company tests'!N478,'Company tests'!N490))</x:f>
        <x:v>3.2081668701868975</x:v>
      </x:c>
      <x:c r="G28" s="7" t="n">
        <x:v>3.3806170189140663</x:v>
      </x:c>
      <x:c r="H28" s="7" t="n">
        <x:v>3.141030313220716</x:v>
      </x:c>
    </x:row>
    <x:row r="29" ht="27" customHeight="1">
      <x:c r="A29" s="2"/>
      <x:c r="B29" s="2" t="str">
        <x:v>Beauty | organic_sales_growth | RSHPCS</x:v>
      </x:c>
      <x:c r="C29" s="2" t="str">
        <x:v>One month</x:v>
      </x:c>
      <x:c r="D29" s="2" t="str">
        <x:v>Available-history choice</x:v>
      </x:c>
      <x:c r="E29" s="2" t="n">
        <x:v>7</x:v>
      </x:c>
      <x:c r="F29" s="7" t="n">
        <x:f>SQRT(AVERAGE('Company tests'!N620,'Company tests'!N624,'Company tests'!N628,'Company tests'!N632,'Company tests'!N636,'Company tests'!N640,'Company tests'!N644))</x:f>
        <x:v>3.1068316184718765</x:v>
      </x:c>
      <x:c r="G29" s="7" t="n">
        <x:v>3.3806170189140663</x:v>
      </x:c>
      <x:c r="H29" s="7" t="n">
        <x:v>3.141030313220716</x:v>
      </x:c>
    </x:row>
    <x:row r="30" ht="27" customHeight="1">
      <x:c r="A30" s="2"/>
      <x:c r="B30" s="2" t="str">
        <x:v>Beauty | organic_sales_growth | RSHPCS</x:v>
      </x:c>
      <x:c r="C30" s="2" t="str">
        <x:v>Two months</x:v>
      </x:c>
      <x:c r="D30" s="2" t="str">
        <x:v>YoY carry</x:v>
      </x:c>
      <x:c r="E30" s="2" t="n">
        <x:v>7</x:v>
      </x:c>
      <x:c r="F30" s="7" t="n">
        <x:f>SQRT(AVERAGE('Company tests'!N419,'Company tests'!N431,'Company tests'!N443,'Company tests'!N455,'Company tests'!N467,'Company tests'!N479,'Company tests'!N491))</x:f>
        <x:v>3.121306470056601</x:v>
      </x:c>
      <x:c r="G30" s="7" t="n">
        <x:v>3.3806170189140663</x:v>
      </x:c>
      <x:c r="H30" s="7" t="n">
        <x:v>3.141030313220716</x:v>
      </x:c>
    </x:row>
    <x:row r="31" ht="27" customHeight="1">
      <x:c r="A31" s="2"/>
      <x:c r="B31" s="2" t="str">
        <x:v>Beauty | organic_sales_growth | RSHPCS</x:v>
      </x:c>
      <x:c r="C31" s="2" t="str">
        <x:v>Two months</x:v>
      </x:c>
      <x:c r="D31" s="2" t="str">
        <x:v>Flat level</x:v>
      </x:c>
      <x:c r="E31" s="2" t="n">
        <x:v>7</x:v>
      </x:c>
      <x:c r="F31" s="7" t="n">
        <x:f>SQRT(AVERAGE('Company tests'!N420,'Company tests'!N432,'Company tests'!N444,'Company tests'!N456,'Company tests'!N468,'Company tests'!N480,'Company tests'!N492))</x:f>
        <x:v>3.174504197660757</x:v>
      </x:c>
      <x:c r="G31" s="7" t="n">
        <x:v>3.3806170189140663</x:v>
      </x:c>
      <x:c r="H31" s="7" t="n">
        <x:v>3.141030313220716</x:v>
      </x:c>
    </x:row>
    <x:row r="32" ht="27" customHeight="1">
      <x:c r="A32" s="2"/>
      <x:c r="B32" s="2" t="str">
        <x:v>Beauty | organic_sales_growth | RSHPCS</x:v>
      </x:c>
      <x:c r="C32" s="2" t="str">
        <x:v>Two months</x:v>
      </x:c>
      <x:c r="D32" s="2" t="str">
        <x:v>Recent trend</x:v>
      </x:c>
      <x:c r="E32" s="2" t="n">
        <x:v>7</x:v>
      </x:c>
      <x:c r="F32" s="7" t="n">
        <x:f>SQRT(AVERAGE('Company tests'!N421,'Company tests'!N433,'Company tests'!N445,'Company tests'!N457,'Company tests'!N469,'Company tests'!N481,'Company tests'!N493))</x:f>
        <x:v>3.221865742207196</x:v>
      </x:c>
      <x:c r="G32" s="7" t="n">
        <x:v>3.3806170189140663</x:v>
      </x:c>
      <x:c r="H32" s="7" t="n">
        <x:v>3.141030313220716</x:v>
      </x:c>
    </x:row>
    <x:row r="33" ht="27" customHeight="1">
      <x:c r="A33" s="2"/>
      <x:c r="B33" s="2" t="str">
        <x:v>Beauty | organic_sales_growth | RSHPCS</x:v>
      </x:c>
      <x:c r="C33" s="2" t="str">
        <x:v>Two months</x:v>
      </x:c>
      <x:c r="D33" s="2" t="str">
        <x:v>Available-history choice</x:v>
      </x:c>
      <x:c r="E33" s="2" t="n">
        <x:v>7</x:v>
      </x:c>
      <x:c r="F33" s="7" t="n">
        <x:f>SQRT(AVERAGE('Company tests'!N621,'Company tests'!N625,'Company tests'!N629,'Company tests'!N633,'Company tests'!N637,'Company tests'!N641,'Company tests'!N645))</x:f>
        <x:v>3.132101175942108</x:v>
      </x:c>
      <x:c r="G33" s="7" t="n">
        <x:v>3.3806170189140663</x:v>
      </x:c>
      <x:c r="H33" s="7" t="n">
        <x:v>3.141030313220716</x:v>
      </x:c>
    </x:row>
    <x:row r="34" ht="27" customHeight="1">
      <x:c r="A34" s="2"/>
      <x:c r="B34" s="2" t="str">
        <x:v>Beauty | organic_sales_growth | RSHPCS</x:v>
      </x:c>
      <x:c r="C34" s="2" t="str">
        <x:v>Pre-earnings</x:v>
      </x:c>
      <x:c r="D34" s="2" t="str">
        <x:v>YoY carry</x:v>
      </x:c>
      <x:c r="E34" s="2" t="n">
        <x:v>7</x:v>
      </x:c>
      <x:c r="F34" s="7" t="n">
        <x:f>SQRT(AVERAGE('Company tests'!N422,'Company tests'!N434,'Company tests'!N446,'Company tests'!N458,'Company tests'!N470,'Company tests'!N482,'Company tests'!N494))</x:f>
        <x:v>3.1254260502445073</x:v>
      </x:c>
      <x:c r="G34" s="7" t="n">
        <x:v>3.3806170189140663</x:v>
      </x:c>
      <x:c r="H34" s="7" t="n">
        <x:v>3.141030313220716</x:v>
      </x:c>
    </x:row>
    <x:row r="35" ht="27" customHeight="1">
      <x:c r="A35" s="2"/>
      <x:c r="B35" s="2" t="str">
        <x:v>Beauty | organic_sales_growth | RSHPCS</x:v>
      </x:c>
      <x:c r="C35" s="2" t="str">
        <x:v>Pre-earnings</x:v>
      </x:c>
      <x:c r="D35" s="2" t="str">
        <x:v>Flat level</x:v>
      </x:c>
      <x:c r="E35" s="2" t="n">
        <x:v>7</x:v>
      </x:c>
      <x:c r="F35" s="7" t="n">
        <x:f>SQRT(AVERAGE('Company tests'!N423,'Company tests'!N435,'Company tests'!N447,'Company tests'!N459,'Company tests'!N471,'Company tests'!N483,'Company tests'!N495))</x:f>
        <x:v>3.150064504446287</x:v>
      </x:c>
      <x:c r="G35" s="7" t="n">
        <x:v>3.3806170189140663</x:v>
      </x:c>
      <x:c r="H35" s="7" t="n">
        <x:v>3.141030313220716</x:v>
      </x:c>
    </x:row>
    <x:row r="36" ht="27" customHeight="1">
      <x:c r="A36" s="2"/>
      <x:c r="B36" s="2" t="str">
        <x:v>Beauty | organic_sales_growth | RSHPCS</x:v>
      </x:c>
      <x:c r="C36" s="2" t="str">
        <x:v>Pre-earnings</x:v>
      </x:c>
      <x:c r="D36" s="2" t="str">
        <x:v>Recent trend</x:v>
      </x:c>
      <x:c r="E36" s="2" t="n">
        <x:v>7</x:v>
      </x:c>
      <x:c r="F36" s="7" t="n">
        <x:f>SQRT(AVERAGE('Company tests'!N424,'Company tests'!N436,'Company tests'!N448,'Company tests'!N460,'Company tests'!N472,'Company tests'!N484,'Company tests'!N496))</x:f>
        <x:v>3.148917249664924</x:v>
      </x:c>
      <x:c r="G36" s="7" t="n">
        <x:v>3.3806170189140663</x:v>
      </x:c>
      <x:c r="H36" s="7" t="n">
        <x:v>3.141030313220716</x:v>
      </x:c>
    </x:row>
    <x:row r="37" ht="27" customHeight="1">
      <x:c r="A37" s="2"/>
      <x:c r="B37" s="2" t="str">
        <x:v>Beauty | organic_sales_growth | RSHPCS</x:v>
      </x:c>
      <x:c r="C37" s="2" t="str">
        <x:v>Pre-earnings</x:v>
      </x:c>
      <x:c r="D37" s="2" t="str">
        <x:v>Available-history choice</x:v>
      </x:c>
      <x:c r="E37" s="2" t="n">
        <x:v>7</x:v>
      </x:c>
      <x:c r="F37" s="7" t="n">
        <x:f>SQRT(AVERAGE('Company tests'!N622,'Company tests'!N626,'Company tests'!N630,'Company tests'!N634,'Company tests'!N638,'Company tests'!N642,'Company tests'!N646))</x:f>
        <x:v>3.1254260502445073</x:v>
      </x:c>
      <x:c r="G37" s="7" t="n">
        <x:v>3.3806170189140663</x:v>
      </x:c>
      <x:c r="H37" s="7" t="n">
        <x:v>3.141030313220716</x:v>
      </x:c>
    </x:row>
    <x:row r="38" ht="27" customHeight="1">
      <x:c r="A38" s="2"/>
      <x:c r="B38" s="2" t="str">
        <x:v>Beauty | organic_volume_growth | PCENDC96</x:v>
      </x:c>
      <x:c r="C38" s="2" t="str">
        <x:v>Origin</x:v>
      </x:c>
      <x:c r="D38" s="2" t="str">
        <x:v>YoY carry</x:v>
      </x:c>
      <x:c r="E38" s="2" t="n">
        <x:v>7</x:v>
      </x:c>
      <x:c r="F38" s="7" t="n">
        <x:f>SQRT(AVERAGE('Company tests'!N171,'Company tests'!N207,'Company tests'!N243,'Company tests'!N279,'Company tests'!N315,'Company tests'!N351,'Company tests'!N378))</x:f>
        <x:v>2.808834512665404</x:v>
      </x:c>
      <x:c r="G38" s="7" t="n">
        <x:v>1.6035674514745464</x:v>
      </x:c>
      <x:c r="H38" s="7" t="n">
        <x:v>2.127624429800926</x:v>
      </x:c>
    </x:row>
    <x:row r="39" ht="27" customHeight="1">
      <x:c r="A39" s="2"/>
      <x:c r="B39" s="2" t="str">
        <x:v>Beauty | organic_volume_growth | PCENDC96</x:v>
      </x:c>
      <x:c r="C39" s="2" t="str">
        <x:v>Origin</x:v>
      </x:c>
      <x:c r="D39" s="2" t="str">
        <x:v>Flat level</x:v>
      </x:c>
      <x:c r="E39" s="2" t="n">
        <x:v>7</x:v>
      </x:c>
      <x:c r="F39" s="7" t="n">
        <x:f>SQRT(AVERAGE('Company tests'!N174,'Company tests'!N210,'Company tests'!N246,'Company tests'!N282,'Company tests'!N318,'Company tests'!N354,'Company tests'!N381))</x:f>
        <x:v>3.0129724388877417</x:v>
      </x:c>
      <x:c r="G39" s="7" t="n">
        <x:v>1.6035674514745464</x:v>
      </x:c>
      <x:c r="H39" s="7" t="n">
        <x:v>2.127624429800926</x:v>
      </x:c>
    </x:row>
    <x:row r="40" ht="27" customHeight="1">
      <x:c r="A40" s="2"/>
      <x:c r="B40" s="2" t="str">
        <x:v>Beauty | organic_volume_growth | PCENDC96</x:v>
      </x:c>
      <x:c r="C40" s="2" t="str">
        <x:v>Origin</x:v>
      </x:c>
      <x:c r="D40" s="2" t="str">
        <x:v>Recent trend</x:v>
      </x:c>
      <x:c r="E40" s="2" t="n">
        <x:v>7</x:v>
      </x:c>
      <x:c r="F40" s="7" t="n">
        <x:f>SQRT(AVERAGE('Company tests'!N177,'Company tests'!N213,'Company tests'!N249,'Company tests'!N285,'Company tests'!N321,'Company tests'!N357,'Company tests'!N384))</x:f>
        <x:v>2.9727211549035153</x:v>
      </x:c>
      <x:c r="G40" s="7" t="n">
        <x:v>1.6035674514745464</x:v>
      </x:c>
      <x:c r="H40" s="7" t="n">
        <x:v>2.127624429800926</x:v>
      </x:c>
    </x:row>
    <x:row r="41" ht="27" customHeight="1">
      <x:c r="A41" s="2"/>
      <x:c r="B41" s="2" t="str">
        <x:v>Beauty | organic_volume_growth | PCENDC96</x:v>
      </x:c>
      <x:c r="C41" s="2" t="str">
        <x:v>Origin</x:v>
      </x:c>
      <x:c r="D41" s="2" t="str">
        <x:v>Available-history choice</x:v>
      </x:c>
      <x:c r="E41" s="2" t="n">
        <x:v>7</x:v>
      </x:c>
      <x:c r="F41" s="7" t="n">
        <x:f>SQRT(AVERAGE('Company tests'!N539,'Company tests'!N551,'Company tests'!N563,'Company tests'!N575,'Company tests'!N587,'Company tests'!N599,'Company tests'!N608))</x:f>
        <x:v>2.808834512665404</x:v>
      </x:c>
      <x:c r="G41" s="7" t="n">
        <x:v>1.6035674514745464</x:v>
      </x:c>
      <x:c r="H41" s="7" t="n">
        <x:v>2.127624429800926</x:v>
      </x:c>
    </x:row>
    <x:row r="42" ht="27" customHeight="1">
      <x:c r="A42" s="2"/>
      <x:c r="B42" s="2" t="str">
        <x:v>Beauty | organic_volume_growth | PCENDC96</x:v>
      </x:c>
      <x:c r="C42" s="2" t="str">
        <x:v>One month</x:v>
      </x:c>
      <x:c r="D42" s="2" t="str">
        <x:v>YoY carry</x:v>
      </x:c>
      <x:c r="E42" s="2" t="n">
        <x:v>6</x:v>
      </x:c>
      <x:c r="F42" s="7" t="n">
        <x:f>SQRT(AVERAGE('Company tests'!N180,'Company tests'!N216,'Company tests'!N252,'Company tests'!N288,'Company tests'!N324,'Company tests'!N387))</x:f>
        <x:v>2.4223987330720753</x:v>
      </x:c>
      <x:c r="G42" s="7" t="n">
        <x:v>1.5811388300841898</x:v>
      </x:c>
      <x:c r="H42" s="7" t="n">
        <x:v>1.845602882529175</x:v>
      </x:c>
    </x:row>
    <x:row r="43" ht="27" customHeight="1">
      <x:c r="A43" s="2"/>
      <x:c r="B43" s="2" t="str">
        <x:v>Beauty | organic_volume_growth | PCENDC96</x:v>
      </x:c>
      <x:c r="C43" s="2" t="str">
        <x:v>One month</x:v>
      </x:c>
      <x:c r="D43" s="2" t="str">
        <x:v>Flat level</x:v>
      </x:c>
      <x:c r="E43" s="2" t="n">
        <x:v>6</x:v>
      </x:c>
      <x:c r="F43" s="7" t="n">
        <x:f>SQRT(AVERAGE('Company tests'!N183,'Company tests'!N219,'Company tests'!N255,'Company tests'!N291,'Company tests'!N327,'Company tests'!N390))</x:f>
        <x:v>2.566128480348961</x:v>
      </x:c>
      <x:c r="G43" s="7" t="n">
        <x:v>1.5811388300841898</x:v>
      </x:c>
      <x:c r="H43" s="7" t="n">
        <x:v>1.845602882529175</x:v>
      </x:c>
    </x:row>
    <x:row r="44" ht="27" customHeight="1">
      <x:c r="A44" s="2"/>
      <x:c r="B44" s="2" t="str">
        <x:v>Beauty | organic_volume_growth | PCENDC96</x:v>
      </x:c>
      <x:c r="C44" s="2" t="str">
        <x:v>One month</x:v>
      </x:c>
      <x:c r="D44" s="2" t="str">
        <x:v>Recent trend</x:v>
      </x:c>
      <x:c r="E44" s="2" t="n">
        <x:v>6</x:v>
      </x:c>
      <x:c r="F44" s="7" t="n">
        <x:f>SQRT(AVERAGE('Company tests'!N186,'Company tests'!N222,'Company tests'!N258,'Company tests'!N294,'Company tests'!N330,'Company tests'!N393))</x:f>
        <x:v>2.5125445905863617</x:v>
      </x:c>
      <x:c r="G44" s="7" t="n">
        <x:v>1.5811388300841898</x:v>
      </x:c>
      <x:c r="H44" s="7" t="n">
        <x:v>1.845602882529175</x:v>
      </x:c>
    </x:row>
    <x:row r="45" ht="27" customHeight="1">
      <x:c r="A45" s="2"/>
      <x:c r="B45" s="2" t="str">
        <x:v>Beauty | organic_volume_growth | PCENDC96</x:v>
      </x:c>
      <x:c r="C45" s="2" t="str">
        <x:v>One month</x:v>
      </x:c>
      <x:c r="D45" s="2" t="str">
        <x:v>Available-history choice</x:v>
      </x:c>
      <x:c r="E45" s="2" t="n">
        <x:v>6</x:v>
      </x:c>
      <x:c r="F45" s="7" t="n">
        <x:f>SQRT(AVERAGE('Company tests'!N542,'Company tests'!N554,'Company tests'!N566,'Company tests'!N578,'Company tests'!N590,'Company tests'!N611))</x:f>
        <x:v>2.5317721982854087</x:v>
      </x:c>
      <x:c r="G45" s="7" t="n">
        <x:v>1.5811388300841898</x:v>
      </x:c>
      <x:c r="H45" s="7" t="n">
        <x:v>1.845602882529175</x:v>
      </x:c>
    </x:row>
    <x:row r="46" ht="27" customHeight="1">
      <x:c r="A46" s="2"/>
      <x:c r="B46" s="2" t="str">
        <x:v>Beauty | organic_volume_growth | PCENDC96</x:v>
      </x:c>
      <x:c r="C46" s="2" t="str">
        <x:v>Two months</x:v>
      </x:c>
      <x:c r="D46" s="2" t="str">
        <x:v>YoY carry</x:v>
      </x:c>
      <x:c r="E46" s="2" t="n">
        <x:v>7</x:v>
      </x:c>
      <x:c r="F46" s="7" t="n">
        <x:f>SQRT(AVERAGE('Company tests'!N189,'Company tests'!N225,'Company tests'!N261,'Company tests'!N297,'Company tests'!N333,'Company tests'!N369,'Company tests'!N396))</x:f>
        <x:v>2.614340768070496</x:v>
      </x:c>
      <x:c r="G46" s="7" t="n">
        <x:v>1.5118578920369088</x:v>
      </x:c>
      <x:c r="H46" s="7" t="n">
        <x:v>1.800297594446937</x:v>
      </x:c>
    </x:row>
    <x:row r="47" ht="27" customHeight="1">
      <x:c r="A47" s="2"/>
      <x:c r="B47" s="2" t="str">
        <x:v>Beauty | organic_volume_growth | PCENDC96</x:v>
      </x:c>
      <x:c r="C47" s="2" t="str">
        <x:v>Two months</x:v>
      </x:c>
      <x:c r="D47" s="2" t="str">
        <x:v>Flat level</x:v>
      </x:c>
      <x:c r="E47" s="2" t="n">
        <x:v>7</x:v>
      </x:c>
      <x:c r="F47" s="7" t="n">
        <x:f>SQRT(AVERAGE('Company tests'!N192,'Company tests'!N228,'Company tests'!N264,'Company tests'!N300,'Company tests'!N336,'Company tests'!N372,'Company tests'!N399))</x:f>
        <x:v>2.7036006726560458</x:v>
      </x:c>
      <x:c r="G47" s="7" t="n">
        <x:v>1.5118578920369088</x:v>
      </x:c>
      <x:c r="H47" s="7" t="n">
        <x:v>1.800297594446937</x:v>
      </x:c>
    </x:row>
    <x:row r="48" ht="27" customHeight="1">
      <x:c r="A48" s="2"/>
      <x:c r="B48" s="2" t="str">
        <x:v>Beauty | organic_volume_growth | PCENDC96</x:v>
      </x:c>
      <x:c r="C48" s="2" t="str">
        <x:v>Two months</x:v>
      </x:c>
      <x:c r="D48" s="2" t="str">
        <x:v>Recent trend</x:v>
      </x:c>
      <x:c r="E48" s="2" t="n">
        <x:v>7</x:v>
      </x:c>
      <x:c r="F48" s="7" t="n">
        <x:f>SQRT(AVERAGE('Company tests'!N195,'Company tests'!N231,'Company tests'!N267,'Company tests'!N303,'Company tests'!N339,'Company tests'!N375,'Company tests'!N402))</x:f>
        <x:v>2.7060390966132886</x:v>
      </x:c>
      <x:c r="G48" s="7" t="n">
        <x:v>1.5118578920369088</x:v>
      </x:c>
      <x:c r="H48" s="7" t="n">
        <x:v>1.800297594446937</x:v>
      </x:c>
    </x:row>
    <x:row r="49" ht="27" customHeight="1">
      <x:c r="A49" s="2"/>
      <x:c r="B49" s="2" t="str">
        <x:v>Beauty | organic_volume_growth | PCENDC96</x:v>
      </x:c>
      <x:c r="C49" s="2" t="str">
        <x:v>Two months</x:v>
      </x:c>
      <x:c r="D49" s="2" t="str">
        <x:v>Available-history choice</x:v>
      </x:c>
      <x:c r="E49" s="2" t="n">
        <x:v>7</x:v>
      </x:c>
      <x:c r="F49" s="7" t="n">
        <x:f>SQRT(AVERAGE('Company tests'!N545,'Company tests'!N557,'Company tests'!N569,'Company tests'!N581,'Company tests'!N593,'Company tests'!N605,'Company tests'!N614))</x:f>
        <x:v>2.614340768070496</x:v>
      </x:c>
      <x:c r="G49" s="7" t="n">
        <x:v>1.5118578920369088</x:v>
      </x:c>
      <x:c r="H49" s="7" t="n">
        <x:v>1.800297594446937</x:v>
      </x:c>
    </x:row>
    <x:row r="50" ht="27" customHeight="1">
      <x:c r="A50" s="2"/>
      <x:c r="B50" s="2" t="str">
        <x:v>Beauty | organic_volume_growth | PCENDC96</x:v>
      </x:c>
      <x:c r="C50" s="2" t="str">
        <x:v>Pre-earnings</x:v>
      </x:c>
      <x:c r="D50" s="2" t="str">
        <x:v>YoY carry</x:v>
      </x:c>
      <x:c r="E50" s="2" t="n">
        <x:v>7</x:v>
      </x:c>
      <x:c r="F50" s="7" t="n">
        <x:f>SQRT(AVERAGE('Company tests'!N198,'Company tests'!N234,'Company tests'!N270,'Company tests'!N306,'Company tests'!N342,'Company tests'!N360,'Company tests'!N405))</x:f>
        <x:v>2.788359380375098</x:v>
      </x:c>
      <x:c r="G50" s="7" t="n">
        <x:v>1.5118578920369088</x:v>
      </x:c>
      <x:c r="H50" s="7" t="n">
        <x:v>1.800297594446937</x:v>
      </x:c>
    </x:row>
    <x:row r="51" ht="27" customHeight="1">
      <x:c r="A51" s="2"/>
      <x:c r="B51" s="2" t="str">
        <x:v>Beauty | organic_volume_growth | PCENDC96</x:v>
      </x:c>
      <x:c r="C51" s="2" t="str">
        <x:v>Pre-earnings</x:v>
      </x:c>
      <x:c r="D51" s="2" t="str">
        <x:v>Flat level</x:v>
      </x:c>
      <x:c r="E51" s="2" t="n">
        <x:v>7</x:v>
      </x:c>
      <x:c r="F51" s="7" t="n">
        <x:f>SQRT(AVERAGE('Company tests'!N201,'Company tests'!N237,'Company tests'!N273,'Company tests'!N309,'Company tests'!N345,'Company tests'!N363,'Company tests'!N408))</x:f>
        <x:v>2.826982111591104</x:v>
      </x:c>
      <x:c r="G51" s="7" t="n">
        <x:v>1.5118578920369088</x:v>
      </x:c>
      <x:c r="H51" s="7" t="n">
        <x:v>1.800297594446937</x:v>
      </x:c>
    </x:row>
    <x:row r="52" ht="27" customHeight="1">
      <x:c r="A52" s="2"/>
      <x:c r="B52" s="2" t="str">
        <x:v>Beauty | organic_volume_growth | PCENDC96</x:v>
      </x:c>
      <x:c r="C52" s="2" t="str">
        <x:v>Pre-earnings</x:v>
      </x:c>
      <x:c r="D52" s="2" t="str">
        <x:v>Recent trend</x:v>
      </x:c>
      <x:c r="E52" s="2" t="n">
        <x:v>7</x:v>
      </x:c>
      <x:c r="F52" s="7" t="n">
        <x:f>SQRT(AVERAGE('Company tests'!N204,'Company tests'!N240,'Company tests'!N276,'Company tests'!N312,'Company tests'!N348,'Company tests'!N366,'Company tests'!N411))</x:f>
        <x:v>2.822225818038563</x:v>
      </x:c>
      <x:c r="G52" s="7" t="n">
        <x:v>1.5118578920369088</x:v>
      </x:c>
      <x:c r="H52" s="7" t="n">
        <x:v>1.800297594446937</x:v>
      </x:c>
    </x:row>
    <x:row r="53" ht="27" customHeight="1">
      <x:c r="A53" s="2"/>
      <x:c r="B53" s="2" t="str">
        <x:v>Beauty | organic_volume_growth | PCENDC96</x:v>
      </x:c>
      <x:c r="C53" s="2" t="str">
        <x:v>Pre-earnings</x:v>
      </x:c>
      <x:c r="D53" s="2" t="str">
        <x:v>Available-history choice</x:v>
      </x:c>
      <x:c r="E53" s="2" t="n">
        <x:v>7</x:v>
      </x:c>
      <x:c r="F53" s="7" t="n">
        <x:f>SQRT(AVERAGE('Company tests'!N548,'Company tests'!N560,'Company tests'!N572,'Company tests'!N584,'Company tests'!N596,'Company tests'!N602,'Company tests'!N617))</x:f>
        <x:v>2.80245140974019</x:v>
      </x:c>
      <x:c r="G53" s="7" t="n">
        <x:v>1.5118578920369088</x:v>
      </x:c>
      <x:c r="H53" s="7" t="n">
        <x:v>1.800297594446937</x:v>
      </x:c>
    </x:row>
    <x:row r="54" ht="27" customHeight="1">
      <x:c r="A54" s="2"/>
      <x:c r="B54" s="2" t="str">
        <x:v>Beauty | price_contribution | CUUR0000SEGB02</x:v>
      </x:c>
      <x:c r="C54" s="2" t="str">
        <x:v>Origin</x:v>
      </x:c>
      <x:c r="D54" s="2" t="str">
        <x:v>YoY carry</x:v>
      </x:c>
      <x:c r="E54" s="2" t="n">
        <x:v>6</x:v>
      </x:c>
      <x:c r="F54" s="7" t="n">
        <x:f>SQRT(AVERAGE('Company tests'!N102,'Company tests'!N114,'Company tests'!N126,'Company tests'!N138,'Company tests'!N150,'Company tests'!N162))</x:f>
        <x:v>1.7954278783783255</x:v>
      </x:c>
      <x:c r="G54" s="7" t="n">
        <x:v>1.6832508230603465</x:v>
      </x:c>
      <x:c r="H54" s="7" t="n">
        <x:v>2.2798940033840753</x:v>
      </x:c>
    </x:row>
    <x:row r="55" ht="27" customHeight="1">
      <x:c r="A55" s="2"/>
      <x:c r="B55" s="2" t="str">
        <x:v>Beauty | price_contribution | CUUR0000SEGB02</x:v>
      </x:c>
      <x:c r="C55" s="2" t="str">
        <x:v>Origin</x:v>
      </x:c>
      <x:c r="D55" s="2" t="str">
        <x:v>Flat level</x:v>
      </x:c>
      <x:c r="E55" s="2" t="n">
        <x:v>6</x:v>
      </x:c>
      <x:c r="F55" s="7" t="n">
        <x:f>SQRT(AVERAGE('Company tests'!N103,'Company tests'!N115,'Company tests'!N127,'Company tests'!N139,'Company tests'!N151,'Company tests'!N163))</x:f>
        <x:v>1.3559572263555588</x:v>
      </x:c>
      <x:c r="G55" s="7" t="n">
        <x:v>1.6832508230603465</x:v>
      </x:c>
      <x:c r="H55" s="7" t="n">
        <x:v>2.2798940033840753</x:v>
      </x:c>
    </x:row>
    <x:row r="56" ht="27" customHeight="1">
      <x:c r="A56" s="2"/>
      <x:c r="B56" s="2" t="str">
        <x:v>Beauty | price_contribution | CUUR0000SEGB02</x:v>
      </x:c>
      <x:c r="C56" s="2" t="str">
        <x:v>Origin</x:v>
      </x:c>
      <x:c r="D56" s="2" t="str">
        <x:v>Recent trend</x:v>
      </x:c>
      <x:c r="E56" s="2" t="n">
        <x:v>6</x:v>
      </x:c>
      <x:c r="F56" s="7" t="n">
        <x:f>SQRT(AVERAGE('Company tests'!N104,'Company tests'!N116,'Company tests'!N128,'Company tests'!N140,'Company tests'!N152,'Company tests'!N164))</x:f>
        <x:v>1.7182824729083193</x:v>
      </x:c>
      <x:c r="G56" s="7" t="n">
        <x:v>1.6832508230603465</x:v>
      </x:c>
      <x:c r="H56" s="7" t="n">
        <x:v>2.2798940033840753</x:v>
      </x:c>
    </x:row>
    <x:row r="57" ht="27" customHeight="1">
      <x:c r="A57" s="2"/>
      <x:c r="B57" s="2" t="str">
        <x:v>Beauty | price_contribution | CUUR0000SEGB02</x:v>
      </x:c>
      <x:c r="C57" s="2" t="str">
        <x:v>Origin</x:v>
      </x:c>
      <x:c r="D57" s="2" t="str">
        <x:v>Seasonal step</x:v>
      </x:c>
      <x:c r="E57" s="2" t="n">
        <x:v>6</x:v>
      </x:c>
      <x:c r="F57" s="7" t="n">
        <x:f>SQRT(AVERAGE('Company tests'!N105,'Company tests'!N117,'Company tests'!N129,'Company tests'!N141,'Company tests'!N153,'Company tests'!N165))</x:f>
        <x:v>1.857551117818815</x:v>
      </x:c>
      <x:c r="G57" s="7" t="n">
        <x:v>1.6832508230603465</x:v>
      </x:c>
      <x:c r="H57" s="7" t="n">
        <x:v>2.2798940033840753</x:v>
      </x:c>
    </x:row>
    <x:row r="58" ht="27" customHeight="1">
      <x:c r="A58" s="2"/>
      <x:c r="B58" s="2" t="str">
        <x:v>Beauty | price_contribution | CUUR0000SEGB02</x:v>
      </x:c>
      <x:c r="C58" s="2" t="str">
        <x:v>Origin</x:v>
      </x:c>
      <x:c r="D58" s="2" t="str">
        <x:v>Available-history choice</x:v>
      </x:c>
      <x:c r="E58" s="2" t="n">
        <x:v>6</x:v>
      </x:c>
      <x:c r="F58" s="7" t="n">
        <x:f>SQRT(AVERAGE('Company tests'!N521,'Company tests'!N524,'Company tests'!N527,'Company tests'!N530,'Company tests'!N533,'Company tests'!N536))</x:f>
        <x:v>1.3559572263555588</x:v>
      </x:c>
      <x:c r="G58" s="7" t="n">
        <x:v>1.6832508230603465</x:v>
      </x:c>
      <x:c r="H58" s="7" t="n">
        <x:v>2.2798940033840753</x:v>
      </x:c>
    </x:row>
    <x:row r="59" ht="27" customHeight="1">
      <x:c r="A59" s="2"/>
      <x:c r="B59" s="2" t="str">
        <x:v>Beauty | price_contribution | CUUR0000SEGB02</x:v>
      </x:c>
      <x:c r="C59" s="2" t="str">
        <x:v>Two months</x:v>
      </x:c>
      <x:c r="D59" s="2" t="str">
        <x:v>YoY carry</x:v>
      </x:c>
      <x:c r="E59" s="2" t="n">
        <x:v>5</x:v>
      </x:c>
      <x:c r="F59" s="7" t="n">
        <x:f>SQRT(AVERAGE('Company tests'!N106,'Company tests'!N118,'Company tests'!N130,'Company tests'!N142,'Company tests'!N154))</x:f>
        <x:v>1.3975862154009098</x:v>
      </x:c>
      <x:c r="G59" s="7" t="n">
        <x:v>1.4832396974191326</x:v>
      </x:c>
      <x:c r="H59" s="7" t="n">
        <x:v>1.7392527130926085</x:v>
      </x:c>
    </x:row>
    <x:row r="60" ht="27" customHeight="1">
      <x:c r="A60" s="2"/>
      <x:c r="B60" s="2" t="str">
        <x:v>Beauty | price_contribution | CUUR0000SEGB02</x:v>
      </x:c>
      <x:c r="C60" s="2" t="str">
        <x:v>Two months</x:v>
      </x:c>
      <x:c r="D60" s="2" t="str">
        <x:v>Flat level</x:v>
      </x:c>
      <x:c r="E60" s="2" t="n">
        <x:v>5</x:v>
      </x:c>
      <x:c r="F60" s="7" t="n">
        <x:f>SQRT(AVERAGE('Company tests'!N107,'Company tests'!N119,'Company tests'!N131,'Company tests'!N143,'Company tests'!N155))</x:f>
        <x:v>1.397520211045895</x:v>
      </x:c>
      <x:c r="G60" s="7" t="n">
        <x:v>1.4832396974191326</x:v>
      </x:c>
      <x:c r="H60" s="7" t="n">
        <x:v>1.7392527130926085</x:v>
      </x:c>
    </x:row>
    <x:row r="61" ht="27" customHeight="1">
      <x:c r="A61" s="2"/>
      <x:c r="B61" s="2" t="str">
        <x:v>Beauty | price_contribution | CUUR0000SEGB02</x:v>
      </x:c>
      <x:c r="C61" s="2" t="str">
        <x:v>Two months</x:v>
      </x:c>
      <x:c r="D61" s="2" t="str">
        <x:v>Recent trend</x:v>
      </x:c>
      <x:c r="E61" s="2" t="n">
        <x:v>5</x:v>
      </x:c>
      <x:c r="F61" s="7" t="n">
        <x:f>SQRT(AVERAGE('Company tests'!N108,'Company tests'!N120,'Company tests'!N132,'Company tests'!N144,'Company tests'!N156))</x:f>
        <x:v>1.3850487705236623</x:v>
      </x:c>
      <x:c r="G61" s="7" t="n">
        <x:v>1.4832396974191326</x:v>
      </x:c>
      <x:c r="H61" s="7" t="n">
        <x:v>1.7392527130926085</x:v>
      </x:c>
    </x:row>
    <x:row r="62" ht="27" customHeight="1">
      <x:c r="A62" s="2"/>
      <x:c r="B62" s="2" t="str">
        <x:v>Beauty | price_contribution | CUUR0000SEGB02</x:v>
      </x:c>
      <x:c r="C62" s="2" t="str">
        <x:v>Two months</x:v>
      </x:c>
      <x:c r="D62" s="2" t="str">
        <x:v>Seasonal step</x:v>
      </x:c>
      <x:c r="E62" s="2" t="n">
        <x:v>5</x:v>
      </x:c>
      <x:c r="F62" s="7" t="n">
        <x:f>SQRT(AVERAGE('Company tests'!N109,'Company tests'!N121,'Company tests'!N133,'Company tests'!N145,'Company tests'!N157))</x:f>
        <x:v>1.4408563156888268</x:v>
      </x:c>
      <x:c r="G62" s="7" t="n">
        <x:v>1.4832396974191326</x:v>
      </x:c>
      <x:c r="H62" s="7" t="n">
        <x:v>1.7392527130926085</x:v>
      </x:c>
    </x:row>
    <x:row r="63" ht="27" customHeight="1">
      <x:c r="A63" s="2"/>
      <x:c r="B63" s="2" t="str">
        <x:v>Beauty | price_contribution | CUUR0000SEGB02</x:v>
      </x:c>
      <x:c r="C63" s="2" t="str">
        <x:v>Two months</x:v>
      </x:c>
      <x:c r="D63" s="2" t="str">
        <x:v>Available-history choice</x:v>
      </x:c>
      <x:c r="E63" s="2" t="n">
        <x:v>5</x:v>
      </x:c>
      <x:c r="F63" s="7" t="n">
        <x:f>SQRT(AVERAGE('Company tests'!N522,'Company tests'!N525,'Company tests'!N528,'Company tests'!N531,'Company tests'!N534))</x:f>
        <x:v>1.4408563156888268</x:v>
      </x:c>
      <x:c r="G63" s="7" t="n">
        <x:v>1.4832396974191326</x:v>
      </x:c>
      <x:c r="H63" s="7" t="n">
        <x:v>1.7392527130926085</x:v>
      </x:c>
    </x:row>
    <x:row r="64" ht="27" customHeight="1">
      <x:c r="A64" s="2"/>
      <x:c r="B64" s="2" t="str">
        <x:v>Beauty | price_contribution | CUUR0000SEGB02</x:v>
      </x:c>
      <x:c r="C64" s="2" t="str">
        <x:v>Pre-earnings</x:v>
      </x:c>
      <x:c r="D64" s="2" t="str">
        <x:v>YoY carry</x:v>
      </x:c>
      <x:c r="E64" s="2" t="n">
        <x:v>6</x:v>
      </x:c>
      <x:c r="F64" s="7" t="n">
        <x:f>SQRT(AVERAGE('Company tests'!N110,'Company tests'!N122,'Company tests'!N134,'Company tests'!N146,'Company tests'!N158,'Company tests'!N166))</x:f>
        <x:v>1.9620786503837877</x:v>
      </x:c>
      <x:c r="G64" s="7" t="n">
        <x:v>1.4142135623730951</x:v>
      </x:c>
      <x:c r="H64" s="7" t="n">
        <x:v>1.6393596310755</x:v>
      </x:c>
    </x:row>
    <x:row r="65" ht="27" customHeight="1">
      <x:c r="A65" s="2"/>
      <x:c r="B65" s="2" t="str">
        <x:v>Beauty | price_contribution | CUUR0000SEGB02</x:v>
      </x:c>
      <x:c r="C65" s="2" t="str">
        <x:v>Pre-earnings</x:v>
      </x:c>
      <x:c r="D65" s="2" t="str">
        <x:v>Flat level</x:v>
      </x:c>
      <x:c r="E65" s="2" t="n">
        <x:v>6</x:v>
      </x:c>
      <x:c r="F65" s="7" t="n">
        <x:f>SQRT(AVERAGE('Company tests'!N111,'Company tests'!N123,'Company tests'!N135,'Company tests'!N147,'Company tests'!N159,'Company tests'!N167))</x:f>
        <x:v>1.9546833490383304</x:v>
      </x:c>
      <x:c r="G65" s="7" t="n">
        <x:v>1.4142135623730951</x:v>
      </x:c>
      <x:c r="H65" s="7" t="n">
        <x:v>1.6393596310755</x:v>
      </x:c>
    </x:row>
    <x:row r="66" ht="27" customHeight="1">
      <x:c r="A66" s="2"/>
      <x:c r="B66" s="2" t="str">
        <x:v>Beauty | price_contribution | CUUR0000SEGB02</x:v>
      </x:c>
      <x:c r="C66" s="2" t="str">
        <x:v>Pre-earnings</x:v>
      </x:c>
      <x:c r="D66" s="2" t="str">
        <x:v>Recent trend</x:v>
      </x:c>
      <x:c r="E66" s="2" t="n">
        <x:v>6</x:v>
      </x:c>
      <x:c r="F66" s="7" t="n">
        <x:f>SQRT(AVERAGE('Company tests'!N112,'Company tests'!N124,'Company tests'!N136,'Company tests'!N148,'Company tests'!N160,'Company tests'!N168))</x:f>
        <x:v>1.9574523618856818</x:v>
      </x:c>
      <x:c r="G66" s="7" t="n">
        <x:v>1.4142135623730951</x:v>
      </x:c>
      <x:c r="H66" s="7" t="n">
        <x:v>1.6393596310755</x:v>
      </x:c>
    </x:row>
    <x:row r="67" ht="27" customHeight="1">
      <x:c r="A67" s="2"/>
      <x:c r="B67" s="2" t="str">
        <x:v>Beauty | price_contribution | CUUR0000SEGB02</x:v>
      </x:c>
      <x:c r="C67" s="2" t="str">
        <x:v>Pre-earnings</x:v>
      </x:c>
      <x:c r="D67" s="2" t="str">
        <x:v>Seasonal step</x:v>
      </x:c>
      <x:c r="E67" s="2" t="n">
        <x:v>6</x:v>
      </x:c>
      <x:c r="F67" s="7" t="n">
        <x:f>SQRT(AVERAGE('Company tests'!N113,'Company tests'!N125,'Company tests'!N137,'Company tests'!N149,'Company tests'!N161,'Company tests'!N169))</x:f>
        <x:v>1.9700416528559026</x:v>
      </x:c>
      <x:c r="G67" s="7" t="n">
        <x:v>1.4142135623730951</x:v>
      </x:c>
      <x:c r="H67" s="7" t="n">
        <x:v>1.6393596310755</x:v>
      </x:c>
    </x:row>
    <x:row r="68" ht="27" customHeight="1">
      <x:c r="A68" s="2"/>
      <x:c r="B68" s="2" t="str">
        <x:v>Beauty | price_contribution | CUUR0000SEGB02</x:v>
      </x:c>
      <x:c r="C68" s="2" t="str">
        <x:v>Pre-earnings</x:v>
      </x:c>
      <x:c r="D68" s="2" t="str">
        <x:v>Available-history choice</x:v>
      </x:c>
      <x:c r="E68" s="2" t="n">
        <x:v>6</x:v>
      </x:c>
      <x:c r="F68" s="7" t="n">
        <x:f>SQRT(AVERAGE('Company tests'!N523,'Company tests'!N526,'Company tests'!N529,'Company tests'!N532,'Company tests'!N535,'Company tests'!N537))</x:f>
        <x:v>1.9620786503837877</x:v>
      </x:c>
      <x:c r="G68" s="7" t="n">
        <x:v>1.4142135623730951</x:v>
      </x:c>
      <x:c r="H68" s="7" t="n">
        <x:v>1.6393596310755</x:v>
      </x:c>
    </x:row>
    <x:row r="69" ht="27" customHeight="1">
      <x:c r="A69" s="2"/>
      <x:c r="B69" s="2" t="str">
        <x:v>Fabric &amp; Home Care | organic_volume_growth | PCENDC96</x:v>
      </x:c>
      <x:c r="C69" s="2" t="str">
        <x:v>Origin</x:v>
      </x:c>
      <x:c r="D69" s="2" t="str">
        <x:v>YoY carry</x:v>
      </x:c>
      <x:c r="E69" s="2" t="n">
        <x:v>7</x:v>
      </x:c>
      <x:c r="F69" s="7" t="n">
        <x:f>SQRT(AVERAGE('Company tests'!N172,'Company tests'!N208,'Company tests'!N244,'Company tests'!N280,'Company tests'!N316,'Company tests'!N352,'Company tests'!N379))</x:f>
        <x:v>2.064086318133093</x:v>
      </x:c>
      <x:c r="G69" s="7" t="n">
        <x:v>1.927248223318863</x:v>
      </x:c>
      <x:c r="H69" s="7" t="n">
        <x:v>1.839545751382273</x:v>
      </x:c>
    </x:row>
    <x:row r="70" ht="27" customHeight="1">
      <x:c r="A70" s="2"/>
      <x:c r="B70" s="2" t="str">
        <x:v>Fabric &amp; Home Care | organic_volume_growth | PCENDC96</x:v>
      </x:c>
      <x:c r="C70" s="2" t="str">
        <x:v>Origin</x:v>
      </x:c>
      <x:c r="D70" s="2" t="str">
        <x:v>Flat level</x:v>
      </x:c>
      <x:c r="E70" s="2" t="n">
        <x:v>7</x:v>
      </x:c>
      <x:c r="F70" s="7" t="n">
        <x:f>SQRT(AVERAGE('Company tests'!N175,'Company tests'!N211,'Company tests'!N247,'Company tests'!N283,'Company tests'!N319,'Company tests'!N355,'Company tests'!N382))</x:f>
        <x:v>1.982257842672031</x:v>
      </x:c>
      <x:c r="G70" s="7" t="n">
        <x:v>1.927248223318863</x:v>
      </x:c>
      <x:c r="H70" s="7" t="n">
        <x:v>1.839545751382273</x:v>
      </x:c>
    </x:row>
    <x:row r="71" ht="27" customHeight="1">
      <x:c r="A71" s="2"/>
      <x:c r="B71" s="2" t="str">
        <x:v>Fabric &amp; Home Care | organic_volume_growth | PCENDC96</x:v>
      </x:c>
      <x:c r="C71" s="2" t="str">
        <x:v>Origin</x:v>
      </x:c>
      <x:c r="D71" s="2" t="str">
        <x:v>Recent trend</x:v>
      </x:c>
      <x:c r="E71" s="2" t="n">
        <x:v>7</x:v>
      </x:c>
      <x:c r="F71" s="7" t="n">
        <x:f>SQRT(AVERAGE('Company tests'!N178,'Company tests'!N214,'Company tests'!N250,'Company tests'!N286,'Company tests'!N322,'Company tests'!N358,'Company tests'!N385))</x:f>
        <x:v>2.012953478331219</x:v>
      </x:c>
      <x:c r="G71" s="7" t="n">
        <x:v>1.927248223318863</x:v>
      </x:c>
      <x:c r="H71" s="7" t="n">
        <x:v>1.839545751382273</x:v>
      </x:c>
    </x:row>
    <x:row r="72" ht="27" customHeight="1">
      <x:c r="A72" s="2"/>
      <x:c r="B72" s="2" t="str">
        <x:v>Fabric &amp; Home Care | organic_volume_growth | PCENDC96</x:v>
      </x:c>
      <x:c r="C72" s="2" t="str">
        <x:v>Origin</x:v>
      </x:c>
      <x:c r="D72" s="2" t="str">
        <x:v>Available-history choice</x:v>
      </x:c>
      <x:c r="E72" s="2" t="n">
        <x:v>7</x:v>
      </x:c>
      <x:c r="F72" s="7" t="n">
        <x:f>SQRT(AVERAGE('Company tests'!N540,'Company tests'!N552,'Company tests'!N564,'Company tests'!N576,'Company tests'!N588,'Company tests'!N600,'Company tests'!N609))</x:f>
        <x:v>2.064086318133093</x:v>
      </x:c>
      <x:c r="G72" s="7" t="n">
        <x:v>1.927248223318863</x:v>
      </x:c>
      <x:c r="H72" s="7" t="n">
        <x:v>1.839545751382273</x:v>
      </x:c>
    </x:row>
    <x:row r="73" ht="27" customHeight="1">
      <x:c r="A73" s="2"/>
      <x:c r="B73" s="2" t="str">
        <x:v>Fabric &amp; Home Care | organic_volume_growth | PCENDC96</x:v>
      </x:c>
      <x:c r="C73" s="2" t="str">
        <x:v>One month</x:v>
      </x:c>
      <x:c r="D73" s="2" t="str">
        <x:v>YoY carry</x:v>
      </x:c>
      <x:c r="E73" s="2" t="n">
        <x:v>6</x:v>
      </x:c>
      <x:c r="F73" s="7" t="n">
        <x:f>SQRT(AVERAGE('Company tests'!N181,'Company tests'!N217,'Company tests'!N253,'Company tests'!N289,'Company tests'!N325,'Company tests'!N388))</x:f>
        <x:v>1.6091548358071688</x:v>
      </x:c>
      <x:c r="G73" s="7" t="n">
        <x:v>1.6832508230603465</x:v>
      </x:c>
      <x:c r="H73" s="7" t="n">
        <x:v>1.7998842555379313</x:v>
      </x:c>
    </x:row>
    <x:row r="74" ht="27" customHeight="1">
      <x:c r="A74" s="2"/>
      <x:c r="B74" s="2" t="str">
        <x:v>Fabric &amp; Home Care | organic_volume_growth | PCENDC96</x:v>
      </x:c>
      <x:c r="C74" s="2" t="str">
        <x:v>One month</x:v>
      </x:c>
      <x:c r="D74" s="2" t="str">
        <x:v>Flat level</x:v>
      </x:c>
      <x:c r="E74" s="2" t="n">
        <x:v>6</x:v>
      </x:c>
      <x:c r="F74" s="7" t="n">
        <x:f>SQRT(AVERAGE('Company tests'!N184,'Company tests'!N220,'Company tests'!N256,'Company tests'!N292,'Company tests'!N328,'Company tests'!N391))</x:f>
        <x:v>1.5687622221953668</x:v>
      </x:c>
      <x:c r="G74" s="7" t="n">
        <x:v>1.6832508230603465</x:v>
      </x:c>
      <x:c r="H74" s="7" t="n">
        <x:v>1.7998842555379313</x:v>
      </x:c>
    </x:row>
    <x:row r="75" ht="27" customHeight="1">
      <x:c r="A75" s="2"/>
      <x:c r="B75" s="2" t="str">
        <x:v>Fabric &amp; Home Care | organic_volume_growth | PCENDC96</x:v>
      </x:c>
      <x:c r="C75" s="2" t="str">
        <x:v>One month</x:v>
      </x:c>
      <x:c r="D75" s="2" t="str">
        <x:v>Recent trend</x:v>
      </x:c>
      <x:c r="E75" s="2" t="n">
        <x:v>6</x:v>
      </x:c>
      <x:c r="F75" s="7" t="n">
        <x:f>SQRT(AVERAGE('Company tests'!N187,'Company tests'!N223,'Company tests'!N259,'Company tests'!N295,'Company tests'!N331,'Company tests'!N394))</x:f>
        <x:v>1.571176724646995</x:v>
      </x:c>
      <x:c r="G75" s="7" t="n">
        <x:v>1.6832508230603465</x:v>
      </x:c>
      <x:c r="H75" s="7" t="n">
        <x:v>1.7998842555379313</x:v>
      </x:c>
    </x:row>
    <x:row r="76" ht="27" customHeight="1">
      <x:c r="A76" s="2"/>
      <x:c r="B76" s="2" t="str">
        <x:v>Fabric &amp; Home Care | organic_volume_growth | PCENDC96</x:v>
      </x:c>
      <x:c r="C76" s="2" t="str">
        <x:v>One month</x:v>
      </x:c>
      <x:c r="D76" s="2" t="str">
        <x:v>Available-history choice</x:v>
      </x:c>
      <x:c r="E76" s="2" t="n">
        <x:v>6</x:v>
      </x:c>
      <x:c r="F76" s="7" t="n">
        <x:f>SQRT(AVERAGE('Company tests'!N543,'Company tests'!N555,'Company tests'!N567,'Company tests'!N579,'Company tests'!N591,'Company tests'!N612))</x:f>
        <x:v>1.5800624440444424</x:v>
      </x:c>
      <x:c r="G76" s="7" t="n">
        <x:v>1.6832508230603465</x:v>
      </x:c>
      <x:c r="H76" s="7" t="n">
        <x:v>1.7998842555379313</x:v>
      </x:c>
    </x:row>
    <x:row r="77" ht="27" customHeight="1">
      <x:c r="A77" s="2"/>
      <x:c r="B77" s="2" t="str">
        <x:v>Fabric &amp; Home Care | organic_volume_growth | PCENDC96</x:v>
      </x:c>
      <x:c r="C77" s="2" t="str">
        <x:v>Two months</x:v>
      </x:c>
      <x:c r="D77" s="2" t="str">
        <x:v>YoY carry</x:v>
      </x:c>
      <x:c r="E77" s="2" t="n">
        <x:v>7</x:v>
      </x:c>
      <x:c r="F77" s="7" t="n">
        <x:f>SQRT(AVERAGE('Company tests'!N190,'Company tests'!N226,'Company tests'!N262,'Company tests'!N298,'Company tests'!N334,'Company tests'!N370,'Company tests'!N397))</x:f>
        <x:v>1.7596013067538638</x:v>
      </x:c>
      <x:c r="G77" s="7" t="n">
        <x:v>1.7320508075688772</x:v>
      </x:c>
      <x:c r="H77" s="7" t="n">
        <x:v>1.6663690210411721</x:v>
      </x:c>
    </x:row>
    <x:row r="78" ht="27" customHeight="1">
      <x:c r="A78" s="2"/>
      <x:c r="B78" s="2" t="str">
        <x:v>Fabric &amp; Home Care | organic_volume_growth | PCENDC96</x:v>
      </x:c>
      <x:c r="C78" s="2" t="str">
        <x:v>Two months</x:v>
      </x:c>
      <x:c r="D78" s="2" t="str">
        <x:v>Flat level</x:v>
      </x:c>
      <x:c r="E78" s="2" t="n">
        <x:v>7</x:v>
      </x:c>
      <x:c r="F78" s="7" t="n">
        <x:f>SQRT(AVERAGE('Company tests'!N193,'Company tests'!N229,'Company tests'!N265,'Company tests'!N301,'Company tests'!N337,'Company tests'!N373,'Company tests'!N400))</x:f>
        <x:v>1.6624034164717063</x:v>
      </x:c>
      <x:c r="G78" s="7" t="n">
        <x:v>1.7320508075688772</x:v>
      </x:c>
      <x:c r="H78" s="7" t="n">
        <x:v>1.6663690210411721</x:v>
      </x:c>
    </x:row>
    <x:row r="79" ht="27" customHeight="1">
      <x:c r="A79" s="2"/>
      <x:c r="B79" s="2" t="str">
        <x:v>Fabric &amp; Home Care | organic_volume_growth | PCENDC96</x:v>
      </x:c>
      <x:c r="C79" s="2" t="str">
        <x:v>Two months</x:v>
      </x:c>
      <x:c r="D79" s="2" t="str">
        <x:v>Recent trend</x:v>
      </x:c>
      <x:c r="E79" s="2" t="n">
        <x:v>7</x:v>
      </x:c>
      <x:c r="F79" s="7" t="n">
        <x:f>SQRT(AVERAGE('Company tests'!N196,'Company tests'!N232,'Company tests'!N268,'Company tests'!N304,'Company tests'!N340,'Company tests'!N376,'Company tests'!N403))</x:f>
        <x:v>1.6495006575627988</x:v>
      </x:c>
      <x:c r="G79" s="7" t="n">
        <x:v>1.7320508075688772</x:v>
      </x:c>
      <x:c r="H79" s="7" t="n">
        <x:v>1.6663690210411721</x:v>
      </x:c>
    </x:row>
    <x:row r="80" ht="27" customHeight="1">
      <x:c r="A80" s="2"/>
      <x:c r="B80" s="2" t="str">
        <x:v>Fabric &amp; Home Care | organic_volume_growth | PCENDC96</x:v>
      </x:c>
      <x:c r="C80" s="2" t="str">
        <x:v>Two months</x:v>
      </x:c>
      <x:c r="D80" s="2" t="str">
        <x:v>Available-history choice</x:v>
      </x:c>
      <x:c r="E80" s="2" t="n">
        <x:v>7</x:v>
      </x:c>
      <x:c r="F80" s="7" t="n">
        <x:f>SQRT(AVERAGE('Company tests'!N546,'Company tests'!N558,'Company tests'!N570,'Company tests'!N582,'Company tests'!N594,'Company tests'!N606,'Company tests'!N615))</x:f>
        <x:v>1.7596013067538638</x:v>
      </x:c>
      <x:c r="G80" s="7" t="n">
        <x:v>1.7320508075688772</x:v>
      </x:c>
      <x:c r="H80" s="7" t="n">
        <x:v>1.6663690210411721</x:v>
      </x:c>
    </x:row>
    <x:row r="81" ht="27" customHeight="1">
      <x:c r="A81" s="2"/>
      <x:c r="B81" s="2" t="str">
        <x:v>Fabric &amp; Home Care | organic_volume_growth | PCENDC96</x:v>
      </x:c>
      <x:c r="C81" s="2" t="str">
        <x:v>Pre-earnings</x:v>
      </x:c>
      <x:c r="D81" s="2" t="str">
        <x:v>YoY carry</x:v>
      </x:c>
      <x:c r="E81" s="2" t="n">
        <x:v>7</x:v>
      </x:c>
      <x:c r="F81" s="7" t="n">
        <x:f>SQRT(AVERAGE('Company tests'!N199,'Company tests'!N235,'Company tests'!N271,'Company tests'!N307,'Company tests'!N343,'Company tests'!N361,'Company tests'!N406))</x:f>
        <x:v>1.7596013067538638</x:v>
      </x:c>
      <x:c r="G81" s="7" t="n">
        <x:v>1.7320508075688772</x:v>
      </x:c>
      <x:c r="H81" s="7" t="n">
        <x:v>1.6663690210411721</x:v>
      </x:c>
    </x:row>
    <x:row r="82" ht="27" customHeight="1">
      <x:c r="A82" s="2"/>
      <x:c r="B82" s="2" t="str">
        <x:v>Fabric &amp; Home Care | organic_volume_growth | PCENDC96</x:v>
      </x:c>
      <x:c r="C82" s="2" t="str">
        <x:v>Pre-earnings</x:v>
      </x:c>
      <x:c r="D82" s="2" t="str">
        <x:v>Flat level</x:v>
      </x:c>
      <x:c r="E82" s="2" t="n">
        <x:v>7</x:v>
      </x:c>
      <x:c r="F82" s="7" t="n">
        <x:f>SQRT(AVERAGE('Company tests'!N202,'Company tests'!N238,'Company tests'!N274,'Company tests'!N310,'Company tests'!N346,'Company tests'!N364,'Company tests'!N409))</x:f>
        <x:v>1.6624034164717063</x:v>
      </x:c>
      <x:c r="G82" s="7" t="n">
        <x:v>1.7320508075688772</x:v>
      </x:c>
      <x:c r="H82" s="7" t="n">
        <x:v>1.6663690210411721</x:v>
      </x:c>
    </x:row>
    <x:row r="83" ht="27" customHeight="1">
      <x:c r="A83" s="2"/>
      <x:c r="B83" s="2" t="str">
        <x:v>Fabric &amp; Home Care | organic_volume_growth | PCENDC96</x:v>
      </x:c>
      <x:c r="C83" s="2" t="str">
        <x:v>Pre-earnings</x:v>
      </x:c>
      <x:c r="D83" s="2" t="str">
        <x:v>Recent trend</x:v>
      </x:c>
      <x:c r="E83" s="2" t="n">
        <x:v>7</x:v>
      </x:c>
      <x:c r="F83" s="7" t="n">
        <x:f>SQRT(AVERAGE('Company tests'!N205,'Company tests'!N241,'Company tests'!N277,'Company tests'!N313,'Company tests'!N349,'Company tests'!N367,'Company tests'!N412))</x:f>
        <x:v>1.6495006575627988</x:v>
      </x:c>
      <x:c r="G83" s="7" t="n">
        <x:v>1.7320508075688772</x:v>
      </x:c>
      <x:c r="H83" s="7" t="n">
        <x:v>1.6663690210411721</x:v>
      </x:c>
    </x:row>
    <x:row r="84" ht="27" customHeight="1">
      <x:c r="A84" s="2"/>
      <x:c r="B84" s="2" t="str">
        <x:v>Fabric &amp; Home Care | organic_volume_growth | PCENDC96</x:v>
      </x:c>
      <x:c r="C84" s="2" t="str">
        <x:v>Pre-earnings</x:v>
      </x:c>
      <x:c r="D84" s="2" t="str">
        <x:v>Available-history choice</x:v>
      </x:c>
      <x:c r="E84" s="2" t="n">
        <x:v>7</x:v>
      </x:c>
      <x:c r="F84" s="7" t="n">
        <x:f>SQRT(AVERAGE('Company tests'!N549,'Company tests'!N561,'Company tests'!N573,'Company tests'!N585,'Company tests'!N597,'Company tests'!N603,'Company tests'!N618))</x:f>
        <x:v>1.755937896886753</x:v>
      </x:c>
      <x:c r="G84" s="7" t="n">
        <x:v>1.7320508075688772</x:v>
      </x:c>
      <x:c r="H84" s="7" t="n">
        <x:v>1.6663690210411721</x:v>
      </x:c>
    </x:row>
    <x:row r="85" ht="27" customHeight="1">
      <x:c r="A85" s="2"/>
      <x:c r="B85" s="2" t="str">
        <x:v>Health Care | price_contribution | CUUR0000SEGB</x:v>
      </x:c>
      <x:c r="C85" s="2" t="str">
        <x:v>Origin</x:v>
      </x:c>
      <x:c r="D85" s="2" t="str">
        <x:v>YoY carry</x:v>
      </x:c>
      <x:c r="E85" s="2" t="n">
        <x:v>6</x:v>
      </x:c>
      <x:c r="F85" s="7" t="n">
        <x:f>SQRT(AVERAGE('Company tests'!N6,'Company tests'!N22,'Company tests'!N38,'Company tests'!N54,'Company tests'!N70,'Company tests'!N86))</x:f>
        <x:v>1.0267350358271878</x:v>
      </x:c>
      <x:c r="G85" s="7" t="n">
        <x:v>1.2909944487358056</x:v>
      </x:c>
      <x:c r="H85" s="7" t="n">
        <x:v>2.369511201352155</x:v>
      </x:c>
    </x:row>
    <x:row r="86" ht="27" customHeight="1">
      <x:c r="A86" s="2"/>
      <x:c r="B86" s="2" t="str">
        <x:v>Health Care | price_contribution | CUUR0000SEGB</x:v>
      </x:c>
      <x:c r="C86" s="2" t="str">
        <x:v>Origin</x:v>
      </x:c>
      <x:c r="D86" s="2" t="str">
        <x:v>Flat level</x:v>
      </x:c>
      <x:c r="E86" s="2" t="n">
        <x:v>6</x:v>
      </x:c>
      <x:c r="F86" s="7" t="n">
        <x:f>SQRT(AVERAGE('Company tests'!N7,'Company tests'!N23,'Company tests'!N39,'Company tests'!N55,'Company tests'!N71,'Company tests'!N87))</x:f>
        <x:v>0.5920479335316685</x:v>
      </x:c>
      <x:c r="G86" s="7" t="n">
        <x:v>1.2909944487358056</x:v>
      </x:c>
      <x:c r="H86" s="7" t="n">
        <x:v>2.369511201352155</x:v>
      </x:c>
    </x:row>
    <x:row r="87" ht="27" customHeight="1">
      <x:c r="A87" s="2"/>
      <x:c r="B87" s="2" t="str">
        <x:v>Health Care | price_contribution | CUUR0000SEGB</x:v>
      </x:c>
      <x:c r="C87" s="2" t="str">
        <x:v>Origin</x:v>
      </x:c>
      <x:c r="D87" s="2" t="str">
        <x:v>Recent trend</x:v>
      </x:c>
      <x:c r="E87" s="2" t="n">
        <x:v>6</x:v>
      </x:c>
      <x:c r="F87" s="7" t="n">
        <x:f>SQRT(AVERAGE('Company tests'!N8,'Company tests'!N24,'Company tests'!N40,'Company tests'!N56,'Company tests'!N72,'Company tests'!N88))</x:f>
        <x:v>1.0196592761596168</x:v>
      </x:c>
      <x:c r="G87" s="7" t="n">
        <x:v>1.2909944487358056</x:v>
      </x:c>
      <x:c r="H87" s="7" t="n">
        <x:v>2.369511201352155</x:v>
      </x:c>
    </x:row>
    <x:row r="88" ht="27" customHeight="1">
      <x:c r="A88" s="2"/>
      <x:c r="B88" s="2" t="str">
        <x:v>Health Care | price_contribution | CUUR0000SEGB</x:v>
      </x:c>
      <x:c r="C88" s="2" t="str">
        <x:v>Origin</x:v>
      </x:c>
      <x:c r="D88" s="2" t="str">
        <x:v>Seasonal step</x:v>
      </x:c>
      <x:c r="E88" s="2" t="n">
        <x:v>6</x:v>
      </x:c>
      <x:c r="F88" s="7" t="n">
        <x:f>SQRT(AVERAGE('Company tests'!N9,'Company tests'!N25,'Company tests'!N41,'Company tests'!N57,'Company tests'!N73,'Company tests'!N89))</x:f>
        <x:v>1.2769020453601292</x:v>
      </x:c>
      <x:c r="G88" s="7" t="n">
        <x:v>1.2909944487358056</x:v>
      </x:c>
      <x:c r="H88" s="7" t="n">
        <x:v>2.369511201352155</x:v>
      </x:c>
    </x:row>
    <x:row r="89" ht="27" customHeight="1">
      <x:c r="A89" s="2"/>
      <x:c r="B89" s="2" t="str">
        <x:v>Health Care | price_contribution | CUUR0000SEGB</x:v>
      </x:c>
      <x:c r="C89" s="2" t="str">
        <x:v>Origin</x:v>
      </x:c>
      <x:c r="D89" s="2" t="str">
        <x:v>Available-history choice</x:v>
      </x:c>
      <x:c r="E89" s="2" t="n">
        <x:v>6</x:v>
      </x:c>
      <x:c r="F89" s="7" t="n">
        <x:f>SQRT(AVERAGE('Company tests'!N497,'Company tests'!N501,'Company tests'!N505,'Company tests'!N509,'Company tests'!N513,'Company tests'!N517))</x:f>
        <x:v>0.5920479335316685</x:v>
      </x:c>
      <x:c r="G89" s="7" t="n">
        <x:v>1.2909944487358056</x:v>
      </x:c>
      <x:c r="H89" s="7" t="n">
        <x:v>2.369511201352155</x:v>
      </x:c>
    </x:row>
    <x:row r="90" ht="27" customHeight="1">
      <x:c r="A90" s="2"/>
      <x:c r="B90" s="2" t="str">
        <x:v>Health Care | price_contribution | CUUR0000SEGB</x:v>
      </x:c>
      <x:c r="C90" s="2" t="str">
        <x:v>One month</x:v>
      </x:c>
      <x:c r="D90" s="2" t="str">
        <x:v>YoY carry</x:v>
      </x:c>
      <x:c r="E90" s="2" t="n">
        <x:v>6</x:v>
      </x:c>
      <x:c r="F90" s="7" t="n">
        <x:f>SQRT(AVERAGE('Company tests'!N10,'Company tests'!N26,'Company tests'!N42,'Company tests'!N58,'Company tests'!N74,'Company tests'!N90))</x:f>
        <x:v>1.0058233442082434</x:v>
      </x:c>
      <x:c r="G90" s="7" t="n">
        <x:v>0.5773502691896257</x:v>
      </x:c>
      <x:c r="H90" s="7" t="n">
        <x:v>1.6645820296198484</x:v>
      </x:c>
    </x:row>
    <x:row r="91" ht="27" customHeight="1">
      <x:c r="A91" s="2"/>
      <x:c r="B91" s="2" t="str">
        <x:v>Health Care | price_contribution | CUUR0000SEGB</x:v>
      </x:c>
      <x:c r="C91" s="2" t="str">
        <x:v>One month</x:v>
      </x:c>
      <x:c r="D91" s="2" t="str">
        <x:v>Flat level</x:v>
      </x:c>
      <x:c r="E91" s="2" t="n">
        <x:v>6</x:v>
      </x:c>
      <x:c r="F91" s="7" t="n">
        <x:f>SQRT(AVERAGE('Company tests'!N11,'Company tests'!N27,'Company tests'!N43,'Company tests'!N59,'Company tests'!N75,'Company tests'!N91))</x:f>
        <x:v>0.9771723388625013</x:v>
      </x:c>
      <x:c r="G91" s="7" t="n">
        <x:v>0.5773502691896257</x:v>
      </x:c>
      <x:c r="H91" s="7" t="n">
        <x:v>1.6645820296198484</x:v>
      </x:c>
    </x:row>
    <x:row r="92" ht="27" customHeight="1">
      <x:c r="A92" s="2"/>
      <x:c r="B92" s="2" t="str">
        <x:v>Health Care | price_contribution | CUUR0000SEGB</x:v>
      </x:c>
      <x:c r="C92" s="2" t="str">
        <x:v>One month</x:v>
      </x:c>
      <x:c r="D92" s="2" t="str">
        <x:v>Recent trend</x:v>
      </x:c>
      <x:c r="E92" s="2" t="n">
        <x:v>6</x:v>
      </x:c>
      <x:c r="F92" s="7" t="n">
        <x:f>SQRT(AVERAGE('Company tests'!N12,'Company tests'!N28,'Company tests'!N44,'Company tests'!N60,'Company tests'!N76,'Company tests'!N92))</x:f>
        <x:v>1.0398507285597087</x:v>
      </x:c>
      <x:c r="G92" s="7" t="n">
        <x:v>0.5773502691896257</x:v>
      </x:c>
      <x:c r="H92" s="7" t="n">
        <x:v>1.6645820296198484</x:v>
      </x:c>
    </x:row>
    <x:row r="93" ht="27" customHeight="1">
      <x:c r="A93" s="2"/>
      <x:c r="B93" s="2" t="str">
        <x:v>Health Care | price_contribution | CUUR0000SEGB</x:v>
      </x:c>
      <x:c r="C93" s="2" t="str">
        <x:v>One month</x:v>
      </x:c>
      <x:c r="D93" s="2" t="str">
        <x:v>Seasonal step</x:v>
      </x:c>
      <x:c r="E93" s="2" t="n">
        <x:v>6</x:v>
      </x:c>
      <x:c r="F93" s="7" t="n">
        <x:f>SQRT(AVERAGE('Company tests'!N13,'Company tests'!N29,'Company tests'!N45,'Company tests'!N61,'Company tests'!N77,'Company tests'!N93))</x:f>
        <x:v>1.1391048819700633</x:v>
      </x:c>
      <x:c r="G93" s="7" t="n">
        <x:v>0.5773502691896257</x:v>
      </x:c>
      <x:c r="H93" s="7" t="n">
        <x:v>1.6645820296198484</x:v>
      </x:c>
    </x:row>
    <x:row r="94" ht="27" customHeight="1">
      <x:c r="A94" s="2"/>
      <x:c r="B94" s="2" t="str">
        <x:v>Health Care | price_contribution | CUUR0000SEGB</x:v>
      </x:c>
      <x:c r="C94" s="2" t="str">
        <x:v>One month</x:v>
      </x:c>
      <x:c r="D94" s="2" t="str">
        <x:v>Available-history choice</x:v>
      </x:c>
      <x:c r="E94" s="2" t="n">
        <x:v>6</x:v>
      </x:c>
      <x:c r="F94" s="7" t="n">
        <x:f>SQRT(AVERAGE('Company tests'!N498,'Company tests'!N502,'Company tests'!N506,'Company tests'!N510,'Company tests'!N514,'Company tests'!N518))</x:f>
        <x:v>1.0310095279083435</x:v>
      </x:c>
      <x:c r="G94" s="7" t="n">
        <x:v>0.5773502691896257</x:v>
      </x:c>
      <x:c r="H94" s="7" t="n">
        <x:v>1.6645820296198484</x:v>
      </x:c>
    </x:row>
    <x:row r="95" ht="27" customHeight="1">
      <x:c r="A95" s="2"/>
      <x:c r="B95" s="2" t="str">
        <x:v>Health Care | price_contribution | CUUR0000SEGB</x:v>
      </x:c>
      <x:c r="C95" s="2" t="str">
        <x:v>Two months</x:v>
      </x:c>
      <x:c r="D95" s="2" t="str">
        <x:v>YoY carry</x:v>
      </x:c>
      <x:c r="E95" s="2" t="n">
        <x:v>6</x:v>
      </x:c>
      <x:c r="F95" s="7" t="n">
        <x:f>SQRT(AVERAGE('Company tests'!N14,'Company tests'!N30,'Company tests'!N46,'Company tests'!N62,'Company tests'!N78,'Company tests'!N94))</x:f>
        <x:v>0.990917576663311</x:v>
      </x:c>
      <x:c r="G95" s="7" t="n">
        <x:v>0.5773502691896257</x:v>
      </x:c>
      <x:c r="H95" s="7" t="n">
        <x:v>1.6645820296198484</x:v>
      </x:c>
    </x:row>
    <x:row r="96" ht="27" customHeight="1">
      <x:c r="A96" s="2"/>
      <x:c r="B96" s="2" t="str">
        <x:v>Health Care | price_contribution | CUUR0000SEGB</x:v>
      </x:c>
      <x:c r="C96" s="2" t="str">
        <x:v>Two months</x:v>
      </x:c>
      <x:c r="D96" s="2" t="str">
        <x:v>Flat level</x:v>
      </x:c>
      <x:c r="E96" s="2" t="n">
        <x:v>6</x:v>
      </x:c>
      <x:c r="F96" s="7" t="n">
        <x:f>SQRT(AVERAGE('Company tests'!N15,'Company tests'!N31,'Company tests'!N47,'Company tests'!N63,'Company tests'!N79,'Company tests'!N95))</x:f>
        <x:v>1.000927583058042</x:v>
      </x:c>
      <x:c r="G96" s="7" t="n">
        <x:v>0.5773502691896257</x:v>
      </x:c>
      <x:c r="H96" s="7" t="n">
        <x:v>1.6645820296198484</x:v>
      </x:c>
    </x:row>
    <x:row r="97" ht="27" customHeight="1">
      <x:c r="A97" s="2"/>
      <x:c r="B97" s="2" t="str">
        <x:v>Health Care | price_contribution | CUUR0000SEGB</x:v>
      </x:c>
      <x:c r="C97" s="2" t="str">
        <x:v>Two months</x:v>
      </x:c>
      <x:c r="D97" s="2" t="str">
        <x:v>Recent trend</x:v>
      </x:c>
      <x:c r="E97" s="2" t="n">
        <x:v>6</x:v>
      </x:c>
      <x:c r="F97" s="7" t="n">
        <x:f>SQRT(AVERAGE('Company tests'!N16,'Company tests'!N32,'Company tests'!N48,'Company tests'!N64,'Company tests'!N80,'Company tests'!N96))</x:f>
        <x:v>1.0434643698006514</x:v>
      </x:c>
      <x:c r="G97" s="7" t="n">
        <x:v>0.5773502691896257</x:v>
      </x:c>
      <x:c r="H97" s="7" t="n">
        <x:v>1.6645820296198484</x:v>
      </x:c>
    </x:row>
    <x:row r="98" ht="27" customHeight="1">
      <x:c r="A98" s="2"/>
      <x:c r="B98" s="2" t="str">
        <x:v>Health Care | price_contribution | CUUR0000SEGB</x:v>
      </x:c>
      <x:c r="C98" s="2" t="str">
        <x:v>Two months</x:v>
      </x:c>
      <x:c r="D98" s="2" t="str">
        <x:v>Seasonal step</x:v>
      </x:c>
      <x:c r="E98" s="2" t="n">
        <x:v>6</x:v>
      </x:c>
      <x:c r="F98" s="7" t="n">
        <x:f>SQRT(AVERAGE('Company tests'!N17,'Company tests'!N33,'Company tests'!N49,'Company tests'!N65,'Company tests'!N81,'Company tests'!N97))</x:f>
        <x:v>1.0581531101119648</x:v>
      </x:c>
      <x:c r="G98" s="7" t="n">
        <x:v>0.5773502691896257</x:v>
      </x:c>
      <x:c r="H98" s="7" t="n">
        <x:v>1.6645820296198484</x:v>
      </x:c>
    </x:row>
    <x:row r="99" ht="27" customHeight="1">
      <x:c r="A99" s="2"/>
      <x:c r="B99" s="2" t="str">
        <x:v>Health Care | price_contribution | CUUR0000SEGB</x:v>
      </x:c>
      <x:c r="C99" s="2" t="str">
        <x:v>Two months</x:v>
      </x:c>
      <x:c r="D99" s="2" t="str">
        <x:v>Available-history choice</x:v>
      </x:c>
      <x:c r="E99" s="2" t="n">
        <x:v>6</x:v>
      </x:c>
      <x:c r="F99" s="7" t="n">
        <x:f>SQRT(AVERAGE('Company tests'!N499,'Company tests'!N503,'Company tests'!N507,'Company tests'!N511,'Company tests'!N515,'Company tests'!N519))</x:f>
        <x:v>1.000927583058042</x:v>
      </x:c>
      <x:c r="G99" s="7" t="n">
        <x:v>0.5773502691896257</x:v>
      </x:c>
      <x:c r="H99" s="7" t="n">
        <x:v>1.6645820296198484</x:v>
      </x:c>
    </x:row>
    <x:row r="100" ht="27" customHeight="1">
      <x:c r="A100" s="2"/>
      <x:c r="B100" s="2" t="str">
        <x:v>Health Care | price_contribution | CUUR0000SEGB</x:v>
      </x:c>
      <x:c r="C100" s="2" t="str">
        <x:v>Pre-earnings</x:v>
      </x:c>
      <x:c r="D100" s="2" t="str">
        <x:v>YoY carry</x:v>
      </x:c>
      <x:c r="E100" s="2" t="n">
        <x:v>6</x:v>
      </x:c>
      <x:c r="F100" s="7" t="n">
        <x:f>SQRT(AVERAGE('Company tests'!N18,'Company tests'!N34,'Company tests'!N50,'Company tests'!N66,'Company tests'!N82,'Company tests'!N98))</x:f>
        <x:v>0.5550612716926268</x:v>
      </x:c>
      <x:c r="G100" s="7" t="n">
        <x:v>0.5773502691896257</x:v>
      </x:c>
      <x:c r="H100" s="7" t="n">
        <x:v>1.6645820296198484</x:v>
      </x:c>
    </x:row>
    <x:row r="101" ht="27" customHeight="1">
      <x:c r="A101" s="2"/>
      <x:c r="B101" s="2" t="str">
        <x:v>Health Care | price_contribution | CUUR0000SEGB</x:v>
      </x:c>
      <x:c r="C101" s="2" t="str">
        <x:v>Pre-earnings</x:v>
      </x:c>
      <x:c r="D101" s="2" t="str">
        <x:v>Flat level</x:v>
      </x:c>
      <x:c r="E101" s="2" t="n">
        <x:v>6</x:v>
      </x:c>
      <x:c r="F101" s="7" t="n">
        <x:f>SQRT(AVERAGE('Company tests'!N19,'Company tests'!N35,'Company tests'!N51,'Company tests'!N67,'Company tests'!N83,'Company tests'!N99))</x:f>
        <x:v>0.5563942368616198</x:v>
      </x:c>
      <x:c r="G101" s="7" t="n">
        <x:v>0.5773502691896257</x:v>
      </x:c>
      <x:c r="H101" s="7" t="n">
        <x:v>1.6645820296198484</x:v>
      </x:c>
    </x:row>
    <x:row r="102" ht="27" customHeight="1">
      <x:c r="A102" s="2"/>
      <x:c r="B102" s="2" t="str">
        <x:v>Health Care | price_contribution | CUUR0000SEGB</x:v>
      </x:c>
      <x:c r="C102" s="2" t="str">
        <x:v>Pre-earnings</x:v>
      </x:c>
      <x:c r="D102" s="2" t="str">
        <x:v>Recent trend</x:v>
      </x:c>
      <x:c r="E102" s="2" t="n">
        <x:v>6</x:v>
      </x:c>
      <x:c r="F102" s="7" t="n">
        <x:f>SQRT(AVERAGE('Company tests'!N20,'Company tests'!N36,'Company tests'!N52,'Company tests'!N68,'Company tests'!N84,'Company tests'!N100))</x:f>
        <x:v>0.5663791598533913</x:v>
      </x:c>
      <x:c r="G102" s="7" t="n">
        <x:v>0.5773502691896257</x:v>
      </x:c>
      <x:c r="H102" s="7" t="n">
        <x:v>1.6645820296198484</x:v>
      </x:c>
    </x:row>
    <x:row r="103" ht="27" customHeight="1">
      <x:c r="A103" s="2"/>
      <x:c r="B103" s="2" t="str">
        <x:v>Health Care | price_contribution | CUUR0000SEGB</x:v>
      </x:c>
      <x:c r="C103" s="2" t="str">
        <x:v>Pre-earnings</x:v>
      </x:c>
      <x:c r="D103" s="2" t="str">
        <x:v>Seasonal step</x:v>
      </x:c>
      <x:c r="E103" s="2" t="n">
        <x:v>6</x:v>
      </x:c>
      <x:c r="F103" s="7" t="n">
        <x:f>SQRT(AVERAGE('Company tests'!N21,'Company tests'!N37,'Company tests'!N53,'Company tests'!N69,'Company tests'!N85,'Company tests'!N101))</x:f>
        <x:v>0.5780115335002393</x:v>
      </x:c>
      <x:c r="G103" s="7" t="n">
        <x:v>0.5773502691896257</x:v>
      </x:c>
      <x:c r="H103" s="7" t="n">
        <x:v>1.6645820296198484</x:v>
      </x:c>
    </x:row>
    <x:row r="104" ht="27" customHeight="1">
      <x:c r="A104" s="2"/>
      <x:c r="B104" s="2" t="str">
        <x:v>Health Care | price_contribution | CUUR0000SEGB</x:v>
      </x:c>
      <x:c r="C104" s="2" t="str">
        <x:v>Pre-earnings</x:v>
      </x:c>
      <x:c r="D104" s="2" t="str">
        <x:v>Available-history choice</x:v>
      </x:c>
      <x:c r="E104" s="2" t="n">
        <x:v>6</x:v>
      </x:c>
      <x:c r="F104" s="7" t="n">
        <x:f>SQRT(AVERAGE('Company tests'!N500,'Company tests'!N504,'Company tests'!N508,'Company tests'!N512,'Company tests'!N516,'Company tests'!N520))</x:f>
        <x:v>0.5550612716926268</x:v>
      </x:c>
      <x:c r="G104" s="7" t="n">
        <x:v>0.5773502691896257</x:v>
      </x:c>
      <x:c r="H104" s="7" t="n">
        <x:v>1.6645820296198484</x:v>
      </x:c>
    </x:row>
    <x:row r="105" ht="27" customHeight="1">
      <x:c r="A105" s="2"/>
      <x:c r="B105" s="2"/>
      <x:c r="C105" s="2"/>
      <x:c r="D105" s="2"/>
      <x:c r="E105" s="2"/>
      <x:c r="F105" s="7"/>
      <x:c r="G105" s="7"/>
      <x:c r="H105" s="7"/>
    </x:row>
    <x:row r="106" ht="27" customHeight="1">
      <x:c r="A106" s="2"/>
      <x:c r="B106" s="2"/>
      <x:c r="C106" s="2"/>
      <x:c r="D106" s="2"/>
      <x:c r="E106" s="2"/>
      <x:c r="F106" s="7"/>
      <x:c r="G106" s="7"/>
      <x:c r="H106" s="7"/>
    </x:row>
    <x:row r="107" ht="27" customHeight="1">
      <x:c r="A107" s="2"/>
      <x:c r="B107" s="2"/>
      <x:c r="C107" s="2"/>
      <x:c r="D107" s="2"/>
      <x:c r="E107" s="2"/>
      <x:c r="F107" s="7"/>
      <x:c r="G107" s="7"/>
      <x:c r="H107" s="7"/>
    </x:row>
    <x:row r="108" ht="46" customHeight="1">
      <x:c r="A108" s="2"/>
      <x:c r="B108" s="6" t="str">
        <x:v>Market series</x:v>
      </x:c>
      <x:c r="C108" s="6" t="str">
        <x:v>Checkpoint</x:v>
      </x:c>
      <x:c r="D108" s="6" t="str">
        <x:v>Method</x:v>
      </x:c>
      <x:c r="E108" s="6" t="str">
        <x:v>Quarters</x:v>
      </x:c>
      <x:c r="F108" s="8" t="str">
        <x:v>MAPE %</x:v>
      </x:c>
      <x:c r="G108" s="8" t="str">
        <x:v>Missing months</x:v>
      </x:c>
      <x:c r="H108" s="8" t="str">
        <x:v>RMSE %</x:v>
      </x:c>
    </x:row>
    <x:row r="109" ht="27" customHeight="1">
      <x:c r="A109" s="2"/>
      <x:c r="B109" s="2" t="str">
        <x:v>CUUR0000SEGB</x:v>
      </x:c>
      <x:c r="C109" s="2" t="str">
        <x:v>Origin</x:v>
      </x:c>
      <x:c r="D109" s="2" t="str">
        <x:v>YoY carry</x:v>
      </x:c>
      <x:c r="E109" s="2" t="n">
        <x:v>6</x:v>
      </x:c>
      <x:c r="F109" s="7" t="n">
        <x:f>AVERAGE('Monthly tests'!L98,'Monthly tests'!L99,'Monthly tests'!L100,'Monthly tests'!L122,'Monthly tests'!L123,'Monthly tests'!L124,'Monthly tests'!L146,'Monthly tests'!L147,'Monthly tests'!L148,'Monthly tests'!L170,'Monthly tests'!L171,'Monthly tests'!L172,'Monthly tests'!L194,'Monthly tests'!L195,'Monthly tests'!L196,'Monthly tests'!L223,'Monthly tests'!L224)</x:f>
        <x:v>0.6368337366736783</x:v>
      </x:c>
      <x:c r="G109" s="7" t="n">
        <x:v>17</x:v>
      </x:c>
      <x:c r="H109" s="7" t="n">
        <x:v>0.9821511485352707</x:v>
      </x:c>
    </x:row>
    <x:row r="110" ht="27" customHeight="1">
      <x:c r="A110" s="2"/>
      <x:c r="B110" s="2" t="str">
        <x:v>CUUR0000SEGB</x:v>
      </x:c>
      <x:c r="C110" s="2" t="str">
        <x:v>Origin</x:v>
      </x:c>
      <x:c r="D110" s="2" t="str">
        <x:v>Flat level</x:v>
      </x:c>
      <x:c r="E110" s="2" t="n">
        <x:v>6</x:v>
      </x:c>
      <x:c r="F110" s="7" t="n">
        <x:f>AVERAGE('Monthly tests'!L101,'Monthly tests'!L102,'Monthly tests'!L103,'Monthly tests'!L125,'Monthly tests'!L126,'Monthly tests'!L127,'Monthly tests'!L149,'Monthly tests'!L150,'Monthly tests'!L151,'Monthly tests'!L173,'Monthly tests'!L174,'Monthly tests'!L175,'Monthly tests'!L197,'Monthly tests'!L198,'Monthly tests'!L199,'Monthly tests'!L226,'Monthly tests'!L227)</x:f>
        <x:v>0.3215672596921936</x:v>
      </x:c>
      <x:c r="G110" s="7" t="n">
        <x:v>17</x:v>
      </x:c>
      <x:c r="H110" s="7" t="n">
        <x:v>0.439043347341579</x:v>
      </x:c>
    </x:row>
    <x:row r="111" ht="27" customHeight="1">
      <x:c r="A111" s="2"/>
      <x:c r="B111" s="2" t="str">
        <x:v>CUUR0000SEGB</x:v>
      </x:c>
      <x:c r="C111" s="2" t="str">
        <x:v>Origin</x:v>
      </x:c>
      <x:c r="D111" s="2" t="str">
        <x:v>Recent trend</x:v>
      </x:c>
      <x:c r="E111" s="2" t="n">
        <x:v>6</x:v>
      </x:c>
      <x:c r="F111" s="7" t="n">
        <x:f>AVERAGE('Monthly tests'!L104,'Monthly tests'!L105,'Monthly tests'!L106,'Monthly tests'!L128,'Monthly tests'!L129,'Monthly tests'!L130,'Monthly tests'!L152,'Monthly tests'!L153,'Monthly tests'!L154,'Monthly tests'!L176,'Monthly tests'!L177,'Monthly tests'!L178,'Monthly tests'!L200,'Monthly tests'!L201,'Monthly tests'!L202,'Monthly tests'!L229,'Monthly tests'!L230)</x:f>
        <x:v>0.8239245312472221</x:v>
      </x:c>
      <x:c r="G111" s="7" t="n">
        <x:v>17</x:v>
      </x:c>
      <x:c r="H111" s="7" t="n">
        <x:v>1.046026712512147</x:v>
      </x:c>
    </x:row>
    <x:row r="112" ht="27" customHeight="1">
      <x:c r="A112" s="2"/>
      <x:c r="B112" s="2" t="str">
        <x:v>CUUR0000SEGB</x:v>
      </x:c>
      <x:c r="C112" s="2" t="str">
        <x:v>Origin</x:v>
      </x:c>
      <x:c r="D112" s="2" t="str">
        <x:v>Seasonal step</x:v>
      </x:c>
      <x:c r="E112" s="2" t="n">
        <x:v>6</x:v>
      </x:c>
      <x:c r="F112" s="7" t="n">
        <x:f>AVERAGE('Monthly tests'!L107,'Monthly tests'!L108,'Monthly tests'!L109,'Monthly tests'!L131,'Monthly tests'!L132,'Monthly tests'!L133,'Monthly tests'!L155,'Monthly tests'!L156,'Monthly tests'!L157,'Monthly tests'!L179,'Monthly tests'!L180,'Monthly tests'!L181,'Monthly tests'!L203,'Monthly tests'!L204,'Monthly tests'!L205,'Monthly tests'!L232,'Monthly tests'!L233)</x:f>
        <x:v>0.838437184504838</x:v>
      </x:c>
      <x:c r="G112" s="7" t="n">
        <x:v>17</x:v>
      </x:c>
      <x:c r="H112" s="7" t="n">
        <x:v>0.9954336050317335</x:v>
      </x:c>
    </x:row>
    <x:row r="113" ht="27" customHeight="1">
      <x:c r="A113" s="2"/>
      <x:c r="B113" s="2" t="str">
        <x:v>CUUR0000SEGB</x:v>
      </x:c>
      <x:c r="C113" s="2" t="str">
        <x:v>One month</x:v>
      </x:c>
      <x:c r="D113" s="2" t="str">
        <x:v>YoY carry</x:v>
      </x:c>
      <x:c r="E113" s="2" t="n">
        <x:v>6</x:v>
      </x:c>
      <x:c r="F113" s="7" t="n">
        <x:f>AVERAGE('Monthly tests'!L110,'Monthly tests'!L111,'Monthly tests'!L134,'Monthly tests'!L135,'Monthly tests'!L158,'Monthly tests'!L159,'Monthly tests'!L182,'Monthly tests'!L183,'Monthly tests'!L206,'Monthly tests'!L207,'Monthly tests'!L234,'Monthly tests'!L235)</x:f>
        <x:v>0.5557629141647785</x:v>
      </x:c>
      <x:c r="G113" s="7" t="n">
        <x:v>12</x:v>
      </x:c>
      <x:c r="H113" s="7" t="n">
        <x:v>0.6166705955230523</x:v>
      </x:c>
    </x:row>
    <x:row r="114" ht="27" customHeight="1">
      <x:c r="A114" s="2"/>
      <x:c r="B114" s="2" t="str">
        <x:v>CUUR0000SEGB</x:v>
      </x:c>
      <x:c r="C114" s="2" t="str">
        <x:v>One month</x:v>
      </x:c>
      <x:c r="D114" s="2" t="str">
        <x:v>Flat level</x:v>
      </x:c>
      <x:c r="E114" s="2" t="n">
        <x:v>6</x:v>
      </x:c>
      <x:c r="F114" s="7" t="n">
        <x:f>AVERAGE('Monthly tests'!L112,'Monthly tests'!L113,'Monthly tests'!L136,'Monthly tests'!L137,'Monthly tests'!L160,'Monthly tests'!L161,'Monthly tests'!L184,'Monthly tests'!L185,'Monthly tests'!L208,'Monthly tests'!L209,'Monthly tests'!L236,'Monthly tests'!L237)</x:f>
        <x:v>0.5918658199542256</x:v>
      </x:c>
      <x:c r="G114" s="7" t="n">
        <x:v>12</x:v>
      </x:c>
      <x:c r="H114" s="7" t="n">
        <x:v>0.7288603153012116</x:v>
      </x:c>
    </x:row>
    <x:row r="115" ht="27" customHeight="1">
      <x:c r="A115" s="2"/>
      <x:c r="B115" s="2" t="str">
        <x:v>CUUR0000SEGB</x:v>
      </x:c>
      <x:c r="C115" s="2" t="str">
        <x:v>One month</x:v>
      </x:c>
      <x:c r="D115" s="2" t="str">
        <x:v>Recent trend</x:v>
      </x:c>
      <x:c r="E115" s="2" t="n">
        <x:v>6</x:v>
      </x:c>
      <x:c r="F115" s="7" t="n">
        <x:f>AVERAGE('Monthly tests'!L114,'Monthly tests'!L115,'Monthly tests'!L138,'Monthly tests'!L139,'Monthly tests'!L162,'Monthly tests'!L163,'Monthly tests'!L186,'Monthly tests'!L187,'Monthly tests'!L210,'Monthly tests'!L211,'Monthly tests'!L238,'Monthly tests'!L239)</x:f>
        <x:v>0.7153923933888658</x:v>
      </x:c>
      <x:c r="G115" s="7" t="n">
        <x:v>12</x:v>
      </x:c>
      <x:c r="H115" s="7" t="n">
        <x:v>0.8935353078069294</x:v>
      </x:c>
    </x:row>
    <x:row r="116" ht="27" customHeight="1">
      <x:c r="A116" s="2"/>
      <x:c r="B116" s="2" t="str">
        <x:v>CUUR0000SEGB</x:v>
      </x:c>
      <x:c r="C116" s="2" t="str">
        <x:v>One month</x:v>
      </x:c>
      <x:c r="D116" s="2" t="str">
        <x:v>Seasonal step</x:v>
      </x:c>
      <x:c r="E116" s="2" t="n">
        <x:v>6</x:v>
      </x:c>
      <x:c r="F116" s="7" t="n">
        <x:f>AVERAGE('Monthly tests'!L116,'Monthly tests'!L117,'Monthly tests'!L140,'Monthly tests'!L141,'Monthly tests'!L164,'Monthly tests'!L165,'Monthly tests'!L188,'Monthly tests'!L189,'Monthly tests'!L212,'Monthly tests'!L213,'Monthly tests'!L240,'Monthly tests'!L241)</x:f>
        <x:v>0.447212553632978</x:v>
      </x:c>
      <x:c r="G116" s="7" t="n">
        <x:v>12</x:v>
      </x:c>
      <x:c r="H116" s="7" t="n">
        <x:v>0.5321912007932553</x:v>
      </x:c>
    </x:row>
    <x:row r="117" ht="27" customHeight="1">
      <x:c r="A117" s="2"/>
      <x:c r="B117" s="2" t="str">
        <x:v>CUUR0000SEGB</x:v>
      </x:c>
      <x:c r="C117" s="2" t="str">
        <x:v>Two months</x:v>
      </x:c>
      <x:c r="D117" s="2" t="str">
        <x:v>YoY carry</x:v>
      </x:c>
      <x:c r="E117" s="2" t="n">
        <x:v>6</x:v>
      </x:c>
      <x:c r="F117" s="7" t="n">
        <x:f>AVERAGE('Monthly tests'!L118,'Monthly tests'!L142,'Monthly tests'!L166,'Monthly tests'!L190,'Monthly tests'!L214,'Monthly tests'!L242)</x:f>
        <x:v>0.46778775323682575</x:v>
      </x:c>
      <x:c r="G117" s="7" t="n">
        <x:v>6</x:v>
      </x:c>
      <x:c r="H117" s="7" t="n">
        <x:v>0.49137139713130934</x:v>
      </x:c>
    </x:row>
    <x:row r="118" ht="27" customHeight="1">
      <x:c r="A118" s="2"/>
      <x:c r="B118" s="2" t="str">
        <x:v>CUUR0000SEGB</x:v>
      </x:c>
      <x:c r="C118" s="2" t="str">
        <x:v>Two months</x:v>
      </x:c>
      <x:c r="D118" s="2" t="str">
        <x:v>Flat level</x:v>
      </x:c>
      <x:c r="E118" s="2" t="n">
        <x:v>6</x:v>
      </x:c>
      <x:c r="F118" s="7" t="n">
        <x:f>AVERAGE('Monthly tests'!L119,'Monthly tests'!L143,'Monthly tests'!L167,'Monthly tests'!L191,'Monthly tests'!L215,'Monthly tests'!L243)</x:f>
        <x:v>0.4599424220431562</x:v>
      </x:c>
      <x:c r="G118" s="7" t="n">
        <x:v>6</x:v>
      </x:c>
      <x:c r="H118" s="7" t="n">
        <x:v>0.5821479582019669</x:v>
      </x:c>
    </x:row>
    <x:row r="119" ht="27" customHeight="1">
      <x:c r="A119" s="2"/>
      <x:c r="B119" s="2" t="str">
        <x:v>CUUR0000SEGB</x:v>
      </x:c>
      <x:c r="C119" s="2" t="str">
        <x:v>Two months</x:v>
      </x:c>
      <x:c r="D119" s="2" t="str">
        <x:v>Recent trend</x:v>
      </x:c>
      <x:c r="E119" s="2" t="n">
        <x:v>6</x:v>
      </x:c>
      <x:c r="F119" s="7" t="n">
        <x:f>AVERAGE('Monthly tests'!L120,'Monthly tests'!L144,'Monthly tests'!L168,'Monthly tests'!L192,'Monthly tests'!L216,'Monthly tests'!L244)</x:f>
        <x:v>0.5388759838702998</x:v>
      </x:c>
      <x:c r="G119" s="7" t="n">
        <x:v>6</x:v>
      </x:c>
      <x:c r="H119" s="7" t="n">
        <x:v>0.6318251665878089</x:v>
      </x:c>
    </x:row>
    <x:row r="120" ht="27" customHeight="1">
      <x:c r="A120" s="2"/>
      <x:c r="B120" s="2" t="str">
        <x:v>CUUR0000SEGB</x:v>
      </x:c>
      <x:c r="C120" s="2" t="str">
        <x:v>Two months</x:v>
      </x:c>
      <x:c r="D120" s="2" t="str">
        <x:v>Seasonal step</x:v>
      </x:c>
      <x:c r="E120" s="2" t="n">
        <x:v>6</x:v>
      </x:c>
      <x:c r="F120" s="7" t="n">
        <x:f>AVERAGE('Monthly tests'!L121,'Monthly tests'!L145,'Monthly tests'!L169,'Monthly tests'!L193,'Monthly tests'!L217,'Monthly tests'!L245)</x:f>
        <x:v>0.40507800768036506</x:v>
      </x:c>
      <x:c r="G120" s="7" t="n">
        <x:v>6</x:v>
      </x:c>
      <x:c r="H120" s="7" t="n">
        <x:v>0.5316058111052182</x:v>
      </x:c>
    </x:row>
    <x:row r="121" ht="27" customHeight="1">
      <x:c r="A121" s="2"/>
      <x:c r="B121" s="2" t="str">
        <x:v>CUUR0000SEGB</x:v>
      </x:c>
      <x:c r="C121" s="2" t="str">
        <x:v>Pre-earnings</x:v>
      </x:c>
      <x:c r="D121" s="2" t="str">
        <x:v>YoY carry</x:v>
      </x:c>
      <x:c r="E121" s="2" t="n">
        <x:v>1</x:v>
      </x:c>
      <x:c r="F121" s="7" t="n">
        <x:f>AVERAGE('Monthly tests'!L218)</x:f>
        <x:v>0.747570229935679</x:v>
      </x:c>
      <x:c r="G121" s="7" t="n">
        <x:v>1</x:v>
      </x:c>
      <x:c r="H121" s="7" t="n">
        <x:v>0.747570229935679</x:v>
      </x:c>
    </x:row>
    <x:row r="122" ht="27" customHeight="1">
      <x:c r="A122" s="2"/>
      <x:c r="B122" s="2" t="str">
        <x:v>CUUR0000SEGB</x:v>
      </x:c>
      <x:c r="C122" s="2" t="str">
        <x:v>Pre-earnings</x:v>
      </x:c>
      <x:c r="D122" s="2" t="str">
        <x:v>Flat level</x:v>
      </x:c>
      <x:c r="E122" s="2" t="n">
        <x:v>1</x:v>
      </x:c>
      <x:c r="F122" s="7" t="n">
        <x:f>AVERAGE('Monthly tests'!L219)</x:f>
        <x:v>0.7221586659040047</x:v>
      </x:c>
      <x:c r="G122" s="7" t="n">
        <x:v>1</x:v>
      </x:c>
      <x:c r="H122" s="7" t="n">
        <x:v>0.7221586659040047</x:v>
      </x:c>
    </x:row>
    <x:row r="123" ht="27" customHeight="1">
      <x:c r="A123" s="2"/>
      <x:c r="B123" s="2" t="str">
        <x:v>CUUR0000SEGB</x:v>
      </x:c>
      <x:c r="C123" s="2" t="str">
        <x:v>Pre-earnings</x:v>
      </x:c>
      <x:c r="D123" s="2" t="str">
        <x:v>Recent trend</x:v>
      </x:c>
      <x:c r="E123" s="2" t="n">
        <x:v>1</x:v>
      </x:c>
      <x:c r="F123" s="7" t="n">
        <x:f>AVERAGE('Monthly tests'!L220)</x:f>
        <x:v>0.5370814449773498</x:v>
      </x:c>
      <x:c r="G123" s="7" t="n">
        <x:v>1</x:v>
      </x:c>
      <x:c r="H123" s="7" t="n">
        <x:v>0.5370814449773498</x:v>
      </x:c>
    </x:row>
    <x:row r="124" ht="27" customHeight="1">
      <x:c r="A124" s="2"/>
      <x:c r="B124" s="2" t="str">
        <x:v>CUUR0000SEGB</x:v>
      </x:c>
      <x:c r="C124" s="2" t="str">
        <x:v>Pre-earnings</x:v>
      </x:c>
      <x:c r="D124" s="2" t="str">
        <x:v>Seasonal step</x:v>
      </x:c>
      <x:c r="E124" s="2" t="n">
        <x:v>1</x:v>
      </x:c>
      <x:c r="F124" s="7" t="n">
        <x:f>AVERAGE('Monthly tests'!L221)</x:f>
        <x:v>0.3316164213982731</x:v>
      </x:c>
      <x:c r="G124" s="7" t="n">
        <x:v>1</x:v>
      </x:c>
      <x:c r="H124" s="7" t="n">
        <x:v>0.3316164213982731</x:v>
      </x:c>
    </x:row>
    <x:row r="125" ht="27" customHeight="1">
      <x:c r="A125" s="2"/>
      <x:c r="B125" s="2" t="str">
        <x:v>CUUR0000SEGB02</x:v>
      </x:c>
      <x:c r="C125" s="2" t="str">
        <x:v>Origin</x:v>
      </x:c>
      <x:c r="D125" s="2" t="str">
        <x:v>YoY carry</x:v>
      </x:c>
      <x:c r="E125" s="2" t="n">
        <x:v>6</x:v>
      </x:c>
      <x:c r="F125" s="7" t="n">
        <x:f>AVERAGE('Monthly tests'!L326,'Monthly tests'!L327,'Monthly tests'!L328,'Monthly tests'!L342,'Monthly tests'!L343,'Monthly tests'!L344,'Monthly tests'!L358,'Monthly tests'!L359,'Monthly tests'!L360,'Monthly tests'!L374,'Monthly tests'!L375,'Monthly tests'!L376,'Monthly tests'!L390,'Monthly tests'!L391,'Monthly tests'!L392,'Monthly tests'!L411,'Monthly tests'!L412)</x:f>
        <x:v>0.683039037975905</x:v>
      </x:c>
      <x:c r="G125" s="7" t="n">
        <x:v>17</x:v>
      </x:c>
      <x:c r="H125" s="7" t="n">
        <x:v>0.8220504195165488</x:v>
      </x:c>
    </x:row>
    <x:row r="126" ht="27" customHeight="1">
      <x:c r="A126" s="2"/>
      <x:c r="B126" s="2" t="str">
        <x:v>CUUR0000SEGB02</x:v>
      </x:c>
      <x:c r="C126" s="2" t="str">
        <x:v>Origin</x:v>
      </x:c>
      <x:c r="D126" s="2" t="str">
        <x:v>Flat level</x:v>
      </x:c>
      <x:c r="E126" s="2" t="n">
        <x:v>6</x:v>
      </x:c>
      <x:c r="F126" s="7" t="n">
        <x:f>AVERAGE('Monthly tests'!L329,'Monthly tests'!L330,'Monthly tests'!L331,'Monthly tests'!L345,'Monthly tests'!L346,'Monthly tests'!L347,'Monthly tests'!L361,'Monthly tests'!L362,'Monthly tests'!L363,'Monthly tests'!L377,'Monthly tests'!L378,'Monthly tests'!L379,'Monthly tests'!L393,'Monthly tests'!L394,'Monthly tests'!L395,'Monthly tests'!L414,'Monthly tests'!L415)</x:f>
        <x:v>0.6306609880405695</x:v>
      </x:c>
      <x:c r="G126" s="7" t="n">
        <x:v>17</x:v>
      </x:c>
      <x:c r="H126" s="7" t="n">
        <x:v>0.7696198147873994</x:v>
      </x:c>
    </x:row>
    <x:row r="127" ht="27" customHeight="1">
      <x:c r="A127" s="2"/>
      <x:c r="B127" s="2" t="str">
        <x:v>CUUR0000SEGB02</x:v>
      </x:c>
      <x:c r="C127" s="2" t="str">
        <x:v>Origin</x:v>
      </x:c>
      <x:c r="D127" s="2" t="str">
        <x:v>Recent trend</x:v>
      </x:c>
      <x:c r="E127" s="2" t="n">
        <x:v>6</x:v>
      </x:c>
      <x:c r="F127" s="7" t="n">
        <x:f>AVERAGE('Monthly tests'!L332,'Monthly tests'!L333,'Monthly tests'!L334,'Monthly tests'!L348,'Monthly tests'!L349,'Monthly tests'!L350,'Monthly tests'!L364,'Monthly tests'!L365,'Monthly tests'!L366,'Monthly tests'!L380,'Monthly tests'!L381,'Monthly tests'!L382,'Monthly tests'!L396,'Monthly tests'!L397,'Monthly tests'!L398,'Monthly tests'!L417,'Monthly tests'!L418)</x:f>
        <x:v>1.1096682840443222</x:v>
      </x:c>
      <x:c r="G127" s="7" t="n">
        <x:v>17</x:v>
      </x:c>
      <x:c r="H127" s="7" t="n">
        <x:v>1.2600253470968852</x:v>
      </x:c>
    </x:row>
    <x:row r="128" ht="27" customHeight="1">
      <x:c r="A128" s="2"/>
      <x:c r="B128" s="2" t="str">
        <x:v>CUUR0000SEGB02</x:v>
      </x:c>
      <x:c r="C128" s="2" t="str">
        <x:v>Origin</x:v>
      </x:c>
      <x:c r="D128" s="2" t="str">
        <x:v>Seasonal step</x:v>
      </x:c>
      <x:c r="E128" s="2" t="n">
        <x:v>6</x:v>
      </x:c>
      <x:c r="F128" s="7" t="n">
        <x:f>AVERAGE('Monthly tests'!L335,'Monthly tests'!L336,'Monthly tests'!L337,'Monthly tests'!L351,'Monthly tests'!L352,'Monthly tests'!L353,'Monthly tests'!L367,'Monthly tests'!L368,'Monthly tests'!L369,'Monthly tests'!L383,'Monthly tests'!L384,'Monthly tests'!L385,'Monthly tests'!L399,'Monthly tests'!L400,'Monthly tests'!L401,'Monthly tests'!L420,'Monthly tests'!L421)</x:f>
        <x:v>0.5654952168777956</x:v>
      </x:c>
      <x:c r="G128" s="7" t="n">
        <x:v>17</x:v>
      </x:c>
      <x:c r="H128" s="7" t="n">
        <x:v>0.7969411716252512</x:v>
      </x:c>
    </x:row>
    <x:row r="129" ht="27" customHeight="1">
      <x:c r="A129" s="2"/>
      <x:c r="B129" s="2" t="str">
        <x:v>CUUR0000SEGB02</x:v>
      </x:c>
      <x:c r="C129" s="2" t="str">
        <x:v>Two months</x:v>
      </x:c>
      <x:c r="D129" s="2" t="str">
        <x:v>YoY carry</x:v>
      </x:c>
      <x:c r="E129" s="2" t="n">
        <x:v>5</x:v>
      </x:c>
      <x:c r="F129" s="7" t="n">
        <x:f>AVERAGE('Monthly tests'!L338,'Monthly tests'!L354,'Monthly tests'!L370,'Monthly tests'!L386,'Monthly tests'!L402)</x:f>
        <x:v>0.6899875277922929</x:v>
      </x:c>
      <x:c r="G129" s="7" t="n">
        <x:v>5</x:v>
      </x:c>
      <x:c r="H129" s="7" t="n">
        <x:v>0.7521940570724299</x:v>
      </x:c>
    </x:row>
    <x:row r="130" ht="27" customHeight="1">
      <x:c r="A130" s="2"/>
      <x:c r="B130" s="2" t="str">
        <x:v>CUUR0000SEGB02</x:v>
      </x:c>
      <x:c r="C130" s="2" t="str">
        <x:v>Two months</x:v>
      </x:c>
      <x:c r="D130" s="2" t="str">
        <x:v>Flat level</x:v>
      </x:c>
      <x:c r="E130" s="2" t="n">
        <x:v>5</x:v>
      </x:c>
      <x:c r="F130" s="7" t="n">
        <x:f>AVERAGE('Monthly tests'!L339,'Monthly tests'!L355,'Monthly tests'!L371,'Monthly tests'!L387,'Monthly tests'!L403)</x:f>
        <x:v>0.5449319082890125</x:v>
      </x:c>
      <x:c r="G130" s="7" t="n">
        <x:v>5</x:v>
      </x:c>
      <x:c r="H130" s="7" t="n">
        <x:v>0.6920977199427651</x:v>
      </x:c>
    </x:row>
    <x:row r="131" ht="27" customHeight="1">
      <x:c r="A131" s="2"/>
      <x:c r="B131" s="2" t="str">
        <x:v>CUUR0000SEGB02</x:v>
      </x:c>
      <x:c r="C131" s="2" t="str">
        <x:v>Two months</x:v>
      </x:c>
      <x:c r="D131" s="2" t="str">
        <x:v>Recent trend</x:v>
      </x:c>
      <x:c r="E131" s="2" t="n">
        <x:v>5</x:v>
      </x:c>
      <x:c r="F131" s="7" t="n">
        <x:f>AVERAGE('Monthly tests'!L340,'Monthly tests'!L356,'Monthly tests'!L372,'Monthly tests'!L388,'Monthly tests'!L404)</x:f>
        <x:v>0.5507388813414016</x:v>
      </x:c>
      <x:c r="G131" s="7" t="n">
        <x:v>5</x:v>
      </x:c>
      <x:c r="H131" s="7" t="n">
        <x:v>0.638216058571833</x:v>
      </x:c>
    </x:row>
    <x:row r="132" ht="27" customHeight="1">
      <x:c r="A132" s="2"/>
      <x:c r="B132" s="2" t="str">
        <x:v>CUUR0000SEGB02</x:v>
      </x:c>
      <x:c r="C132" s="2" t="str">
        <x:v>Two months</x:v>
      </x:c>
      <x:c r="D132" s="2" t="str">
        <x:v>Seasonal step</x:v>
      </x:c>
      <x:c r="E132" s="2" t="n">
        <x:v>5</x:v>
      </x:c>
      <x:c r="F132" s="7" t="n">
        <x:f>AVERAGE('Monthly tests'!L341,'Monthly tests'!L357,'Monthly tests'!L373,'Monthly tests'!L389,'Monthly tests'!L405)</x:f>
        <x:v>0.34809981359527287</x:v>
      </x:c>
      <x:c r="G132" s="7" t="n">
        <x:v>5</x:v>
      </x:c>
      <x:c r="H132" s="7" t="n">
        <x:v>0.3938558144699375</x:v>
      </x:c>
    </x:row>
    <x:row r="133" ht="27" customHeight="1">
      <x:c r="A133" s="2"/>
      <x:c r="B133" s="2" t="str">
        <x:v>CUUR0000SEGB02</x:v>
      </x:c>
      <x:c r="C133" s="2" t="str">
        <x:v>Pre-earnings</x:v>
      </x:c>
      <x:c r="D133" s="2" t="str">
        <x:v>YoY carry</x:v>
      </x:c>
      <x:c r="E133" s="2" t="n">
        <x:v>1</x:v>
      </x:c>
      <x:c r="F133" s="7" t="n">
        <x:f>AVERAGE('Monthly tests'!L406)</x:f>
        <x:v>0.3189138711094941</x:v>
      </x:c>
      <x:c r="G133" s="7" t="n">
        <x:v>1</x:v>
      </x:c>
      <x:c r="H133" s="7" t="n">
        <x:v>0.3189138711094941</x:v>
      </x:c>
    </x:row>
    <x:row r="134" ht="27" customHeight="1">
      <x:c r="A134" s="2"/>
      <x:c r="B134" s="2" t="str">
        <x:v>CUUR0000SEGB02</x:v>
      </x:c>
      <x:c r="C134" s="2" t="str">
        <x:v>Pre-earnings</x:v>
      </x:c>
      <x:c r="D134" s="2" t="str">
        <x:v>Flat level</x:v>
      </x:c>
      <x:c r="E134" s="2" t="n">
        <x:v>1</x:v>
      </x:c>
      <x:c r="F134" s="7" t="n">
        <x:f>AVERAGE('Monthly tests'!L407)</x:f>
        <x:v>0.5203568161024741</x:v>
      </x:c>
      <x:c r="G134" s="7" t="n">
        <x:v>1</x:v>
      </x:c>
      <x:c r="H134" s="7" t="n">
        <x:v>0.5203568161024741</x:v>
      </x:c>
    </x:row>
    <x:row r="135" ht="27" customHeight="1">
      <x:c r="A135" s="2"/>
      <x:c r="B135" s="2" t="str">
        <x:v>CUUR0000SEGB02</x:v>
      </x:c>
      <x:c r="C135" s="2" t="str">
        <x:v>Pre-earnings</x:v>
      </x:c>
      <x:c r="D135" s="2" t="str">
        <x:v>Recent trend</x:v>
      </x:c>
      <x:c r="E135" s="2" t="n">
        <x:v>1</x:v>
      </x:c>
      <x:c r="F135" s="7" t="n">
        <x:f>AVERAGE('Monthly tests'!L408)</x:f>
        <x:v>0.44368086168177223</x:v>
      </x:c>
      <x:c r="G135" s="7" t="n">
        <x:v>1</x:v>
      </x:c>
      <x:c r="H135" s="7" t="n">
        <x:v>0.44368086168177223</x:v>
      </x:c>
    </x:row>
    <x:row r="136" ht="27" customHeight="1">
      <x:c r="A136" s="2"/>
      <x:c r="B136" s="2" t="str">
        <x:v>CUUR0000SEGB02</x:v>
      </x:c>
      <x:c r="C136" s="2" t="str">
        <x:v>Pre-earnings</x:v>
      </x:c>
      <x:c r="D136" s="2" t="str">
        <x:v>Seasonal step</x:v>
      </x:c>
      <x:c r="E136" s="2" t="n">
        <x:v>1</x:v>
      </x:c>
      <x:c r="F136" s="7" t="n">
        <x:f>AVERAGE('Monthly tests'!L409)</x:f>
        <x:v>0.11290537688611879</x:v>
      </x:c>
      <x:c r="G136" s="7" t="n">
        <x:v>1</x:v>
      </x:c>
      <x:c r="H136" s="7" t="n">
        <x:v>0.11290537688611879</x:v>
      </x:c>
    </x:row>
    <x:row r="137" ht="27" customHeight="1">
      <x:c r="A137" s="2"/>
      <x:c r="B137" s="2" t="str">
        <x:v>PCENDC96</x:v>
      </x:c>
      <x:c r="C137" s="2" t="str">
        <x:v>Origin</x:v>
      </x:c>
      <x:c r="D137" s="2" t="str">
        <x:v>YoY carry</x:v>
      </x:c>
      <x:c r="E137" s="2" t="n">
        <x:v>7</x:v>
      </x:c>
      <x:c r="F137" s="7" t="n">
        <x:f>AVERAGE('Monthly tests'!L506,'Monthly tests'!L507,'Monthly tests'!L508,'Monthly tests'!L527,'Monthly tests'!L528,'Monthly tests'!L529,'Monthly tests'!L548,'Monthly tests'!L549,'Monthly tests'!L550,'Monthly tests'!L569,'Monthly tests'!L570,'Monthly tests'!L571,'Monthly tests'!L590,'Monthly tests'!L591,'Monthly tests'!L592,'Monthly tests'!L611,'Monthly tests'!L612,'Monthly tests'!L613,'Monthly tests'!L626,'Monthly tests'!L627,'Monthly tests'!L628)</x:f>
        <x:v>0.5669552742802791</x:v>
      </x:c>
      <x:c r="G137" s="7" t="n">
        <x:v>21</x:v>
      </x:c>
      <x:c r="H137" s="7" t="n">
        <x:v>0.8466263581719554</x:v>
      </x:c>
    </x:row>
    <x:row r="138" ht="27" customHeight="1">
      <x:c r="A138" s="2"/>
      <x:c r="B138" s="2" t="str">
        <x:v>PCENDC96</x:v>
      </x:c>
      <x:c r="C138" s="2" t="str">
        <x:v>Origin</x:v>
      </x:c>
      <x:c r="D138" s="2" t="str">
        <x:v>Flat level</x:v>
      </x:c>
      <x:c r="E138" s="2" t="n">
        <x:v>7</x:v>
      </x:c>
      <x:c r="F138" s="7" t="n">
        <x:f>AVERAGE('Monthly tests'!L509,'Monthly tests'!L510,'Monthly tests'!L511,'Monthly tests'!L530,'Monthly tests'!L531,'Monthly tests'!L532,'Monthly tests'!L551,'Monthly tests'!L552,'Monthly tests'!L553,'Monthly tests'!L572,'Monthly tests'!L573,'Monthly tests'!L574,'Monthly tests'!L593,'Monthly tests'!L594,'Monthly tests'!L595,'Monthly tests'!L614,'Monthly tests'!L615,'Monthly tests'!L616,'Monthly tests'!L629,'Monthly tests'!L630,'Monthly tests'!L631)</x:f>
        <x:v>0.8208727534129105</x:v>
      </x:c>
      <x:c r="G138" s="7" t="n">
        <x:v>21</x:v>
      </x:c>
      <x:c r="H138" s="7" t="n">
        <x:v>0.9841506051766638</x:v>
      </x:c>
    </x:row>
    <x:row r="139" ht="27" customHeight="1">
      <x:c r="A139" s="2"/>
      <x:c r="B139" s="2" t="str">
        <x:v>PCENDC96</x:v>
      </x:c>
      <x:c r="C139" s="2" t="str">
        <x:v>Origin</x:v>
      </x:c>
      <x:c r="D139" s="2" t="str">
        <x:v>Recent trend</x:v>
      </x:c>
      <x:c r="E139" s="2" t="n">
        <x:v>7</x:v>
      </x:c>
      <x:c r="F139" s="7" t="n">
        <x:f>AVERAGE('Monthly tests'!L512,'Monthly tests'!L513,'Monthly tests'!L514,'Monthly tests'!L533,'Monthly tests'!L534,'Monthly tests'!L535,'Monthly tests'!L554,'Monthly tests'!L555,'Monthly tests'!L556,'Monthly tests'!L575,'Monthly tests'!L576,'Monthly tests'!L577,'Monthly tests'!L596,'Monthly tests'!L597,'Monthly tests'!L598,'Monthly tests'!L617,'Monthly tests'!L618,'Monthly tests'!L619,'Monthly tests'!L632,'Monthly tests'!L633,'Monthly tests'!L634)</x:f>
        <x:v>0.9799026194148662</x:v>
      </x:c>
      <x:c r="G139" s="7" t="n">
        <x:v>21</x:v>
      </x:c>
      <x:c r="H139" s="7" t="n">
        <x:v>1.221168165205313</x:v>
      </x:c>
    </x:row>
    <x:row r="140" ht="27" customHeight="1">
      <x:c r="A140" s="2"/>
      <x:c r="B140" s="2" t="str">
        <x:v>PCENDC96</x:v>
      </x:c>
      <x:c r="C140" s="2" t="str">
        <x:v>One month</x:v>
      </x:c>
      <x:c r="D140" s="2" t="str">
        <x:v>YoY carry</x:v>
      </x:c>
      <x:c r="E140" s="2" t="n">
        <x:v>6</x:v>
      </x:c>
      <x:c r="F140" s="7" t="n">
        <x:f>AVERAGE('Monthly tests'!L515,'Monthly tests'!L516,'Monthly tests'!L536,'Monthly tests'!L537,'Monthly tests'!L557,'Monthly tests'!L558,'Monthly tests'!L578,'Monthly tests'!L579,'Monthly tests'!L599,'Monthly tests'!L600,'Monthly tests'!L635,'Monthly tests'!L636)</x:f>
        <x:v>0.5538021674636869</x:v>
      </x:c>
      <x:c r="G140" s="7" t="n">
        <x:v>12</x:v>
      </x:c>
      <x:c r="H140" s="7" t="n">
        <x:v>0.6752362551246556</x:v>
      </x:c>
    </x:row>
    <x:row r="141" ht="27" customHeight="1">
      <x:c r="A141" s="2"/>
      <x:c r="B141" s="2" t="str">
        <x:v>PCENDC96</x:v>
      </x:c>
      <x:c r="C141" s="2" t="str">
        <x:v>One month</x:v>
      </x:c>
      <x:c r="D141" s="2" t="str">
        <x:v>Flat level</x:v>
      </x:c>
      <x:c r="E141" s="2" t="n">
        <x:v>6</x:v>
      </x:c>
      <x:c r="F141" s="7" t="n">
        <x:f>AVERAGE('Monthly tests'!L517,'Monthly tests'!L518,'Monthly tests'!L538,'Monthly tests'!L539,'Monthly tests'!L559,'Monthly tests'!L560,'Monthly tests'!L580,'Monthly tests'!L581,'Monthly tests'!L601,'Monthly tests'!L602,'Monthly tests'!L637,'Monthly tests'!L638)</x:f>
        <x:v>0.5259012080923332</x:v>
      </x:c>
      <x:c r="G141" s="7" t="n">
        <x:v>12</x:v>
      </x:c>
      <x:c r="H141" s="7" t="n">
        <x:v>0.6517804320932349</x:v>
      </x:c>
    </x:row>
    <x:row r="142" ht="27" customHeight="1">
      <x:c r="A142" s="2"/>
      <x:c r="B142" s="2" t="str">
        <x:v>PCENDC96</x:v>
      </x:c>
      <x:c r="C142" s="2" t="str">
        <x:v>One month</x:v>
      </x:c>
      <x:c r="D142" s="2" t="str">
        <x:v>Recent trend</x:v>
      </x:c>
      <x:c r="E142" s="2" t="n">
        <x:v>6</x:v>
      </x:c>
      <x:c r="F142" s="7" t="n">
        <x:f>AVERAGE('Monthly tests'!L519,'Monthly tests'!L520,'Monthly tests'!L540,'Monthly tests'!L541,'Monthly tests'!L561,'Monthly tests'!L562,'Monthly tests'!L582,'Monthly tests'!L583,'Monthly tests'!L603,'Monthly tests'!L604,'Monthly tests'!L639,'Monthly tests'!L640)</x:f>
        <x:v>0.4384972115294012</x:v>
      </x:c>
      <x:c r="G142" s="7" t="n">
        <x:v>12</x:v>
      </x:c>
      <x:c r="H142" s="7" t="n">
        <x:v>0.5401729374858893</x:v>
      </x:c>
    </x:row>
    <x:row r="143" ht="27" customHeight="1">
      <x:c r="A143" s="2"/>
      <x:c r="B143" s="2" t="str">
        <x:v>PCENDC96</x:v>
      </x:c>
      <x:c r="C143" s="2" t="str">
        <x:v>Two months</x:v>
      </x:c>
      <x:c r="D143" s="2" t="str">
        <x:v>YoY carry</x:v>
      </x:c>
      <x:c r="E143" s="2" t="n">
        <x:v>7</x:v>
      </x:c>
      <x:c r="F143" s="7" t="n">
        <x:f>AVERAGE('Monthly tests'!L521,'Monthly tests'!L542,'Monthly tests'!L563,'Monthly tests'!L584,'Monthly tests'!L605,'Monthly tests'!L623,'Monthly tests'!L641)</x:f>
        <x:v>0.5157924016177413</x:v>
      </x:c>
      <x:c r="G143" s="7" t="n">
        <x:v>7</x:v>
      </x:c>
      <x:c r="H143" s="7" t="n">
        <x:v>0.7076973410832305</x:v>
      </x:c>
    </x:row>
    <x:row r="144" ht="27" customHeight="1">
      <x:c r="A144" s="2"/>
      <x:c r="B144" s="2" t="str">
        <x:v>PCENDC96</x:v>
      </x:c>
      <x:c r="C144" s="2" t="str">
        <x:v>Two months</x:v>
      </x:c>
      <x:c r="D144" s="2" t="str">
        <x:v>Flat level</x:v>
      </x:c>
      <x:c r="E144" s="2" t="n">
        <x:v>7</x:v>
      </x:c>
      <x:c r="F144" s="7" t="n">
        <x:f>AVERAGE('Monthly tests'!L522,'Monthly tests'!L543,'Monthly tests'!L564,'Monthly tests'!L585,'Monthly tests'!L606,'Monthly tests'!L624,'Monthly tests'!L642)</x:f>
        <x:v>0.6608997197583439</x:v>
      </x:c>
      <x:c r="G144" s="7" t="n">
        <x:v>7</x:v>
      </x:c>
      <x:c r="H144" s="7" t="n">
        <x:v>0.7016715342504574</x:v>
      </x:c>
    </x:row>
    <x:row r="145" ht="27" customHeight="1">
      <x:c r="A145" s="2"/>
      <x:c r="B145" s="2" t="str">
        <x:v>PCENDC96</x:v>
      </x:c>
      <x:c r="C145" s="2" t="str">
        <x:v>Two months</x:v>
      </x:c>
      <x:c r="D145" s="2" t="str">
        <x:v>Recent trend</x:v>
      </x:c>
      <x:c r="E145" s="2" t="n">
        <x:v>7</x:v>
      </x:c>
      <x:c r="F145" s="7" t="n">
        <x:f>AVERAGE('Monthly tests'!L523,'Monthly tests'!L544,'Monthly tests'!L565,'Monthly tests'!L586,'Monthly tests'!L607,'Monthly tests'!L625,'Monthly tests'!L643)</x:f>
        <x:v>0.8092634434008745</x:v>
      </x:c>
      <x:c r="G145" s="7" t="n">
        <x:v>7</x:v>
      </x:c>
      <x:c r="H145" s="7" t="n">
        <x:v>0.8779738517782625</x:v>
      </x:c>
    </x:row>
    <x:row r="146" ht="27" customHeight="1">
      <x:c r="A146" s="2"/>
      <x:c r="B146" s="2" t="str">
        <x:v>PCENDC96</x:v>
      </x:c>
      <x:c r="C146" s="2" t="str">
        <x:v>Pre-earnings</x:v>
      </x:c>
      <x:c r="D146" s="2" t="str">
        <x:v>YoY carry</x:v>
      </x:c>
      <x:c r="E146" s="2" t="n">
        <x:v>7</x:v>
      </x:c>
      <x:c r="F146" s="7" t="n">
        <x:f>AVERAGE('Monthly tests'!L524,'Monthly tests'!L545,'Monthly tests'!L566,'Monthly tests'!L587,'Monthly tests'!L608,'Monthly tests'!L620,'Monthly tests'!L644)</x:f>
        <x:v>0.5157924016177413</x:v>
      </x:c>
      <x:c r="G146" s="7" t="n">
        <x:v>7</x:v>
      </x:c>
      <x:c r="H146" s="7" t="n">
        <x:v>0.7076973410832305</x:v>
      </x:c>
    </x:row>
    <x:row r="147" ht="27" customHeight="1">
      <x:c r="A147" s="2"/>
      <x:c r="B147" s="2" t="str">
        <x:v>PCENDC96</x:v>
      </x:c>
      <x:c r="C147" s="2" t="str">
        <x:v>Pre-earnings</x:v>
      </x:c>
      <x:c r="D147" s="2" t="str">
        <x:v>Flat level</x:v>
      </x:c>
      <x:c r="E147" s="2" t="n">
        <x:v>7</x:v>
      </x:c>
      <x:c r="F147" s="7" t="n">
        <x:f>AVERAGE('Monthly tests'!L525,'Monthly tests'!L546,'Monthly tests'!L567,'Monthly tests'!L588,'Monthly tests'!L609,'Monthly tests'!L621,'Monthly tests'!L645)</x:f>
        <x:v>0.6608997197583439</x:v>
      </x:c>
      <x:c r="G147" s="7" t="n">
        <x:v>7</x:v>
      </x:c>
      <x:c r="H147" s="7" t="n">
        <x:v>0.7016715342504574</x:v>
      </x:c>
    </x:row>
    <x:row r="148" ht="27" customHeight="1">
      <x:c r="A148" s="2"/>
      <x:c r="B148" s="2" t="str">
        <x:v>PCENDC96</x:v>
      </x:c>
      <x:c r="C148" s="2" t="str">
        <x:v>Pre-earnings</x:v>
      </x:c>
      <x:c r="D148" s="2" t="str">
        <x:v>Recent trend</x:v>
      </x:c>
      <x:c r="E148" s="2" t="n">
        <x:v>7</x:v>
      </x:c>
      <x:c r="F148" s="7" t="n">
        <x:f>AVERAGE('Monthly tests'!L526,'Monthly tests'!L547,'Monthly tests'!L568,'Monthly tests'!L589,'Monthly tests'!L610,'Monthly tests'!L622,'Monthly tests'!L646)</x:f>
        <x:v>0.8092634434008745</x:v>
      </x:c>
      <x:c r="G148" s="7" t="n">
        <x:v>7</x:v>
      </x:c>
      <x:c r="H148" s="7" t="n">
        <x:v>0.8779738517782625</x:v>
      </x:c>
    </x:row>
    <x:row r="149" ht="27" customHeight="1">
      <x:c r="A149" s="2"/>
      <x:c r="B149" s="2" t="str">
        <x:v>RSHPCS</x:v>
      </x:c>
      <x:c r="C149" s="2" t="str">
        <x:v>Origin</x:v>
      </x:c>
      <x:c r="D149" s="2" t="str">
        <x:v>YoY carry</x:v>
      </x:c>
      <x:c r="E149" s="2" t="n">
        <x:v>7</x:v>
      </x:c>
      <x:c r="F149" s="7" t="n">
        <x:f>AVERAGE('Monthly tests'!L719,'Monthly tests'!L720,'Monthly tests'!L721,'Monthly tests'!L737,'Monthly tests'!L738,'Monthly tests'!L739,'Monthly tests'!L755,'Monthly tests'!L756,'Monthly tests'!L757,'Monthly tests'!L773,'Monthly tests'!L774,'Monthly tests'!L775,'Monthly tests'!L791,'Monthly tests'!L792,'Monthly tests'!L793,'Monthly tests'!L812,'Monthly tests'!L813,'Monthly tests'!L814,'Monthly tests'!L833,'Monthly tests'!L834,'Monthly tests'!L835)</x:f>
        <x:v>2.152246674480916</x:v>
      </x:c>
      <x:c r="G149" s="7" t="n">
        <x:v>21</x:v>
      </x:c>
      <x:c r="H149" s="7" t="n">
        <x:v>2.5173575797356986</x:v>
      </x:c>
    </x:row>
    <x:row r="150" ht="27" customHeight="1">
      <x:c r="A150" s="2"/>
      <x:c r="B150" s="2" t="str">
        <x:v>RSHPCS</x:v>
      </x:c>
      <x:c r="C150" s="2" t="str">
        <x:v>Origin</x:v>
      </x:c>
      <x:c r="D150" s="2" t="str">
        <x:v>Flat level</x:v>
      </x:c>
      <x:c r="E150" s="2" t="n">
        <x:v>7</x:v>
      </x:c>
      <x:c r="F150" s="7" t="n">
        <x:f>AVERAGE('Monthly tests'!L722,'Monthly tests'!L723,'Monthly tests'!L724,'Monthly tests'!L740,'Monthly tests'!L741,'Monthly tests'!L742,'Monthly tests'!L758,'Monthly tests'!L759,'Monthly tests'!L760,'Monthly tests'!L776,'Monthly tests'!L777,'Monthly tests'!L778,'Monthly tests'!L794,'Monthly tests'!L795,'Monthly tests'!L796,'Monthly tests'!L815,'Monthly tests'!L816,'Monthly tests'!L817,'Monthly tests'!L836,'Monthly tests'!L837,'Monthly tests'!L838)</x:f>
        <x:v>2.0217098539029315</x:v>
      </x:c>
      <x:c r="G150" s="7" t="n">
        <x:v>21</x:v>
      </x:c>
      <x:c r="H150" s="7" t="n">
        <x:v>2.464790326688172</x:v>
      </x:c>
    </x:row>
    <x:row r="151" ht="27" customHeight="1">
      <x:c r="A151" s="2"/>
      <x:c r="B151" s="2" t="str">
        <x:v>RSHPCS</x:v>
      </x:c>
      <x:c r="C151" s="2" t="str">
        <x:v>Origin</x:v>
      </x:c>
      <x:c r="D151" s="2" t="str">
        <x:v>Recent trend</x:v>
      </x:c>
      <x:c r="E151" s="2" t="n">
        <x:v>7</x:v>
      </x:c>
      <x:c r="F151" s="7" t="n">
        <x:f>AVERAGE('Monthly tests'!L725,'Monthly tests'!L726,'Monthly tests'!L727,'Monthly tests'!L743,'Monthly tests'!L744,'Monthly tests'!L745,'Monthly tests'!L761,'Monthly tests'!L762,'Monthly tests'!L763,'Monthly tests'!L779,'Monthly tests'!L780,'Monthly tests'!L781,'Monthly tests'!L797,'Monthly tests'!L798,'Monthly tests'!L799,'Monthly tests'!L818,'Monthly tests'!L819,'Monthly tests'!L820,'Monthly tests'!L839,'Monthly tests'!L840,'Monthly tests'!L841)</x:f>
        <x:v>2.7325582726511777</x:v>
      </x:c>
      <x:c r="G151" s="7" t="n">
        <x:v>21</x:v>
      </x:c>
      <x:c r="H151" s="7" t="n">
        <x:v>3.183878519795071</x:v>
      </x:c>
    </x:row>
    <x:row r="152" ht="27" customHeight="1">
      <x:c r="A152" s="2"/>
      <x:c r="B152" s="2" t="str">
        <x:v>RSHPCS</x:v>
      </x:c>
      <x:c r="C152" s="2" t="str">
        <x:v>One month</x:v>
      </x:c>
      <x:c r="D152" s="2" t="str">
        <x:v>YoY carry</x:v>
      </x:c>
      <x:c r="E152" s="2" t="n">
        <x:v>7</x:v>
      </x:c>
      <x:c r="F152" s="7" t="n">
        <x:f>AVERAGE('Monthly tests'!L728,'Monthly tests'!L729,'Monthly tests'!L746,'Monthly tests'!L747,'Monthly tests'!L764,'Monthly tests'!L765,'Monthly tests'!L782,'Monthly tests'!L783,'Monthly tests'!L800,'Monthly tests'!L801,'Monthly tests'!L821,'Monthly tests'!L822,'Monthly tests'!L842,'Monthly tests'!L843)</x:f>
        <x:v>1.669734478511048</x:v>
      </x:c>
      <x:c r="G152" s="7" t="n">
        <x:v>14</x:v>
      </x:c>
      <x:c r="H152" s="7" t="n">
        <x:v>1.9594758029859916</x:v>
      </x:c>
    </x:row>
    <x:row r="153" ht="27" customHeight="1">
      <x:c r="A153" s="2"/>
      <x:c r="B153" s="2" t="str">
        <x:v>RSHPCS</x:v>
      </x:c>
      <x:c r="C153" s="2" t="str">
        <x:v>One month</x:v>
      </x:c>
      <x:c r="D153" s="2" t="str">
        <x:v>Flat level</x:v>
      </x:c>
      <x:c r="E153" s="2" t="n">
        <x:v>7</x:v>
      </x:c>
      <x:c r="F153" s="7" t="n">
        <x:f>AVERAGE('Monthly tests'!L730,'Monthly tests'!L731,'Monthly tests'!L748,'Monthly tests'!L749,'Monthly tests'!L766,'Monthly tests'!L767,'Monthly tests'!L784,'Monthly tests'!L785,'Monthly tests'!L802,'Monthly tests'!L803,'Monthly tests'!L823,'Monthly tests'!L824,'Monthly tests'!L844,'Monthly tests'!L845)</x:f>
        <x:v>1.2351879073617462</x:v>
      </x:c>
      <x:c r="G153" s="7" t="n">
        <x:v>14</x:v>
      </x:c>
      <x:c r="H153" s="7" t="n">
        <x:v>1.5882400457440464</x:v>
      </x:c>
    </x:row>
    <x:row r="154" ht="27" customHeight="1">
      <x:c r="A154" s="2"/>
      <x:c r="B154" s="2" t="str">
        <x:v>RSHPCS</x:v>
      </x:c>
      <x:c r="C154" s="2" t="str">
        <x:v>One month</x:v>
      </x:c>
      <x:c r="D154" s="2" t="str">
        <x:v>Recent trend</x:v>
      </x:c>
      <x:c r="E154" s="2" t="n">
        <x:v>7</x:v>
      </x:c>
      <x:c r="F154" s="7" t="n">
        <x:f>AVERAGE('Monthly tests'!L732,'Monthly tests'!L733,'Monthly tests'!L750,'Monthly tests'!L751,'Monthly tests'!L768,'Monthly tests'!L769,'Monthly tests'!L786,'Monthly tests'!L787,'Monthly tests'!L804,'Monthly tests'!L805,'Monthly tests'!L825,'Monthly tests'!L826,'Monthly tests'!L846,'Monthly tests'!L847)</x:f>
        <x:v>1.560278713397594</x:v>
      </x:c>
      <x:c r="G154" s="7" t="n">
        <x:v>14</x:v>
      </x:c>
      <x:c r="H154" s="7" t="n">
        <x:v>2.1480218391127543</x:v>
      </x:c>
    </x:row>
    <x:row r="155" ht="27" customHeight="1">
      <x:c r="A155" s="2"/>
      <x:c r="B155" s="2" t="str">
        <x:v>RSHPCS</x:v>
      </x:c>
      <x:c r="C155" s="2" t="str">
        <x:v>Two months</x:v>
      </x:c>
      <x:c r="D155" s="2" t="str">
        <x:v>YoY carry</x:v>
      </x:c>
      <x:c r="E155" s="2" t="n">
        <x:v>7</x:v>
      </x:c>
      <x:c r="F155" s="7" t="n">
        <x:f>AVERAGE('Monthly tests'!L734,'Monthly tests'!L752,'Monthly tests'!L770,'Monthly tests'!L788,'Monthly tests'!L806,'Monthly tests'!L827,'Monthly tests'!L848)</x:f>
        <x:v>1.0650401639873945</x:v>
      </x:c>
      <x:c r="G155" s="7" t="n">
        <x:v>7</x:v>
      </x:c>
      <x:c r="H155" s="7" t="n">
        <x:v>1.228136023645017</x:v>
      </x:c>
    </x:row>
    <x:row r="156" ht="27" customHeight="1">
      <x:c r="A156" s="2"/>
      <x:c r="B156" s="2" t="str">
        <x:v>RSHPCS</x:v>
      </x:c>
      <x:c r="C156" s="2" t="str">
        <x:v>Two months</x:v>
      </x:c>
      <x:c r="D156" s="2" t="str">
        <x:v>Flat level</x:v>
      </x:c>
      <x:c r="E156" s="2" t="n">
        <x:v>7</x:v>
      </x:c>
      <x:c r="F156" s="7" t="n">
        <x:f>AVERAGE('Monthly tests'!L735,'Monthly tests'!L753,'Monthly tests'!L771,'Monthly tests'!L789,'Monthly tests'!L807,'Monthly tests'!L828,'Monthly tests'!L849)</x:f>
        <x:v>0.7587926441133692</x:v>
      </x:c>
      <x:c r="G156" s="7" t="n">
        <x:v>7</x:v>
      </x:c>
      <x:c r="H156" s="7" t="n">
        <x:v>1.0540471657808186</x:v>
      </x:c>
    </x:row>
    <x:row r="157" ht="27" customHeight="1">
      <x:c r="A157" s="2"/>
      <x:c r="B157" s="2" t="str">
        <x:v>RSHPCS</x:v>
      </x:c>
      <x:c r="C157" s="2" t="str">
        <x:v>Two months</x:v>
      </x:c>
      <x:c r="D157" s="2" t="str">
        <x:v>Recent trend</x:v>
      </x:c>
      <x:c r="E157" s="2" t="n">
        <x:v>7</x:v>
      </x:c>
      <x:c r="F157" s="7" t="n">
        <x:f>AVERAGE('Monthly tests'!L736,'Monthly tests'!L754,'Monthly tests'!L772,'Monthly tests'!L790,'Monthly tests'!L808,'Monthly tests'!L829,'Monthly tests'!L850)</x:f>
        <x:v>0.6898775872073136</x:v>
      </x:c>
      <x:c r="G157" s="7" t="n">
        <x:v>7</x:v>
      </x:c>
      <x:c r="H157" s="7" t="n">
        <x:v>0.9410107985646877</x:v>
      </x:c>
    </x:row>
    <x:row r="158" ht="27" customHeight="1">
      <x:c r="A158" s="2"/>
      <x:c r="B158" s="2" t="str">
        <x:v>RSHPCS</x:v>
      </x:c>
      <x:c r="C158" s="2" t="str">
        <x:v>Pre-earnings</x:v>
      </x:c>
      <x:c r="D158" s="2" t="str">
        <x:v>YoY carry</x:v>
      </x:c>
      <x:c r="E158" s="2" t="n">
        <x:v>2</x:v>
      </x:c>
      <x:c r="F158" s="7" t="n">
        <x:f>AVERAGE('Monthly tests'!L809,'Monthly tests'!L830)</x:f>
        <x:v>1.0457839085963705</x:v>
      </x:c>
      <x:c r="G158" s="7" t="n">
        <x:v>2</x:v>
      </x:c>
      <x:c r="H158" s="7" t="n">
        <x:v>1.1435269495854272</x:v>
      </x:c>
    </x:row>
    <x:row r="159" ht="27" customHeight="1">
      <x:c r="A159" s="2"/>
      <x:c r="B159" s="2" t="str">
        <x:v>RSHPCS</x:v>
      </x:c>
      <x:c r="C159" s="2" t="str">
        <x:v>Pre-earnings</x:v>
      </x:c>
      <x:c r="D159" s="2" t="str">
        <x:v>Flat level</x:v>
      </x:c>
      <x:c r="E159" s="2" t="n">
        <x:v>2</x:v>
      </x:c>
      <x:c r="F159" s="7" t="n">
        <x:f>AVERAGE('Monthly tests'!L810,'Monthly tests'!L831)</x:f>
        <x:v>1.3617352237895397</x:v>
      </x:c>
      <x:c r="G159" s="7" t="n">
        <x:v>2</x:v>
      </x:c>
      <x:c r="H159" s="7" t="n">
        <x:v>1.6629175407330596</x:v>
      </x:c>
    </x:row>
    <x:row r="160" ht="27" customHeight="1">
      <x:c r="A160" s="2"/>
      <x:c r="B160" s="2" t="str">
        <x:v>RSHPCS</x:v>
      </x:c>
      <x:c r="C160" s="2" t="str">
        <x:v>Pre-earnings</x:v>
      </x:c>
      <x:c r="D160" s="2" t="str">
        <x:v>Recent trend</x:v>
      </x:c>
      <x:c r="E160" s="2" t="n">
        <x:v>2</x:v>
      </x:c>
      <x:c r="F160" s="7" t="n">
        <x:f>AVERAGE('Monthly tests'!L811,'Monthly tests'!L832)</x:f>
        <x:v>1.3081864669194698</x:v>
      </x:c>
      <x:c r="G160" s="7" t="n">
        <x:v>2</x:v>
      </x:c>
      <x:c r="H160" s="7" t="n">
        <x:v>1.5609157507016542</x:v>
      </x:c>
    </x:row>
    <x:row r="161" ht="27" customHeight="1">
      <x:c r="A161" s="2"/>
      <x:c r="B161" s="2"/>
      <x:c r="C161" s="2"/>
      <x:c r="D161" s="2"/>
      <x:c r="E161" s="2"/>
      <x:c r="F161" s="7"/>
      <x:c r="G161" s="7"/>
      <x:c r="H161" s="7"/>
    </x:row>
    <x:row r="162" ht="27" customHeight="1">
      <x:c r="A162" s="2"/>
      <x:c r="B162" s="2"/>
      <x:c r="C162" s="2"/>
      <x:c r="D162" s="2"/>
      <x:c r="E162" s="2"/>
      <x:c r="F162" s="7"/>
      <x:c r="G162" s="7"/>
      <x:c r="H162" s="7"/>
    </x:row>
    <x:row r="163" ht="27" customHeight="1">
      <x:c r="A163" s="2"/>
      <x:c r="B163" s="2"/>
      <x:c r="C163" s="2"/>
      <x:c r="D163" s="2"/>
      <x:c r="E163" s="2"/>
      <x:c r="F163" s="7"/>
      <x:c r="G163" s="7"/>
      <x:c r="H163" s="7"/>
    </x:row>
    <x:row r="164" ht="46" customHeight="1">
      <x:c r="A164" s="2"/>
      <x:c r="B164" s="6" t="str">
        <x:v>Conditional screen</x:v>
      </x:c>
      <x:c r="C164" s="6" t="str">
        <x:v>Window</x:v>
      </x:c>
      <x:c r="D164" s="6" t="str">
        <x:v>Selected?</x:v>
      </x:c>
      <x:c r="E164" s="6" t="str">
        <x:v>Quarters</x:v>
      </x:c>
      <x:c r="F164" s="8" t="str">
        <x:v>RMSE pp</x:v>
      </x:c>
      <x:c r="G164" s="8" t="str">
        <x:v>Last actual RMSE</x:v>
      </x:c>
      <x:c r="H164" s="8" t="str">
        <x:v>4-qtr mean RMSE</x:v>
      </x:c>
    </x:row>
    <x:row r="165" ht="27" customHeight="1">
      <x:c r="A165" s="2"/>
      <x:c r="B165" s="2" t="str">
        <x:v>Beauty | organic_volume_growth | PCENDC96</x:v>
      </x:c>
      <x:c r="C165" s="2" t="str">
        <x:v>Expanding</x:v>
      </x:c>
      <x:c r="D165" s="2" t="str">
        <x:v>Yes</x:v>
      </x:c>
      <x:c r="E165" s="2" t="n">
        <x:v>4</x:v>
      </x:c>
      <x:c r="F165" s="7" t="n">
        <x:f>SQRT(AVERAGE(Relationships!N6,Relationships!N7,Relationships!N8,Relationships!N9))</x:f>
        <x:v>1.1162213761126516</x:v>
      </x:c>
      <x:c r="G165" s="7" t="n">
        <x:v>1.3228756555322954</x:v>
      </x:c>
      <x:c r="H165" s="7" t="n">
        <x:v>1.1319231422671772</x:v>
      </x:c>
    </x:row>
    <x:row r="166" ht="27" customHeight="1">
      <x:c r="A166" s="2"/>
      <x:c r="B166" s="2" t="str">
        <x:v>Beauty | organic_volume_growth | PCENDC96</x:v>
      </x:c>
      <x:c r="C166" s="2" t="str">
        <x:v>Last eight</x:v>
      </x:c>
      <x:c r="D166" s="2" t="str">
        <x:v>No</x:v>
      </x:c>
      <x:c r="E166" s="2" t="n">
        <x:v>4</x:v>
      </x:c>
      <x:c r="F166" s="7" t="n">
        <x:f>SQRT(AVERAGE(Relationships!N10,Relationships!N11,Relationships!N12,Relationships!N13))</x:f>
        <x:v>1.1902086825494218</x:v>
      </x:c>
      <x:c r="G166" s="7" t="n">
        <x:v>1.3228756555322954</x:v>
      </x:c>
      <x:c r="H166" s="7" t="n">
        <x:v>1.1319231422671772</x:v>
      </x:c>
    </x:row>
    <x:row r="167" ht="27" customHeight="1">
      <x:c r="A167" s="2"/>
      <x:c r="B167" s="2" t="str">
        <x:v>Grooming | organic_volume_growth | PCENDC96</x:v>
      </x:c>
      <x:c r="C167" s="2" t="str">
        <x:v>Expanding</x:v>
      </x:c>
      <x:c r="D167" s="2" t="str">
        <x:v>No</x:v>
      </x:c>
      <x:c r="E167" s="2" t="n">
        <x:v>4</x:v>
      </x:c>
      <x:c r="F167" s="7" t="n">
        <x:f>SQRT(AVERAGE(Relationships!N14,Relationships!N15,Relationships!N16,Relationships!N17))</x:f>
        <x:v>2.0405617672933376</x:v>
      </x:c>
      <x:c r="G167" s="7" t="n">
        <x:v>1.6583123951777</x:v>
      </x:c>
      <x:c r="H167" s="7" t="n">
        <x:v>2.5433737436719754</x:v>
      </x:c>
    </x:row>
    <x:row r="168" ht="27" customHeight="1">
      <x:c r="A168" s="2"/>
      <x:c r="B168" s="2" t="str">
        <x:v>Grooming | organic_volume_growth | PCENDC96</x:v>
      </x:c>
      <x:c r="C168" s="2" t="str">
        <x:v>Last eight</x:v>
      </x:c>
      <x:c r="D168" s="2" t="str">
        <x:v>No</x:v>
      </x:c>
      <x:c r="E168" s="2" t="n">
        <x:v>4</x:v>
      </x:c>
      <x:c r="F168" s="7" t="n">
        <x:f>SQRT(AVERAGE(Relationships!N18,Relationships!N19,Relationships!N20,Relationships!N21))</x:f>
        <x:v>1.7083717504516458</x:v>
      </x:c>
      <x:c r="G168" s="7" t="n">
        <x:v>1.6583123951777</x:v>
      </x:c>
      <x:c r="H168" s="7" t="n">
        <x:v>2.5433737436719754</x:v>
      </x:c>
    </x:row>
    <x:row r="169" ht="27" customHeight="1">
      <x:c r="A169" s="2"/>
      <x:c r="B169" s="2" t="str">
        <x:v>Health Care | organic_volume_growth | PCENDC96</x:v>
      </x:c>
      <x:c r="C169" s="2" t="str">
        <x:v>Expanding</x:v>
      </x:c>
      <x:c r="D169" s="2" t="str">
        <x:v>No</x:v>
      </x:c>
      <x:c r="E169" s="2" t="n">
        <x:v>4</x:v>
      </x:c>
      <x:c r="F169" s="7" t="n">
        <x:f>SQRT(AVERAGE(Relationships!N22,Relationships!N23,Relationships!N24,Relationships!N25))</x:f>
        <x:v>3.6896484451260716</x:v>
      </x:c>
      <x:c r="G169" s="7" t="n">
        <x:v>4.387482193696061</x:v>
      </x:c>
      <x:c r="H169" s="7" t="n">
        <x:v>3.1573327350787723</x:v>
      </x:c>
    </x:row>
    <x:row r="170" ht="27" customHeight="1">
      <x:c r="A170" s="2"/>
      <x:c r="B170" s="2" t="str">
        <x:v>Health Care | organic_volume_growth | PCENDC96</x:v>
      </x:c>
      <x:c r="C170" s="2" t="str">
        <x:v>Last eight</x:v>
      </x:c>
      <x:c r="D170" s="2" t="str">
        <x:v>No</x:v>
      </x:c>
      <x:c r="E170" s="2" t="n">
        <x:v>4</x:v>
      </x:c>
      <x:c r="F170" s="7" t="n">
        <x:f>SQRT(AVERAGE(Relationships!N26,Relationships!N27,Relationships!N28,Relationships!N29))</x:f>
        <x:v>4.305965625655836</x:v>
      </x:c>
      <x:c r="G170" s="7" t="n">
        <x:v>4.387482193696061</x:v>
      </x:c>
      <x:c r="H170" s="7" t="n">
        <x:v>3.1573327350787723</x:v>
      </x:c>
    </x:row>
    <x:row r="171" ht="27" customHeight="1">
      <x:c r="A171" s="2"/>
      <x:c r="B171" s="2" t="str">
        <x:v>Fabric &amp; Home Care | organic_volume_growth | PCENDC96</x:v>
      </x:c>
      <x:c r="C171" s="2" t="str">
        <x:v>Expanding</x:v>
      </x:c>
      <x:c r="D171" s="2" t="str">
        <x:v>No</x:v>
      </x:c>
      <x:c r="E171" s="2" t="n">
        <x:v>4</x:v>
      </x:c>
      <x:c r="F171" s="7" t="n">
        <x:f>SQRT(AVERAGE(Relationships!N30,Relationships!N31,Relationships!N32,Relationships!N33))</x:f>
        <x:v>1.5672689086332179</x:v>
      </x:c>
      <x:c r="G171" s="7" t="n">
        <x:v>1.8708286933869707</x:v>
      </x:c>
      <x:c r="H171" s="7" t="n">
        <x:v>3.599045012221992</x:v>
      </x:c>
    </x:row>
    <x:row r="172" ht="27" customHeight="1">
      <x:c r="A172" s="2"/>
      <x:c r="B172" s="2" t="str">
        <x:v>Fabric &amp; Home Care | organic_volume_growth | PCENDC96</x:v>
      </x:c>
      <x:c r="C172" s="2" t="str">
        <x:v>Last eight</x:v>
      </x:c>
      <x:c r="D172" s="2" t="str">
        <x:v>Yes</x:v>
      </x:c>
      <x:c r="E172" s="2" t="n">
        <x:v>4</x:v>
      </x:c>
      <x:c r="F172" s="7" t="n">
        <x:f>SQRT(AVERAGE(Relationships!N34,Relationships!N35,Relationships!N36,Relationships!N37))</x:f>
        <x:v>0.8682233295305284</x:v>
      </x:c>
      <x:c r="G172" s="7" t="n">
        <x:v>1.8708286933869707</x:v>
      </x:c>
      <x:c r="H172" s="7" t="n">
        <x:v>3.599045012221992</x:v>
      </x:c>
    </x:row>
    <x:row r="173" ht="27" customHeight="1">
      <x:c r="A173" s="2"/>
      <x:c r="B173" s="2" t="str">
        <x:v>Baby, Feminine &amp; Family Care | organic_volume_growth | PCENDC96</x:v>
      </x:c>
      <x:c r="C173" s="2" t="str">
        <x:v>Expanding</x:v>
      </x:c>
      <x:c r="D173" s="2" t="str">
        <x:v>Yes</x:v>
      </x:c>
      <x:c r="E173" s="2" t="n">
        <x:v>4</x:v>
      </x:c>
      <x:c r="F173" s="7" t="n">
        <x:f>SQRT(AVERAGE(Relationships!N38,Relationships!N39,Relationships!N40,Relationships!N41))</x:f>
        <x:v>1.40836971114562</x:v>
      </x:c>
      <x:c r="G173" s="7" t="n">
        <x:v>2.598076211353316</x:v>
      </x:c>
      <x:c r="H173" s="7" t="n">
        <x:v>1.7853571071357126</x:v>
      </x:c>
    </x:row>
    <x:row r="174" ht="27" customHeight="1">
      <x:c r="A174" s="2"/>
      <x:c r="B174" s="2" t="str">
        <x:v>Baby, Feminine &amp; Family Care | organic_volume_growth | PCENDC96</x:v>
      </x:c>
      <x:c r="C174" s="2" t="str">
        <x:v>Last eight</x:v>
      </x:c>
      <x:c r="D174" s="2" t="str">
        <x:v>No</x:v>
      </x:c>
      <x:c r="E174" s="2" t="n">
        <x:v>4</x:v>
      </x:c>
      <x:c r="F174" s="7" t="n">
        <x:f>SQRT(AVERAGE(Relationships!N42,Relationships!N43,Relationships!N44,Relationships!N45))</x:f>
        <x:v>1.69263873174539</x:v>
      </x:c>
      <x:c r="G174" s="7" t="n">
        <x:v>2.598076211353316</x:v>
      </x:c>
      <x:c r="H174" s="7" t="n">
        <x:v>1.7853571071357126</x:v>
      </x:c>
    </x:row>
    <x:row r="175" ht="27" customHeight="1">
      <x:c r="A175" s="2"/>
      <x:c r="B175" s="2" t="str">
        <x:v>Beauty | price_contribution | CUUR0000SEGB</x:v>
      </x:c>
      <x:c r="C175" s="2" t="str">
        <x:v>Expanding</x:v>
      </x:c>
      <x:c r="D175" s="2" t="str">
        <x:v>No</x:v>
      </x:c>
      <x:c r="E175" s="2" t="n">
        <x:v>4</x:v>
      </x:c>
      <x:c r="F175" s="7" t="n">
        <x:f>SQRT(AVERAGE(Relationships!N46,Relationships!N47,Relationships!N48,Relationships!N49))</x:f>
        <x:v>1.3317651986692909</x:v>
      </x:c>
      <x:c r="G175" s="7" t="n">
        <x:v>1.5811388300841898</x:v>
      </x:c>
      <x:c r="H175" s="7" t="n">
        <x:v>2.4906073556464094</x:v>
      </x:c>
    </x:row>
    <x:row r="176" ht="27" customHeight="1">
      <x:c r="A176" s="2"/>
      <x:c r="B176" s="2" t="str">
        <x:v>Beauty | price_contribution | CUUR0000SEGB</x:v>
      </x:c>
      <x:c r="C176" s="2" t="str">
        <x:v>Last eight</x:v>
      </x:c>
      <x:c r="D176" s="2" t="str">
        <x:v>No</x:v>
      </x:c>
      <x:c r="E176" s="2" t="n">
        <x:v>4</x:v>
      </x:c>
      <x:c r="F176" s="7" t="n">
        <x:f>SQRT(AVERAGE(Relationships!N50,Relationships!N51,Relationships!N52,Relationships!N53))</x:f>
        <x:v>1.3394979720593394</x:v>
      </x:c>
      <x:c r="G176" s="7" t="n">
        <x:v>1.5811388300841898</x:v>
      </x:c>
      <x:c r="H176" s="7" t="n">
        <x:v>2.4906073556464094</x:v>
      </x:c>
    </x:row>
    <x:row r="177" ht="27" customHeight="1">
      <x:c r="A177" s="2"/>
      <x:c r="B177" s="2" t="str">
        <x:v>Grooming | price_contribution | CUUR0000SEGB</x:v>
      </x:c>
      <x:c r="C177" s="2" t="str">
        <x:v>Expanding</x:v>
      </x:c>
      <x:c r="D177" s="2" t="str">
        <x:v>No</x:v>
      </x:c>
      <x:c r="E177" s="2" t="n">
        <x:v>4</x:v>
      </x:c>
      <x:c r="F177" s="7" t="n">
        <x:f>SQRT(AVERAGE(Relationships!N54,Relationships!N55,Relationships!N56,Relationships!N57))</x:f>
        <x:v>1.819185944492219</x:v>
      </x:c>
      <x:c r="G177" s="7" t="n">
        <x:v>1.8708286933869707</x:v>
      </x:c>
      <x:c r="H177" s="7" t="n">
        <x:v>1.5360257159305635</x:v>
      </x:c>
    </x:row>
    <x:row r="178" ht="27" customHeight="1">
      <x:c r="A178" s="2"/>
      <x:c r="B178" s="2" t="str">
        <x:v>Grooming | price_contribution | CUUR0000SEGB</x:v>
      </x:c>
      <x:c r="C178" s="2" t="str">
        <x:v>Last eight</x:v>
      </x:c>
      <x:c r="D178" s="2" t="str">
        <x:v>No</x:v>
      </x:c>
      <x:c r="E178" s="2" t="n">
        <x:v>4</x:v>
      </x:c>
      <x:c r="F178" s="7" t="n">
        <x:f>SQRT(AVERAGE(Relationships!N58,Relationships!N59,Relationships!N60,Relationships!N61))</x:f>
        <x:v>1.597549680983382</x:v>
      </x:c>
      <x:c r="G178" s="7" t="n">
        <x:v>1.8708286933869707</x:v>
      </x:c>
      <x:c r="H178" s="7" t="n">
        <x:v>1.5360257159305635</x:v>
      </x:c>
    </x:row>
    <x:row r="179" ht="27" customHeight="1">
      <x:c r="A179" s="2"/>
      <x:c r="B179" s="2" t="str">
        <x:v>Health Care | price_contribution | CUUR0000SEGB</x:v>
      </x:c>
      <x:c r="C179" s="2" t="str">
        <x:v>Expanding</x:v>
      </x:c>
      <x:c r="D179" s="2" t="str">
        <x:v>Yes</x:v>
      </x:c>
      <x:c r="E179" s="2" t="n">
        <x:v>4</x:v>
      </x:c>
      <x:c r="F179" s="7" t="n">
        <x:f>SQRT(AVERAGE(Relationships!N62,Relationships!N63,Relationships!N64,Relationships!N65))</x:f>
        <x:v>0.5754254879417943</x:v>
      </x:c>
      <x:c r="G179" s="7" t="n">
        <x:v>0.7071067811865476</x:v>
      </x:c>
      <x:c r="H179" s="7" t="n">
        <x:v>0.9921567416492215</x:v>
      </x:c>
    </x:row>
    <x:row r="180" ht="27" customHeight="1">
      <x:c r="A180" s="2"/>
      <x:c r="B180" s="2" t="str">
        <x:v>Health Care | price_contribution | CUUR0000SEGB</x:v>
      </x:c>
      <x:c r="C180" s="2" t="str">
        <x:v>Last eight</x:v>
      </x:c>
      <x:c r="D180" s="2" t="str">
        <x:v>No</x:v>
      </x:c>
      <x:c r="E180" s="2" t="n">
        <x:v>4</x:v>
      </x:c>
      <x:c r="F180" s="7" t="n">
        <x:f>SQRT(AVERAGE(Relationships!N66,Relationships!N67,Relationships!N68,Relationships!N69))</x:f>
        <x:v>0.6038372044115801</x:v>
      </x:c>
      <x:c r="G180" s="7" t="n">
        <x:v>0.7071067811865476</x:v>
      </x:c>
      <x:c r="H180" s="7" t="n">
        <x:v>0.9921567416492215</x:v>
      </x:c>
    </x:row>
    <x:row r="181" ht="27" customHeight="1">
      <x:c r="A181" s="2"/>
      <x:c r="B181" s="2" t="str">
        <x:v>Beauty | organic_sales_growth | RSHPCS</x:v>
      </x:c>
      <x:c r="C181" s="2" t="str">
        <x:v>Expanding</x:v>
      </x:c>
      <x:c r="D181" s="2" t="str">
        <x:v>Yes</x:v>
      </x:c>
      <x:c r="E181" s="2" t="n">
        <x:v>4</x:v>
      </x:c>
      <x:c r="F181" s="7" t="n">
        <x:f>SQRT(AVERAGE(Relationships!N70,Relationships!N71,Relationships!N72,Relationships!N73))</x:f>
        <x:v>4.056814397937965</x:v>
      </x:c>
      <x:c r="G181" s="7" t="n">
        <x:v>4.242640687119285</x:v>
      </x:c>
      <x:c r="H181" s="7" t="n">
        <x:v>4.926015123809508</x:v>
      </x:c>
    </x:row>
    <x:row r="182" ht="27" customHeight="1">
      <x:c r="A182" s="2"/>
      <x:c r="B182" s="2" t="str">
        <x:v>Beauty | organic_sales_growth | RSHPCS</x:v>
      </x:c>
      <x:c r="C182" s="2" t="str">
        <x:v>Last eight</x:v>
      </x:c>
      <x:c r="D182" s="2" t="str">
        <x:v>No</x:v>
      </x:c>
      <x:c r="E182" s="2" t="n">
        <x:v>4</x:v>
      </x:c>
      <x:c r="F182" s="7" t="n">
        <x:f>SQRT(AVERAGE(Relationships!N74,Relationships!N75,Relationships!N76,Relationships!N77))</x:f>
        <x:v>4.940282783885735</x:v>
      </x:c>
      <x:c r="G182" s="7" t="n">
        <x:v>4.242640687119285</x:v>
      </x:c>
      <x:c r="H182" s="7" t="n">
        <x:v>4.926015123809508</x:v>
      </x:c>
    </x:row>
    <x:row r="183" ht="27" customHeight="1">
      <x:c r="A183" s="2"/>
      <x:c r="B183" s="2" t="str">
        <x:v>Health Care | organic_sales_growth | RSHPCS</x:v>
      </x:c>
      <x:c r="C183" s="2" t="str">
        <x:v>Expanding</x:v>
      </x:c>
      <x:c r="D183" s="2" t="str">
        <x:v>No</x:v>
      </x:c>
      <x:c r="E183" s="2" t="n">
        <x:v>4</x:v>
      </x:c>
      <x:c r="F183" s="7" t="n">
        <x:f>SQRT(AVERAGE(Relationships!N78,Relationships!N79,Relationships!N80,Relationships!N81))</x:f>
        <x:v>5.1785704848085246</x:v>
      </x:c>
      <x:c r="G183" s="7" t="n">
        <x:v>5.123475382979799</x:v>
      </x:c>
      <x:c r="H183" s="7" t="n">
        <x:v>4.322904116447646</x:v>
      </x:c>
    </x:row>
    <x:row r="184" ht="27" customHeight="1">
      <x:c r="A184" s="2"/>
      <x:c r="B184" s="2" t="str">
        <x:v>Health Care | organic_sales_growth | RSHPCS</x:v>
      </x:c>
      <x:c r="C184" s="2" t="str">
        <x:v>Last eight</x:v>
      </x:c>
      <x:c r="D184" s="2" t="str">
        <x:v>No</x:v>
      </x:c>
      <x:c r="E184" s="2" t="n">
        <x:v>4</x:v>
      </x:c>
      <x:c r="F184" s="7" t="n">
        <x:f>SQRT(AVERAGE(Relationships!N82,Relationships!N83,Relationships!N84,Relationships!N85))</x:f>
        <x:v>6.217113573038851</x:v>
      </x:c>
      <x:c r="G184" s="7" t="n">
        <x:v>5.123475382979799</x:v>
      </x:c>
      <x:c r="H184" s="7" t="n">
        <x:v>4.322904116447646</x:v>
      </x:c>
    </x:row>
    <x:row r="185" ht="27" customHeight="1">
      <x:c r="A185" s="2"/>
      <x:c r="B185" s="2" t="str">
        <x:v>Beauty | price_contribution | CUUR0000SEGB02</x:v>
      </x:c>
      <x:c r="C185" s="2" t="str">
        <x:v>Expanding</x:v>
      </x:c>
      <x:c r="D185" s="2" t="str">
        <x:v>Yes</x:v>
      </x:c>
      <x:c r="E185" s="2" t="n">
        <x:v>4</x:v>
      </x:c>
      <x:c r="F185" s="7" t="n">
        <x:f>SQRT(AVERAGE(Relationships!N86,Relationships!N87,Relationships!N88,Relationships!N89))</x:f>
        <x:v>1.1405547736103039</x:v>
      </x:c>
      <x:c r="G185" s="7" t="n">
        <x:v>1.5811388300841898</x:v>
      </x:c>
      <x:c r="H185" s="7" t="n">
        <x:v>2.4906073556464094</x:v>
      </x:c>
    </x:row>
    <x:row r="186" ht="27" customHeight="1">
      <x:c r="A186" s="2"/>
      <x:c r="B186" s="2" t="str">
        <x:v>Beauty | price_contribution | CUUR0000SEGB02</x:v>
      </x:c>
      <x:c r="C186" s="2" t="str">
        <x:v>Last eight</x:v>
      </x:c>
      <x:c r="D186" s="2" t="str">
        <x:v>No</x:v>
      </x:c>
      <x:c r="E186" s="2" t="n">
        <x:v>4</x:v>
      </x:c>
      <x:c r="F186" s="7" t="n">
        <x:f>SQRT(AVERAGE(Relationships!N90,Relationships!N91,Relationships!N92,Relationships!N93))</x:f>
        <x:v>1.3692883994746772</x:v>
      </x:c>
      <x:c r="G186" s="7" t="n">
        <x:v>1.5811388300841898</x:v>
      </x:c>
      <x:c r="H186" s="7" t="n">
        <x:v>2.4906073556464094</x:v>
      </x:c>
    </x:row>
    <x:row r="187" ht="27" customHeight="1">
      <x:c r="A187" s="2"/>
      <x:c r="B187" s="2"/>
      <x:c r="C187" s="2"/>
      <x:c r="D187" s="2"/>
      <x:c r="E187" s="2"/>
      <x:c r="F187" s="2"/>
      <x:c r="G187" s="2"/>
      <x:c r="H187" s="2"/>
    </x:row>
    <x:row r="188" ht="27" customHeight="1">
      <x:c r="A188" s="2"/>
      <x:c r="B188" s="2"/>
      <x:c r="C188" s="2"/>
      <x:c r="D188" s="2"/>
      <x:c r="E188" s="2"/>
      <x:c r="F188" s="2"/>
      <x:c r="G188" s="2"/>
      <x:c r="H188" s="2"/>
    </x:row>
    <x:row r="189" ht="27" customHeight="1">
      <x:c r="A189" s="2"/>
      <x:c r="B189" s="2"/>
      <x:c r="C189" s="2"/>
      <x:c r="D189" s="2"/>
      <x:c r="E189" s="2"/>
      <x:c r="F189" s="2"/>
      <x:c r="G189" s="2"/>
      <x:c r="H189" s="2"/>
    </x:row>
    <x:row r="190" ht="27" customHeight="1">
      <x:c r="A190" s="2"/>
      <x:c r="B190" s="2"/>
      <x:c r="C190" s="2"/>
      <x:c r="D190" s="2"/>
      <x:c r="E190" s="2"/>
      <x:c r="F190" s="2"/>
      <x:c r="G190" s="2"/>
      <x:c r="H190" s="2"/>
    </x:row>
    <x:row r="191" ht="27" customHeight="1">
      <x:c r="A191" s="2"/>
      <x:c r="B191" s="2"/>
      <x:c r="C191" s="2"/>
      <x:c r="D191" s="2"/>
      <x:c r="E191" s="2"/>
      <x:c r="F191" s="2"/>
      <x:c r="G191" s="2"/>
      <x:c r="H191" s="2"/>
    </x:row>
  </x:sheetData>
  <x:pageMargins left="0.7" right="0.7" top="0.75" bottom="0.75" header="0.3" footer="0.3"/>
</x:worksheet>
</file>