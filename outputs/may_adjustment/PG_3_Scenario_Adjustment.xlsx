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da2d9d5b7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adjustment" sheetId="1" r:id="R3972529cebd24ca8"/>
    <x:sheet xmlns:r="http://schemas.openxmlformats.org/officeDocument/2006/relationships" name="Assumptions" sheetId="2" r:id="R4a787ee05f4e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;(0.00%);0.00%"/>
    <x:numFmt numFmtId="201" formatCode="0.00&quot; pp&quot;;(0.00)&quot; pp&quot;;0.00&quot; pp&quot;"/>
    <x:numFmt numFmtId="202" formatCode="&quot;$&quot;#,##0.0;(&quot;$&quot;#,##0.0);&quot;$&quot;0.0"/>
    <x:numFmt numFmtId="203" formatCode="0.000;(0.000);0.000"/>
  </x:numFmts>
  <x:fonts count="8">
    <x:font>
      <x:sz val="11"/>
      <x:name val="Carlito"/>
    </x:font>
    <x:font>
      <x:sz val="12"/>
      <x:color rgb="FF17324F"/>
      <x:name val="Arial"/>
    </x:font>
    <x:font>
      <x:b/>
      <x:sz val="18"/>
      <x:color rgb="FF17324F"/>
      <x:name val="Arial"/>
    </x:font>
    <x:font>
      <x:sz val="12"/>
      <x:color rgb="FF0000FF"/>
      <x:name val="Arial"/>
    </x:font>
    <x:font>
      <x:sz val="10"/>
      <x:color rgb="FF17324F"/>
      <x:name val="Arial"/>
    </x:font>
    <x:font>
      <x:sz val="12"/>
      <x:color rgb="FF008000"/>
      <x:name val="Arial"/>
    </x:font>
    <x:font>
      <x:b/>
      <x:sz val="12"/>
      <x:color rgb="FFFFFFFF"/>
      <x:name val="Arial"/>
    </x:font>
    <x:font>
      <x:b/>
      <x:sz val="12"/>
      <x:color rgb="FF17324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AF0F6"/>
      </x:patternFill>
    </x:fill>
    <x:fill>
      <x:patternFill patternType="solid">
        <x:fgColor rgb="FF17324F"/>
      </x:patternFill>
    </x:fill>
    <x:fill>
      <x:patternFill patternType="solid">
        <x:fgColor rgb="FFEDF3FA"/>
      </x:patternFill>
    </x:fill>
  </x:fills>
  <x:borders count="2">
    <x:border/>
    <x:border>
      <x:left style="medium">
        <x:color rgb="FFC62828"/>
      </x:left>
      <x:right style="medium">
        <x:color rgb="FFC62828"/>
      </x:right>
      <x:top style="medium">
        <x:color rgb="FFC62828"/>
      </x:top>
      <x:bottom style="medium">
        <x:color rgb="FFC62828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5" borderId="0" xfId="0" applyNumberFormat="1" applyFont="1" applyFill="1" applyBorder="1"/>
    <x:xf numFmtId="202" fontId="1" fillId="5" borderId="0" xfId="0" applyNumberFormat="1" applyFont="1" applyFill="1" applyBorder="1"/>
    <x:xf numFmtId="0" fontId="7" fillId="5" borderId="0" xfId="0" applyNumberFormat="1" applyFont="1" applyFill="1" applyBorder="1"/>
    <x:xf numFmtId="202" fontId="7" fillId="5" borderId="0" xfId="0" applyNumberFormat="1" applyFont="1" applyFill="1" applyBorder="1"/>
    <x:xf numFmtId="202" fontId="7" fillId="5" borderId="1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  <x:dxfs count="1">
    <x:dxf>
      <x:font>
        <x:color rgb="FFB7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bf76fa5be4ad8" /><Relationship Type="http://schemas.openxmlformats.org/officeDocument/2006/relationships/theme" Target="/xl/theme/theme1.xml" Id="R0c8d968d278b42f2" /><Relationship Type="http://schemas.openxmlformats.org/officeDocument/2006/relationships/sharedStrings" Target="/xl/sharedStrings.xml" Id="R1f53a77ed42741ab" /><Relationship Type="http://schemas.openxmlformats.org/officeDocument/2006/relationships/worksheet" Target="/xl/worksheets/sheet1.xml" Id="R3972529cebd24ca8" /><Relationship Type="http://schemas.openxmlformats.org/officeDocument/2006/relationships/worksheet" Target="/xl/worksheets/sheet2.xml" Id="R4a787ee05f4e4a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9" hidden="0" customWidth="1"/>
    <x:col min="3" max="3" width="21" hidden="0" customWidth="1"/>
    <x:col min="4" max="4" width="21" hidden="0" customWidth="1"/>
    <x:col min="5" max="5" width="21" hidden="0" customWidth="1"/>
    <x:col min="6" max="6" width="4" hidden="0" customWidth="1"/>
    <x:col min="7" max="7" width="4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</x:row>
    <x:row r="2" ht="26" customHeight="1">
      <x:c r="A2" s="1"/>
      <x:c r="B2" s="2" t="str">
        <x:v>P&amp;G sales scenario adjustment</x:v>
      </x:c>
      <x:c r="C2" s="1"/>
      <x:c r="D2" s="1"/>
      <x:c r="E2" s="1"/>
      <x:c r="F2" s="1"/>
      <x:c r="G2" s="1"/>
    </x:row>
    <x:row r="3" ht="26" customHeight="1">
      <x:c r="A3" s="1"/>
      <x:c r="B3" s="1" t="str">
        <x:v>Case selected:</x:v>
      </x:c>
      <x:c r="C3" s="10" t="str">
        <x:f>Assumptions!C3</x:f>
        <x:v>Base</x:v>
      </x:c>
      <x:c r="D3" s="1"/>
      <x:c r="E3" s="1"/>
      <x:c r="F3" s="1"/>
      <x:c r="G3" s="1"/>
    </x:row>
    <x:row r="4" ht="26" customHeight="1">
      <x:c r="A4" s="1"/>
      <x:c r="B4" s="1" t="str">
        <x:v>April–June 2026 sales. Amounts in USD millions.</x:v>
      </x:c>
      <x:c r="C4" s="1"/>
      <x:c r="D4" s="1"/>
      <x:c r="E4" s="1"/>
      <x:c r="F4" s="1"/>
      <x:c r="G4" s="1"/>
    </x:row>
    <x:row r="5" ht="26" customHeight="1">
      <x:c r="A5" s="1"/>
      <x:c r="B5" s="1"/>
      <x:c r="C5" s="1"/>
      <x:c r="D5" s="1"/>
      <x:c r="E5" s="1"/>
      <x:c r="F5" s="1"/>
      <x:c r="G5" s="1"/>
    </x:row>
    <x:row r="6" ht="26" customHeight="1">
      <x:c r="A6" s="1"/>
      <x:c r="B6" s="12" t="str">
        <x:v>Sales outlook</x:v>
      </x:c>
      <x:c r="C6" s="12" t="str">
        <x:v>24 Apr reference</x:v>
      </x:c>
      <x:c r="D6" s="12" t="str">
        <x:v>15 May adjusted</x:v>
      </x:c>
      <x:c r="E6" s="12" t="str">
        <x:v>Change</x:v>
      </x:c>
      <x:c r="F6" s="1"/>
      <x:c r="G6" s="1"/>
    </x:row>
    <x:row r="7" ht="26" customHeight="1">
      <x:c r="A7" s="1"/>
      <x:c r="B7" s="1"/>
      <x:c r="C7" s="1"/>
      <x:c r="D7" s="1"/>
      <x:c r="E7" s="1"/>
      <x:c r="F7" s="1"/>
      <x:c r="G7" s="1"/>
    </x:row>
    <x:row r="8" ht="26" customHeight="1">
      <x:c r="A8" s="1"/>
      <x:c r="B8" s="1" t="str">
        <x:v>Quarterly sales growth</x:v>
      </x:c>
      <x:c r="C8" s="7" t="n">
        <x:f>C9/$C$22-1</x:f>
        <x:v>0.004524869548566235</x:v>
      </x:c>
      <x:c r="D8" s="7" t="n">
        <x:f>C8+Assumptions!C12+Assumptions!C18+Assumptions!C24</x:f>
        <x:v>-0.0004751304514337652</x:v>
      </x:c>
      <x:c r="E8" s="13" t="n">
        <x:f>(D8-C8)*100</x:f>
        <x:v>-0.5</x:v>
      </x:c>
      <x:c r="F8" s="1"/>
      <x:c r="G8" s="1"/>
    </x:row>
    <x:row r="9" ht="26" customHeight="1">
      <x:c r="A9" s="1"/>
      <x:c r="B9" s="17" t="str">
        <x:v>Quarterly sales</x:v>
      </x:c>
      <x:c r="C9" s="19" t="n">
        <x:f>ROUND($C$20*(1+Assumptions!C6)-$C$21,6)</x:f>
        <x:v>20983.52</x:v>
      </x:c>
      <x:c r="D9" s="19" t="n">
        <x:f>ROUND($C$22*(1+D8),6)</x:f>
        <x:v>20879.075</x:v>
      </x:c>
      <x:c r="E9" s="19" t="n">
        <x:f>ROUND(D9-C9,6)</x:f>
        <x:v>-104.445</x:v>
      </x:c>
      <x:c r="F9" s="1"/>
      <x:c r="G9" s="1"/>
    </x:row>
    <x:row r="10" ht="26" customHeight="1">
      <x:c r="A10" s="1"/>
      <x:c r="B10" s="1"/>
      <x:c r="C10" s="1"/>
      <x:c r="D10" s="1"/>
      <x:c r="E10" s="1"/>
      <x:c r="F10" s="1"/>
      <x:c r="G10" s="1"/>
    </x:row>
    <x:row r="11" ht="26" customHeight="1">
      <x:c r="A11" s="1"/>
      <x:c r="B11" s="1" t="str">
        <x:v>Full-year sales</x:v>
      </x:c>
      <x:c r="C11" s="14" t="n">
        <x:f>C9+$C$21</x:f>
        <x:v>86812.52</x:v>
      </x:c>
      <x:c r="D11" s="14" t="n">
        <x:f>D9+$C$21</x:f>
        <x:v>86708.075</x:v>
      </x:c>
      <x:c r="E11" s="14" t="n">
        <x:f>D11-C11</x:f>
        <x:v>-104.44500000000698</x:v>
      </x:c>
      <x:c r="F11" s="1"/>
      <x:c r="G11" s="1"/>
    </x:row>
    <x:row r="12" ht="26" customHeight="1">
      <x:c r="A12" s="1"/>
      <x:c r="B12" s="1" t="str">
        <x:v>Full-year sales growth</x:v>
      </x:c>
      <x:c r="C12" s="7" t="n">
        <x:f>C11/$C$20-1</x:f>
        <x:v>0.030000000000000027</x:v>
      </x:c>
      <x:c r="D12" s="7" t="n">
        <x:f>D11/$C$20-1</x:f>
        <x:v>0.028760796829766067</x:v>
      </x:c>
      <x:c r="E12" s="13" t="n">
        <x:f>(D12-C12)*100</x:f>
        <x:v>-0.12392031702339601</x:v>
      </x:c>
      <x:c r="F12" s="1"/>
      <x:c r="G12" s="1"/>
    </x:row>
    <x:row r="13" ht="26" customHeight="1">
      <x:c r="A13" s="1"/>
      <x:c r="B13" s="1"/>
      <x:c r="C13" s="1"/>
      <x:c r="D13" s="1"/>
      <x:c r="E13" s="1"/>
      <x:c r="F13" s="1"/>
      <x:c r="G13" s="1"/>
    </x:row>
    <x:row r="14" ht="26" customHeight="1">
      <x:c r="A14" s="1"/>
      <x:c r="B14" s="12" t="str">
        <x:v>Why sales change</x:v>
      </x:c>
      <x:c r="C14" s="12" t="str">
        <x:v>Growth change (pp)</x:v>
      </x:c>
      <x:c r="D14" s="12" t="str">
        <x:v>Sales impact</x:v>
      </x:c>
      <x:c r="E14" s="1"/>
      <x:c r="F14" s="1"/>
      <x:c r="G14" s="1"/>
    </x:row>
    <x:row r="15" ht="26" customHeight="1">
      <x:c r="A15" s="1"/>
      <x:c r="B15" s="1" t="str">
        <x:v>Demand</x:v>
      </x:c>
      <x:c r="C15" s="13" t="n">
        <x:f>Assumptions!C12*100</x:f>
        <x:v>-0.25</x:v>
      </x:c>
      <x:c r="D15" s="14" t="n">
        <x:f>C15/100*$C$22</x:f>
        <x:v>-52.222500000000004</x:v>
      </x:c>
      <x:c r="E15" s="1"/>
      <x:c r="F15" s="1"/>
      <x:c r="G15" s="1"/>
    </x:row>
    <x:row r="16" ht="26" customHeight="1">
      <x:c r="A16" s="1"/>
      <x:c r="B16" s="1" t="str">
        <x:v>Pricing</x:v>
      </x:c>
      <x:c r="C16" s="13" t="n">
        <x:f>Assumptions!C18*100</x:f>
        <x:v>-0.25</x:v>
      </x:c>
      <x:c r="D16" s="14" t="n">
        <x:f>C16/100*$C$22</x:f>
        <x:v>-52.222500000000004</x:v>
      </x:c>
      <x:c r="E16" s="1"/>
      <x:c r="F16" s="1"/>
      <x:c r="G16" s="1"/>
    </x:row>
    <x:row r="17" ht="26" customHeight="1">
      <x:c r="A17" s="1"/>
      <x:c r="B17" s="1" t="str">
        <x:v>FX / portfolio</x:v>
      </x:c>
      <x:c r="C17" s="13" t="n">
        <x:f>Assumptions!C24*100</x:f>
        <x:v>0</x:v>
      </x:c>
      <x:c r="D17" s="14" t="n">
        <x:f>C17/100*$C$22</x:f>
        <x:v>0</x:v>
      </x:c>
      <x:c r="E17" s="1"/>
      <x:c r="F17" s="1"/>
      <x:c r="G17" s="1"/>
    </x:row>
    <x:row r="18" ht="26" customHeight="1">
      <x:c r="A18" s="1"/>
      <x:c r="B18" s="20" t="str">
        <x:v>Total adjustment</x:v>
      </x:c>
      <x:c r="C18" s="21" t="n">
        <x:f>SUM(C15:C17)</x:f>
        <x:v>-0.5</x:v>
      </x:c>
      <x:c r="D18" s="22" t="n">
        <x:f>SUM(D15:D17)</x:f>
        <x:v>-104.44500000000001</x:v>
      </x:c>
      <x:c r="E18" s="1"/>
      <x:c r="F18" s="1"/>
      <x:c r="G18" s="1"/>
    </x:row>
    <x:row r="19" ht="26" customHeight="1">
      <x:c r="A19" s="1"/>
      <x:c r="B19" s="1"/>
      <x:c r="C19" s="1"/>
      <x:c r="D19" s="1"/>
      <x:c r="E19" s="1"/>
      <x:c r="F19" s="1"/>
      <x:c r="G19" s="1"/>
    </x:row>
    <x:row r="20" ht="26" customHeight="1">
      <x:c r="A20" s="1"/>
      <x:c r="B20" s="1" t="str">
        <x:v>FY2025 sales</x:v>
      </x:c>
      <x:c r="C20" s="23" t="n">
        <x:v>84284</x:v>
      </x:c>
      <x:c r="D20" s="1" t="str">
        <x:v>S1</x:v>
      </x:c>
      <x:c r="E20" s="1"/>
      <x:c r="F20" s="1"/>
      <x:c r="G20" s="1"/>
    </x:row>
    <x:row r="21" ht="26" customHeight="1">
      <x:c r="A21" s="1"/>
      <x:c r="B21" s="1" t="str">
        <x:v>Nine-month actual sales</x:v>
      </x:c>
      <x:c r="C21" s="23" t="n">
        <x:v>65829</x:v>
      </x:c>
      <x:c r="D21" s="1" t="str">
        <x:v>S2 / prior workbook</x:v>
      </x:c>
      <x:c r="E21" s="1"/>
      <x:c r="F21" s="1"/>
      <x:c r="G21" s="1"/>
    </x:row>
    <x:row r="22" ht="26" customHeight="1">
      <x:c r="A22" s="1"/>
      <x:c r="B22" s="1" t="str">
        <x:v>April–June 2025 sales</x:v>
      </x:c>
      <x:c r="C22" s="23" t="n">
        <x:v>20889</x:v>
      </x:c>
      <x:c r="D22" s="1" t="str">
        <x:v>S1</x:v>
      </x:c>
      <x:c r="E22" s="1"/>
      <x:c r="F22" s="1"/>
      <x:c r="G22" s="1"/>
    </x:row>
    <x:row r="23" ht="26" customHeight="1">
      <x:c r="A23" s="1"/>
      <x:c r="B23" s="1"/>
      <x:c r="C23" s="1"/>
      <x:c r="D23" s="1"/>
      <x:c r="E23" s="1"/>
      <x:c r="F23" s="1"/>
      <x:c r="G23" s="1"/>
    </x:row>
    <x:row r="24" ht="26" customHeight="1">
      <x:c r="A24" s="1"/>
      <x:c r="B24" s="1" t="str">
        <x:v>Check: adjustment explains change</x:v>
      </x:c>
      <x:c r="C24" s="24" t="n">
        <x:f>E9-D18</x:f>
        <x:v>1.4210854715202004e-14</x:v>
      </x:c>
      <x:c r="D24" s="1"/>
      <x:c r="E24" s="1"/>
      <x:c r="F24" s="1"/>
      <x:c r="G24" s="1"/>
    </x:row>
    <x:row r="25" ht="26" customHeight="1">
      <x:c r="A25" s="1"/>
      <x:c r="B25" s="1" t="str">
        <x:v>Check: annual sales reconciliation</x:v>
      </x:c>
      <x:c r="C25" s="24" t="n">
        <x:f>D11-$C$21-D9</x:f>
        <x:v>-3.637978807091713e-12</x:v>
      </x:c>
      <x:c r="D25" s="1"/>
      <x:c r="E25" s="1"/>
      <x:c r="F25" s="1"/>
      <x:c r="G25" s="1"/>
    </x:row>
    <x:row r="26" ht="26" customHeight="1">
      <x:c r="A26" s="1"/>
      <x:c r="B26" s="1"/>
      <x:c r="C26" s="1"/>
      <x:c r="D26" s="1"/>
      <x:c r="E26" s="1"/>
      <x:c r="F26" s="1"/>
      <x:c r="G26" s="1"/>
    </x:row>
    <x:row r="27" ht="26" customHeight="1">
      <x:c r="A27" s="1"/>
      <x:c r="B27" s="1" t="str">
        <x:v>Company reference first; analyst adjustment second.</x:v>
      </x:c>
      <x:c r="C27" s="1"/>
      <x:c r="D27" s="1"/>
      <x:c r="E27" s="1"/>
      <x:c r="F27" s="1"/>
      <x:c r="G27" s="1"/>
    </x:row>
    <x:row r="28" ht="26" customHeight="1">
      <x:c r="A28" s="1"/>
      <x:c r="B28" s="1" t="str">
        <x:v>Edit the case and assumptions on the Assumptions sheet.</x:v>
      </x:c>
      <x:c r="C28" s="1"/>
      <x:c r="D28" s="1"/>
      <x:c r="E28" s="1"/>
      <x:c r="F28" s="1"/>
      <x:c r="G28" s="1"/>
    </x:row>
    <x:row r="29" ht="26" customHeight="1">
      <x:c r="A29" s="1"/>
      <x:c r="B29" s="1" t="str">
        <x:v>This review covers sales only; it does not forecast EPS.</x:v>
      </x:c>
      <x:c r="C29" s="1"/>
      <x:c r="D29" s="1"/>
      <x:c r="E29" s="1"/>
      <x:c r="F29" s="1"/>
      <x:c r="G29" s="1"/>
    </x:row>
    <x:row r="30" ht="26" customHeight="1">
      <x:c r="A30" s="1"/>
      <x:c r="B30" s="1"/>
      <x:c r="C30" s="1"/>
      <x:c r="D30" s="1"/>
      <x:c r="E30" s="1"/>
      <x:c r="F30" s="1"/>
      <x:c r="G30" s="1"/>
    </x:row>
    <x:row r="31" ht="26" customHeight="1">
      <x:c r="A31" s="1"/>
      <x:c r="B31" s="1"/>
      <x:c r="C31" s="1"/>
      <x:c r="D31" s="1"/>
      <x:c r="E31" s="1"/>
      <x:c r="F31" s="1"/>
      <x:c r="G31" s="1"/>
    </x:row>
    <x:row r="32" ht="26" customHeight="1">
      <x:c r="A32" s="1"/>
      <x:c r="B32" s="1"/>
      <x:c r="C32" s="1"/>
      <x:c r="D32" s="1"/>
      <x:c r="E32" s="1"/>
      <x:c r="F32" s="1"/>
      <x:c r="G32" s="1"/>
    </x:row>
    <x:row r="33" ht="26" customHeight="1">
      <x:c r="A33" s="1"/>
      <x:c r="B33" s="1"/>
      <x:c r="C33" s="1"/>
      <x:c r="D33" s="1"/>
      <x:c r="E33" s="1"/>
      <x:c r="F33" s="1"/>
      <x:c r="G33" s="1"/>
    </x:row>
    <x:row r="34" ht="26" customHeight="1">
      <x:c r="A34" s="1"/>
      <x:c r="B34" s="1"/>
      <x:c r="C34" s="1"/>
      <x:c r="D34" s="1"/>
      <x:c r="E34" s="1"/>
      <x:c r="F34" s="1"/>
      <x:c r="G34" s="1"/>
    </x:row>
    <x:row r="35" ht="26" customHeight="1">
      <x:c r="A35" s="1"/>
      <x:c r="B35" s="1"/>
      <x:c r="C35" s="1"/>
      <x:c r="D35" s="1"/>
      <x:c r="E35" s="1"/>
      <x:c r="F35" s="1"/>
      <x:c r="G35" s="1"/>
    </x:row>
    <x:row r="36" ht="26" customHeight="1">
      <x:c r="A36" s="1"/>
      <x:c r="B36" s="1"/>
      <x:c r="C36" s="1"/>
      <x:c r="D36" s="1"/>
      <x:c r="E36" s="1"/>
      <x:c r="F36" s="1"/>
      <x:c r="G36" s="1"/>
    </x:row>
    <x:row r="37" ht="26" customHeight="1">
      <x:c r="A37" s="1"/>
      <x:c r="B37" s="1"/>
      <x:c r="C37" s="1"/>
      <x:c r="D37" s="1"/>
      <x:c r="E37" s="1"/>
      <x:c r="F37" s="1"/>
      <x:c r="G37" s="1"/>
    </x:row>
    <x:row r="38" ht="26" customHeight="1">
      <x:c r="A38" s="1"/>
      <x:c r="B38" s="1"/>
      <x:c r="C38" s="1"/>
      <x:c r="D38" s="1"/>
      <x:c r="E38" s="1"/>
      <x:c r="F38" s="1"/>
      <x:c r="G38" s="1"/>
    </x:row>
    <x:row r="39" ht="26" customHeight="1">
      <x:c r="A39" s="1"/>
      <x:c r="B39" s="1"/>
      <x:c r="C39" s="1"/>
      <x:c r="D39" s="1"/>
      <x:c r="E39" s="1"/>
      <x:c r="F39" s="1"/>
      <x:c r="G39" s="1"/>
    </x:row>
    <x:row r="40" ht="26" customHeight="1">
      <x:c r="A40" s="1"/>
      <x:c r="B40" s="1"/>
      <x:c r="C40" s="1"/>
      <x:c r="D40" s="1"/>
      <x:c r="E40" s="1"/>
      <x:c r="F40" s="1"/>
      <x:c r="G40" s="1"/>
    </x:row>
    <x:row r="41" ht="26" customHeight="1">
      <x:c r="A41" s="1"/>
      <x:c r="B41" s="1"/>
      <x:c r="C41" s="1"/>
      <x:c r="D41" s="1"/>
      <x:c r="E41" s="1"/>
      <x:c r="F41" s="1"/>
      <x:c r="G41" s="1"/>
    </x:row>
    <x:row r="42" ht="26" customHeight="1">
      <x:c r="A42" s="1"/>
      <x:c r="B42" s="1"/>
      <x:c r="C42" s="1"/>
      <x:c r="D42" s="1"/>
      <x:c r="E42" s="1"/>
      <x:c r="F42" s="1"/>
      <x:c r="G42" s="1"/>
    </x:row>
    <x:row r="43" ht="26" customHeight="1">
      <x:c r="A43" s="1"/>
      <x:c r="B43" s="1"/>
      <x:c r="C43" s="1"/>
      <x:c r="D43" s="1"/>
      <x:c r="E43" s="1"/>
      <x:c r="F43" s="1"/>
      <x:c r="G43" s="1"/>
    </x:row>
    <x:row r="44" ht="26" customHeight="1">
      <x:c r="A44" s="1"/>
      <x:c r="B44" s="1"/>
      <x:c r="C44" s="1"/>
      <x:c r="D44" s="1"/>
      <x:c r="E44" s="1"/>
      <x:c r="F44" s="1"/>
      <x:c r="G44" s="1"/>
    </x:row>
    <x:row r="45" ht="26" customHeight="1">
      <x:c r="A45" s="1"/>
      <x:c r="B45" s="1"/>
      <x:c r="C45" s="1"/>
      <x:c r="D45" s="1"/>
      <x:c r="E45" s="1"/>
      <x:c r="F45" s="1"/>
      <x:c r="G45" s="1"/>
    </x:row>
    <x:row r="46" ht="26" customHeight="1">
      <x:c r="A46" s="1"/>
      <x:c r="B46" s="1"/>
      <x:c r="C46" s="1"/>
      <x:c r="D46" s="1"/>
      <x:c r="E46" s="1"/>
      <x:c r="F46" s="1"/>
      <x:c r="G46" s="1"/>
    </x:row>
    <x:row r="47" ht="26" customHeight="1">
      <x:c r="A47" s="1"/>
      <x:c r="B47" s="1"/>
      <x:c r="C47" s="1"/>
      <x:c r="D47" s="1"/>
      <x:c r="E47" s="1"/>
      <x:c r="F47" s="1"/>
      <x:c r="G47" s="1"/>
    </x:row>
    <x:row r="48" ht="26" customHeight="1">
      <x:c r="A48" s="1"/>
      <x:c r="B48" s="1"/>
      <x:c r="C48" s="1"/>
      <x:c r="D48" s="1"/>
      <x:c r="E48" s="1"/>
      <x:c r="F48" s="1"/>
      <x:c r="G48" s="1"/>
    </x:row>
    <x:row r="49" ht="26" customHeight="1">
      <x:c r="A49" s="1"/>
      <x:c r="B49" s="1"/>
      <x:c r="C49" s="1"/>
      <x:c r="D49" s="1"/>
      <x:c r="E49" s="1"/>
      <x:c r="F49" s="1"/>
      <x:c r="G49" s="1"/>
    </x:row>
    <x:row r="50" ht="26" customHeight="1">
      <x:c r="A50" s="1"/>
      <x:c r="B50" s="1"/>
      <x:c r="C50" s="1"/>
      <x:c r="D50" s="1"/>
      <x:c r="E50" s="1"/>
      <x:c r="F50" s="1"/>
      <x:c r="G50" s="1"/>
    </x:row>
    <x:row r="51" ht="26" customHeight="1">
      <x:c r="A51" s="1"/>
      <x:c r="B51" s="1"/>
      <x:c r="C51" s="1"/>
      <x:c r="D51" s="1"/>
      <x:c r="E51" s="1"/>
      <x:c r="F51" s="1"/>
      <x:c r="G51" s="1"/>
    </x:row>
    <x:row r="52" ht="26" customHeight="1">
      <x:c r="A52" s="1"/>
      <x:c r="B52" s="1"/>
      <x:c r="C52" s="1"/>
      <x:c r="D52" s="1"/>
      <x:c r="E52" s="1"/>
      <x:c r="F52" s="1"/>
      <x:c r="G52" s="1"/>
    </x:row>
    <x:row r="53" ht="26" customHeight="1">
      <x:c r="A53" s="1"/>
      <x:c r="B53" s="1"/>
      <x:c r="C53" s="1"/>
      <x:c r="D53" s="1"/>
      <x:c r="E53" s="1"/>
      <x:c r="F53" s="1"/>
      <x:c r="G53" s="1"/>
    </x:row>
    <x:row r="54" ht="26" customHeight="1">
      <x:c r="A54" s="1"/>
      <x:c r="B54" s="1"/>
      <x:c r="C54" s="1"/>
      <x:c r="D54" s="1"/>
      <x:c r="E54" s="1"/>
      <x:c r="F54" s="1"/>
      <x:c r="G54" s="1"/>
    </x:row>
    <x:row r="55" ht="26" customHeight="1">
      <x:c r="A55" s="1"/>
      <x:c r="B55" s="1"/>
      <x:c r="C55" s="1"/>
      <x:c r="D55" s="1"/>
      <x:c r="E55" s="1"/>
      <x:c r="F55" s="1"/>
      <x:c r="G55" s="1"/>
    </x:row>
    <x:row r="56" ht="26" customHeight="1">
      <x:c r="A56" s="1"/>
      <x:c r="B56" s="1"/>
      <x:c r="C56" s="1"/>
      <x:c r="D56" s="1"/>
      <x:c r="E56" s="1"/>
      <x:c r="F56" s="1"/>
      <x:c r="G56" s="1"/>
    </x:row>
    <x:row r="57" ht="26" customHeight="1">
      <x:c r="A57" s="1"/>
      <x:c r="B57" s="1"/>
      <x:c r="C57" s="1"/>
      <x:c r="D57" s="1"/>
      <x:c r="E57" s="1"/>
      <x:c r="F57" s="1"/>
      <x:c r="G57" s="1"/>
    </x:row>
    <x:row r="58" ht="26" customHeight="1">
      <x:c r="A58" s="1"/>
      <x:c r="B58" s="1"/>
      <x:c r="C58" s="1"/>
      <x:c r="D58" s="1"/>
      <x:c r="E58" s="1"/>
      <x:c r="F58" s="1"/>
      <x:c r="G58" s="1"/>
    </x:row>
    <x:row r="59" ht="26" customHeight="1">
      <x:c r="A59" s="1"/>
      <x:c r="B59" s="1"/>
      <x:c r="C59" s="1"/>
      <x:c r="D59" s="1"/>
      <x:c r="E59" s="1"/>
      <x:c r="F59" s="1"/>
      <x:c r="G59" s="1"/>
    </x:row>
    <x:row r="60" ht="26" customHeight="1">
      <x:c r="A60" s="1"/>
      <x:c r="B60" s="1"/>
      <x:c r="C60" s="1"/>
      <x:c r="D60" s="1"/>
      <x:c r="E60" s="1"/>
      <x:c r="F60" s="1"/>
      <x:c r="G60" s="1"/>
    </x:row>
    <x:row r="61" ht="26" customHeight="1">
      <x:c r="A61" s="1"/>
      <x:c r="B61" s="1"/>
      <x:c r="C61" s="1"/>
      <x:c r="D61" s="1"/>
      <x:c r="E61" s="1"/>
      <x:c r="F61" s="1"/>
      <x:c r="G61" s="1"/>
    </x:row>
    <x:row r="62" ht="26" customHeight="1">
      <x:c r="A62" s="1"/>
      <x:c r="B62" s="1"/>
      <x:c r="C62" s="1"/>
      <x:c r="D62" s="1"/>
      <x:c r="E62" s="1"/>
      <x:c r="F62" s="1"/>
      <x:c r="G62" s="1"/>
    </x:row>
    <x:row r="63" ht="26" customHeight="1">
      <x:c r="A63" s="1"/>
      <x:c r="B63" s="1"/>
      <x:c r="C63" s="1"/>
      <x:c r="D63" s="1"/>
      <x:c r="E63" s="1"/>
      <x:c r="F63" s="1"/>
      <x:c r="G63" s="1"/>
    </x:row>
    <x:row r="64" ht="26" customHeight="1">
      <x:c r="A64" s="1"/>
      <x:c r="B64" s="1"/>
      <x:c r="C64" s="1"/>
      <x:c r="D64" s="1"/>
      <x:c r="E64" s="1"/>
      <x:c r="F64" s="1"/>
      <x:c r="G64" s="1"/>
    </x:row>
    <x:row r="65" ht="26" customHeight="1">
      <x:c r="A65" s="1"/>
      <x:c r="B65" s="1"/>
      <x:c r="C65" s="1"/>
      <x:c r="D65" s="1"/>
      <x:c r="E65" s="1"/>
      <x:c r="F65" s="1"/>
      <x:c r="G65" s="1"/>
    </x:row>
  </x:sheetData>
  <x:conditionalFormatting sqref="E9:E11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9" hidden="0" customWidth="1"/>
    <x:col min="3" max="3" width="21" hidden="0" customWidth="1"/>
    <x:col min="4" max="4" width="21" hidden="0" customWidth="1"/>
    <x:col min="5" max="5" width="21" hidden="0" customWidth="1"/>
    <x:col min="6" max="6" width="4" hidden="0" customWidth="1"/>
    <x:col min="7" max="7" width="4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</x:row>
    <x:row r="2" ht="26" customHeight="1">
      <x:c r="A2" s="1"/>
      <x:c r="B2" s="2" t="str">
        <x:v>P&amp;G sales scenario assumptions</x:v>
      </x:c>
      <x:c r="C2" s="1"/>
      <x:c r="D2" s="1"/>
      <x:c r="E2" s="1"/>
      <x:c r="F2" s="1"/>
      <x:c r="G2" s="1"/>
    </x:row>
    <x:row r="3" ht="26" customHeight="1">
      <x:c r="A3" s="1"/>
      <x:c r="B3" s="1" t="str">
        <x:v>Case selected:</x:v>
      </x:c>
      <x:c r="C3" s="3" t="str">
        <x:v>Base</x:v>
      </x:c>
      <x:c r="D3" s="1"/>
      <x:c r="E3" s="1"/>
      <x:c r="F3" s="1"/>
      <x:c r="G3" s="1"/>
    </x:row>
    <x:row r="4" ht="26" customHeight="1">
      <x:c r="A4" s="1"/>
      <x:c r="B4" s="1" t="str">
        <x:v>Target: April–June 2026. Review date: 15 May 2026.</x:v>
      </x:c>
      <x:c r="C4" s="1"/>
      <x:c r="D4" s="1"/>
      <x:c r="E4" s="1"/>
      <x:c r="F4" s="1"/>
      <x:c r="G4" s="1"/>
    </x:row>
    <x:row r="5" ht="26" customHeight="1">
      <x:c r="A5" s="1"/>
      <x:c r="B5" s="1"/>
      <x:c r="C5" s="1"/>
      <x:c r="D5" s="1"/>
      <x:c r="E5" s="1"/>
      <x:c r="F5" s="1"/>
      <x:c r="G5" s="1"/>
    </x:row>
    <x:row r="6" ht="26" customHeight="1">
      <x:c r="A6" s="1"/>
      <x:c r="B6" s="4" t="str">
        <x:v>Annual reference growth — active</x:v>
      </x:c>
      <x:c r="C6" s="6" t="n">
        <x:f>INDEX(C8:C10,MATCH($C$3,B8:B10,0))</x:f>
        <x:v>0.03</x:v>
      </x:c>
      <x:c r="D6" s="1"/>
      <x:c r="E6" s="1"/>
      <x:c r="F6" s="1"/>
      <x:c r="G6" s="1"/>
    </x:row>
    <x:row r="7" ht="26" customHeight="1">
      <x:c r="A7" s="1"/>
      <x:c r="B7" s="1"/>
      <x:c r="C7" s="7"/>
      <x:c r="D7" s="1"/>
      <x:c r="E7" s="1"/>
      <x:c r="F7" s="1"/>
      <x:c r="G7" s="1"/>
    </x:row>
    <x:row r="8" ht="26" customHeight="1">
      <x:c r="A8" s="1"/>
      <x:c r="B8" s="1" t="str">
        <x:v>Downside</x:v>
      </x:c>
      <x:c r="C8" s="8" t="n">
        <x:v>0.01</x:v>
      </x:c>
      <x:c r="D8" s="1"/>
      <x:c r="E8" s="1"/>
      <x:c r="F8" s="1"/>
      <x:c r="G8" s="1"/>
    </x:row>
    <x:row r="9" ht="26" customHeight="1">
      <x:c r="A9" s="1"/>
      <x:c r="B9" s="1" t="str">
        <x:v>Base</x:v>
      </x:c>
      <x:c r="C9" s="8" t="n">
        <x:v>0.03</x:v>
      </x:c>
      <x:c r="D9" s="1"/>
      <x:c r="E9" s="1"/>
      <x:c r="F9" s="1"/>
      <x:c r="G9" s="1"/>
    </x:row>
    <x:row r="10" ht="26" customHeight="1">
      <x:c r="A10" s="1"/>
      <x:c r="B10" s="1" t="str">
        <x:v>Upside</x:v>
      </x:c>
      <x:c r="C10" s="8" t="n">
        <x:v>0.05</x:v>
      </x:c>
      <x:c r="D10" s="1"/>
      <x:c r="E10" s="1"/>
      <x:c r="F10" s="1"/>
      <x:c r="G10" s="1"/>
    </x:row>
    <x:row r="11" ht="26" customHeight="1">
      <x:c r="A11" s="1"/>
      <x:c r="B11" s="1"/>
      <x:c r="C11" s="1"/>
      <x:c r="D11" s="1"/>
      <x:c r="E11" s="1"/>
      <x:c r="F11" s="1"/>
      <x:c r="G11" s="1"/>
    </x:row>
    <x:row r="12" ht="26" customHeight="1">
      <x:c r="A12" s="1"/>
      <x:c r="B12" s="4" t="str">
        <x:v>Demand adjustment (quarter) — active</x:v>
      </x:c>
      <x:c r="C12" s="6" t="n">
        <x:f>INDEX(C14:C16,MATCH($C$3,B14:B16,0))</x:f>
        <x:v>-0.0025</x:v>
      </x:c>
      <x:c r="D12" s="1"/>
      <x:c r="E12" s="1"/>
      <x:c r="F12" s="1"/>
      <x:c r="G12" s="1"/>
    </x:row>
    <x:row r="13" ht="26" customHeight="1">
      <x:c r="A13" s="1"/>
      <x:c r="B13" s="1"/>
      <x:c r="C13" s="7"/>
      <x:c r="D13" s="1"/>
      <x:c r="E13" s="1"/>
      <x:c r="F13" s="1"/>
      <x:c r="G13" s="1"/>
    </x:row>
    <x:row r="14" ht="26" customHeight="1">
      <x:c r="A14" s="1"/>
      <x:c r="B14" s="1" t="str">
        <x:v>Downside</x:v>
      </x:c>
      <x:c r="C14" s="8" t="n">
        <x:v>-0.0075</x:v>
      </x:c>
      <x:c r="D14" s="1"/>
      <x:c r="E14" s="1"/>
      <x:c r="F14" s="1"/>
      <x:c r="G14" s="1"/>
    </x:row>
    <x:row r="15" ht="26" customHeight="1">
      <x:c r="A15" s="1"/>
      <x:c r="B15" s="1" t="str">
        <x:v>Base</x:v>
      </x:c>
      <x:c r="C15" s="8" t="n">
        <x:v>-0.0025</x:v>
      </x:c>
      <x:c r="D15" s="1"/>
      <x:c r="E15" s="1"/>
      <x:c r="F15" s="1"/>
      <x:c r="G15" s="1"/>
    </x:row>
    <x:row r="16" ht="26" customHeight="1">
      <x:c r="A16" s="1"/>
      <x:c r="B16" s="1" t="str">
        <x:v>Upside</x:v>
      </x:c>
      <x:c r="C16" s="8" t="n">
        <x:v>0</x:v>
      </x:c>
      <x:c r="D16" s="1"/>
      <x:c r="E16" s="1"/>
      <x:c r="F16" s="1"/>
      <x:c r="G16" s="1"/>
    </x:row>
    <x:row r="17" ht="26" customHeight="1">
      <x:c r="A17" s="1"/>
      <x:c r="B17" s="1"/>
      <x:c r="C17" s="1"/>
      <x:c r="D17" s="1"/>
      <x:c r="E17" s="1"/>
      <x:c r="F17" s="1"/>
      <x:c r="G17" s="1"/>
    </x:row>
    <x:row r="18" ht="26" customHeight="1">
      <x:c r="A18" s="1"/>
      <x:c r="B18" s="4" t="str">
        <x:v>Pricing adjustment (quarter) — active</x:v>
      </x:c>
      <x:c r="C18" s="6" t="n">
        <x:f>INDEX(C20:C22,MATCH($C$3,B20:B22,0))</x:f>
        <x:v>-0.0025</x:v>
      </x:c>
      <x:c r="D18" s="1"/>
      <x:c r="E18" s="1"/>
      <x:c r="F18" s="1"/>
      <x:c r="G18" s="1"/>
    </x:row>
    <x:row r="19" ht="26" customHeight="1">
      <x:c r="A19" s="1"/>
      <x:c r="B19" s="1"/>
      <x:c r="C19" s="7"/>
      <x:c r="D19" s="1"/>
      <x:c r="E19" s="1"/>
      <x:c r="F19" s="1"/>
      <x:c r="G19" s="1"/>
    </x:row>
    <x:row r="20" ht="26" customHeight="1">
      <x:c r="A20" s="1"/>
      <x:c r="B20" s="1" t="str">
        <x:v>Downside</x:v>
      </x:c>
      <x:c r="C20" s="8" t="n">
        <x:v>-0.0025</x:v>
      </x:c>
      <x:c r="D20" s="1"/>
      <x:c r="E20" s="1"/>
      <x:c r="F20" s="1"/>
      <x:c r="G20" s="1"/>
    </x:row>
    <x:row r="21" ht="26" customHeight="1">
      <x:c r="A21" s="1"/>
      <x:c r="B21" s="1" t="str">
        <x:v>Base</x:v>
      </x:c>
      <x:c r="C21" s="8" t="n">
        <x:v>-0.0025</x:v>
      </x:c>
      <x:c r="D21" s="1"/>
      <x:c r="E21" s="1"/>
      <x:c r="F21" s="1"/>
      <x:c r="G21" s="1"/>
    </x:row>
    <x:row r="22" ht="26" customHeight="1">
      <x:c r="A22" s="1"/>
      <x:c r="B22" s="1" t="str">
        <x:v>Upside</x:v>
      </x:c>
      <x:c r="C22" s="8" t="n">
        <x:v>-0.0025</x:v>
      </x:c>
      <x:c r="D22" s="1"/>
      <x:c r="E22" s="1"/>
      <x:c r="F22" s="1"/>
      <x:c r="G22" s="1"/>
    </x:row>
    <x:row r="23" ht="26" customHeight="1">
      <x:c r="A23" s="1"/>
      <x:c r="B23" s="1"/>
      <x:c r="C23" s="1"/>
      <x:c r="D23" s="1"/>
      <x:c r="E23" s="1"/>
      <x:c r="F23" s="1"/>
      <x:c r="G23" s="1"/>
    </x:row>
    <x:row r="24" ht="26" customHeight="1">
      <x:c r="A24" s="1"/>
      <x:c r="B24" s="4" t="str">
        <x:v>FX / portfolio adjustment — active</x:v>
      </x:c>
      <x:c r="C24" s="6" t="n">
        <x:f>INDEX(C26:C28,MATCH($C$3,B26:B28,0))</x:f>
        <x:v>0</x:v>
      </x:c>
      <x:c r="D24" s="1"/>
      <x:c r="E24" s="1"/>
      <x:c r="F24" s="1"/>
      <x:c r="G24" s="1"/>
    </x:row>
    <x:row r="25" ht="26" customHeight="1">
      <x:c r="A25" s="1"/>
      <x:c r="B25" s="1"/>
      <x:c r="C25" s="7"/>
      <x:c r="D25" s="1"/>
      <x:c r="E25" s="1"/>
      <x:c r="F25" s="1"/>
      <x:c r="G25" s="1"/>
    </x:row>
    <x:row r="26" ht="26" customHeight="1">
      <x:c r="A26" s="1"/>
      <x:c r="B26" s="1" t="str">
        <x:v>Downside</x:v>
      </x:c>
      <x:c r="C26" s="8" t="n">
        <x:v>0</x:v>
      </x:c>
      <x:c r="D26" s="1"/>
      <x:c r="E26" s="1"/>
      <x:c r="F26" s="1"/>
      <x:c r="G26" s="1"/>
    </x:row>
    <x:row r="27" ht="26" customHeight="1">
      <x:c r="A27" s="1"/>
      <x:c r="B27" s="1" t="str">
        <x:v>Base</x:v>
      </x:c>
      <x:c r="C27" s="8" t="n">
        <x:v>0</x:v>
      </x:c>
      <x:c r="D27" s="1"/>
      <x:c r="E27" s="1"/>
      <x:c r="F27" s="1"/>
      <x:c r="G27" s="1"/>
    </x:row>
    <x:row r="28" ht="26" customHeight="1">
      <x:c r="A28" s="1"/>
      <x:c r="B28" s="1" t="str">
        <x:v>Upside</x:v>
      </x:c>
      <x:c r="C28" s="8" t="n">
        <x:v>0</x:v>
      </x:c>
      <x:c r="D28" s="1"/>
      <x:c r="E28" s="1"/>
      <x:c r="F28" s="1"/>
      <x:c r="G28" s="1"/>
    </x:row>
    <x:row r="29" ht="26" customHeight="1">
      <x:c r="A29" s="1"/>
      <x:c r="B29" s="1"/>
      <x:c r="C29" s="1"/>
      <x:c r="D29" s="1"/>
      <x:c r="E29" s="1"/>
      <x:c r="F29" s="1"/>
      <x:c r="G29" s="1"/>
    </x:row>
    <x:row r="30" ht="26" customHeight="1">
      <x:c r="A30" s="1"/>
      <x:c r="B30" s="1" t="str">
        <x:v>Adjustments are percentage-point changes to quarterly sales growth.</x:v>
      </x:c>
      <x:c r="C30" s="1"/>
      <x:c r="D30" s="1"/>
      <x:c r="E30" s="1"/>
      <x:c r="F30" s="1"/>
      <x:c r="G30" s="1"/>
    </x:row>
    <x:row r="31" ht="26" customHeight="1">
      <x:c r="A31" s="1"/>
      <x:c r="B31" s="1" t="str">
        <x:v>Analyst sensitivities, not measured source-to-sales elasticities.</x:v>
      </x:c>
      <x:c r="C31" s="1"/>
      <x:c r="D31" s="1"/>
      <x:c r="E31" s="1"/>
      <x:c r="F31" s="1"/>
      <x:c r="G31" s="1"/>
    </x:row>
    <x:row r="32" ht="26" customHeight="1">
      <x:c r="A32" s="1"/>
      <x:c r="B32" s="1"/>
      <x:c r="C32" s="1"/>
      <x:c r="D32" s="1"/>
      <x:c r="E32" s="1"/>
      <x:c r="F32" s="1"/>
      <x:c r="G32" s="1"/>
    </x:row>
    <x:row r="33" ht="26" customHeight="1">
      <x:c r="A33" s="1"/>
      <x:c r="B33" s="1" t="str">
        <x:v>Demand: BEA March real PCE +0.2%; real disposable income -0.1%.</x:v>
      </x:c>
      <x:c r="C33" s="1"/>
      <x:c r="D33" s="1"/>
      <x:c r="E33" s="1"/>
      <x:c r="F33" s="1"/>
      <x:c r="G33" s="1"/>
    </x:row>
    <x:row r="34" ht="26" customHeight="1">
      <x:c r="A34" s="1"/>
      <x:c r="B34" s="1" t="str">
        <x:v>Small base reduction; larger downside; resilient upside unchanged.</x:v>
      </x:c>
      <x:c r="C34" s="1"/>
      <x:c r="D34" s="1"/>
      <x:c r="E34" s="1"/>
      <x:c r="F34" s="1"/>
      <x:c r="G34" s="1"/>
    </x:row>
    <x:row r="35" ht="26" customHeight="1">
      <x:c r="A35" s="1"/>
      <x:c r="B35" s="1"/>
      <x:c r="C35" s="1"/>
      <x:c r="D35" s="1"/>
      <x:c r="E35" s="1"/>
      <x:c r="F35" s="1"/>
      <x:c r="G35" s="1"/>
    </x:row>
    <x:row r="36" ht="26" customHeight="1">
      <x:c r="A36" s="1"/>
      <x:c r="B36" s="1" t="str">
        <x:v>Pricing: Unilever Home Care volume +6.2%; price -0.1%.</x:v>
      </x:c>
      <x:c r="C36" s="1"/>
      <x:c r="D36" s="1"/>
      <x:c r="E36" s="1"/>
      <x:c r="F36" s="1"/>
      <x:c r="G36" s="1"/>
    </x:row>
    <x:row r="37" ht="26" customHeight="1">
      <x:c r="A37" s="1"/>
      <x:c r="B37" s="1" t="str">
        <x:v>A 0.25pp pricing stress; no claim of measured P&amp;G share loss.</x:v>
      </x:c>
      <x:c r="C37" s="1"/>
      <x:c r="D37" s="1"/>
      <x:c r="E37" s="1"/>
      <x:c r="F37" s="1"/>
      <x:c r="G37" s="1"/>
    </x:row>
    <x:row r="38" ht="26" customHeight="1">
      <x:c r="A38" s="1"/>
      <x:c r="B38" s="1"/>
      <x:c r="C38" s="1"/>
      <x:c r="D38" s="1"/>
      <x:c r="E38" s="1"/>
      <x:c r="F38" s="1"/>
      <x:c r="G38" s="1"/>
    </x:row>
    <x:row r="39" ht="26" customHeight="1">
      <x:c r="A39" s="1"/>
      <x:c r="B39" s="1" t="str">
        <x:v>FX: unchanged. No P&amp;G currency-basket estimate in this review.</x:v>
      </x:c>
      <x:c r="C39" s="1"/>
      <x:c r="D39" s="1"/>
      <x:c r="E39" s="1"/>
      <x:c r="F39" s="1"/>
      <x:c r="G39" s="1"/>
    </x:row>
    <x:row r="40" ht="26" customHeight="1">
      <x:c r="A40" s="1"/>
      <x:c r="B40" s="1" t="str">
        <x:v>Do not add CPI again to demand or PPI directly to sales.</x:v>
      </x:c>
      <x:c r="C40" s="1"/>
      <x:c r="D40" s="1"/>
      <x:c r="E40" s="1"/>
      <x:c r="F40" s="1"/>
      <x:c r="G40" s="1"/>
    </x:row>
    <x:row r="41" ht="26" customHeight="1">
      <x:c r="A41" s="1"/>
      <x:c r="B41" s="1"/>
      <x:c r="C41" s="1"/>
      <x:c r="D41" s="1"/>
      <x:c r="E41" s="1"/>
      <x:c r="F41" s="1"/>
      <x:c r="G41" s="1"/>
    </x:row>
    <x:row r="42" ht="26" customHeight="1">
      <x:c r="A42" s="1"/>
      <x:c r="B42" s="1"/>
      <x:c r="C42" s="1"/>
      <x:c r="D42" s="1"/>
      <x:c r="E42" s="1"/>
      <x:c r="F42" s="1"/>
      <x:c r="G42" s="1"/>
    </x:row>
    <x:row r="43" ht="26" customHeight="1">
      <x:c r="A43" s="1"/>
      <x:c r="B43" s="1" t="str">
        <x:v>S1 / 2025-07-29 / P&amp;G FY2025 / Q4 sales</x:v>
      </x:c>
      <x:c r="C43" s="1"/>
      <x:c r="D43" s="1"/>
      <x:c r="E43" s="1"/>
      <x:c r="F43" s="1"/>
      <x:c r="G43" s="1"/>
    </x:row>
    <x:row r="44" ht="26" customHeight="1">
      <x:c r="A44" s="1"/>
      <x:c r="B44" s="9" t="str">
        <x:v>https://www.pginvestor.com/news/news-details/2025/PG-Announces-Fourth-Quarter-and-Fiscal-Year-2025-Results/default.aspx</x:v>
      </x:c>
      <x:c r="C44" s="1"/>
      <x:c r="D44" s="1"/>
      <x:c r="E44" s="1"/>
      <x:c r="F44" s="1"/>
      <x:c r="G44" s="1"/>
    </x:row>
    <x:row r="45" ht="26" customHeight="1">
      <x:c r="A45" s="1"/>
      <x:c r="B45" s="1"/>
      <x:c r="C45" s="1"/>
      <x:c r="D45" s="1"/>
      <x:c r="E45" s="1"/>
      <x:c r="F45" s="1"/>
      <x:c r="G45" s="1"/>
    </x:row>
    <x:row r="46" ht="26" customHeight="1">
      <x:c r="A46" s="1"/>
      <x:c r="B46" s="1" t="str">
        <x:v>S2 / 2026-04-24 / P&amp;G annual guidance / nine-month inputs</x:v>
      </x:c>
      <x:c r="C46" s="1"/>
      <x:c r="D46" s="1"/>
      <x:c r="E46" s="1"/>
      <x:c r="F46" s="1"/>
      <x:c r="G46" s="1"/>
    </x:row>
    <x:row r="47" ht="26" customHeight="1">
      <x:c r="A47" s="1"/>
      <x:c r="B47" s="9" t="str">
        <x:v>https://www.pginvestor.com/news/news-details/2026/PG-Announces-Fiscal-Year-2026-Third-Quarter-Results/default.aspx</x:v>
      </x:c>
      <x:c r="C47" s="1"/>
      <x:c r="D47" s="1"/>
      <x:c r="E47" s="1"/>
      <x:c r="F47" s="1"/>
      <x:c r="G47" s="1"/>
    </x:row>
    <x:row r="48" ht="26" customHeight="1">
      <x:c r="A48" s="1"/>
      <x:c r="B48" s="1"/>
      <x:c r="C48" s="1"/>
      <x:c r="D48" s="1"/>
      <x:c r="E48" s="1"/>
      <x:c r="F48" s="1"/>
      <x:c r="G48" s="1"/>
    </x:row>
    <x:row r="49" ht="26" customHeight="1">
      <x:c r="A49" s="1"/>
      <x:c r="B49" s="1" t="str">
        <x:v>S3 / 2026-04-30 / BEA March 2026, page 3</x:v>
      </x:c>
      <x:c r="C49" s="1"/>
      <x:c r="D49" s="1"/>
      <x:c r="E49" s="1"/>
      <x:c r="F49" s="1"/>
      <x:c r="G49" s="1"/>
    </x:row>
    <x:row r="50" ht="26" customHeight="1">
      <x:c r="A50" s="1"/>
      <x:c r="B50" s="9" t="str">
        <x:v>https://www.bea.gov/sites/default/files/2026-04/pi0326.pdf</x:v>
      </x:c>
      <x:c r="C50" s="1"/>
      <x:c r="D50" s="1"/>
      <x:c r="E50" s="1"/>
      <x:c r="F50" s="1"/>
      <x:c r="G50" s="1"/>
    </x:row>
    <x:row r="51" ht="26" customHeight="1">
      <x:c r="A51" s="1"/>
      <x:c r="B51" s="1"/>
      <x:c r="C51" s="1"/>
      <x:c r="D51" s="1"/>
      <x:c r="E51" s="1"/>
      <x:c r="F51" s="1"/>
      <x:c r="G51" s="1"/>
    </x:row>
    <x:row r="52" ht="26" customHeight="1">
      <x:c r="A52" s="1"/>
      <x:c r="B52" s="1" t="str">
        <x:v>S4 / 2026-04-30 / Unilever Q1 2026, Home Care</x:v>
      </x:c>
      <x:c r="C52" s="1"/>
      <x:c r="D52" s="1"/>
      <x:c r="E52" s="1"/>
      <x:c r="F52" s="1"/>
      <x:c r="G52" s="1"/>
    </x:row>
    <x:row r="53" ht="26" customHeight="1">
      <x:c r="A53" s="1"/>
      <x:c r="B53" s="9" t="str">
        <x:v>https://www.unilever.com/files/unilever-q1-2026-full-announcement.pdf</x:v>
      </x:c>
      <x:c r="C53" s="1"/>
      <x:c r="D53" s="1"/>
      <x:c r="E53" s="1"/>
      <x:c r="F53" s="1"/>
      <x:c r="G53" s="1"/>
    </x:row>
    <x:row r="54" ht="26" customHeight="1">
      <x:c r="A54" s="1"/>
      <x:c r="B54" s="1"/>
      <x:c r="C54" s="1"/>
      <x:c r="D54" s="1"/>
      <x:c r="E54" s="1"/>
      <x:c r="F54" s="1"/>
      <x:c r="G54" s="1"/>
    </x:row>
    <x:row r="55" ht="26" customHeight="1">
      <x:c r="A55" s="1"/>
      <x:c r="B55" s="1" t="str">
        <x:v>S5 / 2026-05-12 / CPI April 2026; demand context only</x:v>
      </x:c>
      <x:c r="C55" s="1"/>
      <x:c r="D55" s="1"/>
      <x:c r="E55" s="1"/>
      <x:c r="F55" s="1"/>
      <x:c r="G55" s="1"/>
    </x:row>
    <x:row r="56" ht="26" customHeight="1">
      <x:c r="A56" s="1"/>
      <x:c r="B56" s="9" t="str">
        <x:v>https://www.bls.gov/news.release/archives/cpi_05122026.htm</x:v>
      </x:c>
      <x:c r="C56" s="1"/>
      <x:c r="D56" s="1"/>
      <x:c r="E56" s="1"/>
      <x:c r="F56" s="1"/>
      <x:c r="G56" s="1"/>
    </x:row>
    <x:row r="57" ht="26" customHeight="1">
      <x:c r="A57" s="1"/>
      <x:c r="B57" s="1"/>
      <x:c r="C57" s="1"/>
      <x:c r="D57" s="1"/>
      <x:c r="E57" s="1"/>
      <x:c r="F57" s="1"/>
      <x:c r="G57" s="1"/>
    </x:row>
    <x:row r="58" ht="26" customHeight="1">
      <x:c r="A58" s="1"/>
      <x:c r="B58" s="1" t="str">
        <x:v>S6 / 2026-05-13 / PPI April 2026; cost watch only</x:v>
      </x:c>
      <x:c r="C58" s="1"/>
      <x:c r="D58" s="1"/>
      <x:c r="E58" s="1"/>
      <x:c r="F58" s="1"/>
      <x:c r="G58" s="1"/>
    </x:row>
    <x:row r="59" ht="26" customHeight="1">
      <x:c r="A59" s="1"/>
      <x:c r="B59" s="9" t="str">
        <x:v>https://www.bls.gov/news.release/archives/ppi_05132026.htm</x:v>
      </x:c>
      <x:c r="C59" s="1"/>
      <x:c r="D59" s="1"/>
      <x:c r="E59" s="1"/>
      <x:c r="F59" s="1"/>
      <x:c r="G59" s="1"/>
    </x:row>
    <x:row r="60" ht="26" customHeight="1">
      <x:c r="A60" s="1"/>
      <x:c r="B60" s="1"/>
      <x:c r="C60" s="1"/>
      <x:c r="D60" s="1"/>
      <x:c r="E60" s="1"/>
      <x:c r="F60" s="1"/>
      <x:c r="G60" s="1"/>
    </x:row>
    <x:row r="61" ht="26" customHeight="1">
      <x:c r="A61" s="1"/>
      <x:c r="B61" s="1"/>
      <x:c r="C61" s="1"/>
      <x:c r="D61" s="1"/>
      <x:c r="E61" s="1"/>
      <x:c r="F61" s="1"/>
      <x:c r="G61" s="1"/>
    </x:row>
    <x:row r="62" ht="26" customHeight="1">
      <x:c r="A62" s="1"/>
      <x:c r="B62" s="1" t="str">
        <x:v>Nine-month sales: 22,386 + 22,208 + 21,235 = 65,829.</x:v>
      </x:c>
      <x:c r="C62" s="1"/>
      <x:c r="D62" s="1"/>
      <x:c r="E62" s="1"/>
      <x:c r="F62" s="1"/>
      <x:c r="G62" s="1"/>
    </x:row>
    <x:row r="63" ht="26" customHeight="1">
      <x:c r="A63" s="1"/>
      <x:c r="B63" s="1" t="str">
        <x:v>See PG_2_Quarter_Sales_Target.xlsx for all three dated releases.</x:v>
      </x:c>
      <x:c r="C63" s="1"/>
      <x:c r="D63" s="1"/>
      <x:c r="E63" s="1"/>
      <x:c r="F63" s="1"/>
      <x:c r="G63" s="1"/>
    </x:row>
    <x:row r="64" ht="26" customHeight="1">
      <x:c r="A64" s="1"/>
      <x:c r="B64" s="1"/>
      <x:c r="C64" s="1"/>
      <x:c r="D64" s="1"/>
      <x:c r="E64" s="1"/>
      <x:c r="F64" s="1"/>
      <x:c r="G64" s="1"/>
    </x:row>
    <x:row r="65" ht="26" customHeight="1">
      <x:c r="A65" s="1"/>
      <x:c r="B65" s="1"/>
      <x:c r="C65" s="1"/>
      <x:c r="D65" s="1"/>
      <x:c r="E65" s="1"/>
      <x:c r="F65" s="1"/>
      <x:c r="G65" s="1"/>
    </x:row>
  </x:sheetData>
  <x:dataValidations count="1">
    <x:dataValidation type="list" sqref="C3">
      <x:formula1>"Downside,Base,Upside"</x:formula1>
    </x:dataValidation>
  </x:dataValidations>
  <x:pageMargins left="0.7" right="0.7" top="0.75" bottom="0.75" header="0.3" footer="0.3"/>
</x:worksheet>
</file>